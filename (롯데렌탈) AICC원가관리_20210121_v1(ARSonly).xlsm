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현재_통합_문서"/>
  <mc:AlternateContent xmlns:mc="http://schemas.openxmlformats.org/markup-compatibility/2006">
    <mc:Choice Requires="x15">
      <x15ac:absPath xmlns:x15ac="http://schemas.microsoft.com/office/spreadsheetml/2010/11/ac" url="C:\Users\10099930\Downloads\"/>
    </mc:Choice>
  </mc:AlternateContent>
  <bookViews>
    <workbookView xWindow="-108" yWindow="-108" windowWidth="19308" windowHeight="7236" tabRatio="848" activeTab="3"/>
  </bookViews>
  <sheets>
    <sheet name="HOME" sheetId="44" r:id="rId1"/>
    <sheet name="A.시뮬레이션" sheetId="47" state="hidden" r:id="rId2"/>
    <sheet name="B.통합시트" sheetId="45" state="hidden" r:id="rId3"/>
    <sheet name="통합데이터" sheetId="56" r:id="rId4"/>
    <sheet name="1.인건비_요약" sheetId="33" r:id="rId5"/>
    <sheet name="2.구축비_요약" sheetId="42" state="hidden" r:id="rId6"/>
    <sheet name="3.수행비_요약" sheetId="43" state="hidden" r:id="rId7"/>
    <sheet name="BL_인건비" sheetId="25" r:id="rId8"/>
    <sheet name="CS_인건비" sheetId="38" r:id="rId9"/>
    <sheet name="CS_구축" sheetId="22" state="hidden" r:id="rId10"/>
    <sheet name="Sheet5" sheetId="57" state="hidden" r:id="rId11"/>
    <sheet name="CS_수행" sheetId="41" state="hidden" r:id="rId12"/>
    <sheet name="Sheet7" sheetId="59" r:id="rId13"/>
    <sheet name="(참조)BL_인건비" sheetId="28" r:id="rId14"/>
    <sheet name="(참조)CS_인건비" sheetId="37" r:id="rId15"/>
    <sheet name="(참조)솔루션효과" sheetId="30" r:id="rId16"/>
    <sheet name="D.사업성분석" sheetId="48" state="hidden" r:id="rId17"/>
    <sheet name="D.사업성매출" sheetId="49" state="hidden" r:id="rId18"/>
    <sheet name="D.사업성투자" sheetId="51" state="hidden" r:id="rId19"/>
    <sheet name="D.사업성비용" sheetId="50" state="hidden" r:id="rId20"/>
    <sheet name="D.VDC-C" sheetId="55" state="hidden" r:id="rId21"/>
    <sheet name="Sheet4" sheetId="54" state="hidden" r:id="rId22"/>
    <sheet name="Sheet1" sheetId="46" state="hidden" r:id="rId23"/>
    <sheet name="Sheet3" sheetId="53" state="hidden" r:id="rId24"/>
    <sheet name="Sheet2" sheetId="52" state="hidden" r:id="rId25"/>
  </sheets>
  <functionGroups builtInGroupCount="18"/>
  <externalReferences>
    <externalReference r:id="rId26"/>
  </externalReferences>
  <definedNames>
    <definedName name="_xlnm._FilterDatabase" localSheetId="9" hidden="1">CS_구축!$A$4:$FJ$37</definedName>
    <definedName name="_xlnm._FilterDatabase" localSheetId="8" hidden="1">CS_인건비!$A$4:$GL$42</definedName>
    <definedName name="_xlnm._FilterDatabase" localSheetId="3" hidden="1">통합데이터!$C$4:$AF$112</definedName>
    <definedName name="인건비">#REF!</definedName>
    <definedName name="통합데이터">통합데이터!$C$5:$AE$637</definedName>
  </definedNames>
  <calcPr calcId="152511"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3" i="59" l="1"/>
  <c r="L33" i="59"/>
  <c r="M33" i="59"/>
  <c r="N33" i="59"/>
  <c r="O33" i="59"/>
  <c r="P33" i="59"/>
  <c r="Q33" i="59"/>
  <c r="R33" i="59"/>
  <c r="S33" i="59"/>
  <c r="T33" i="59"/>
  <c r="U33" i="59"/>
  <c r="K32" i="59"/>
  <c r="L32" i="59"/>
  <c r="M32" i="59"/>
  <c r="N32" i="59"/>
  <c r="O32" i="59"/>
  <c r="P32" i="59"/>
  <c r="Q32" i="59"/>
  <c r="R32" i="59"/>
  <c r="S32" i="59"/>
  <c r="T32" i="59"/>
  <c r="U32" i="59"/>
  <c r="K31" i="59"/>
  <c r="L31" i="59"/>
  <c r="M31" i="59"/>
  <c r="N31" i="59"/>
  <c r="O31" i="59"/>
  <c r="P31" i="59"/>
  <c r="Q31" i="59"/>
  <c r="R31" i="59"/>
  <c r="S31" i="59"/>
  <c r="T31" i="59"/>
  <c r="U31" i="59"/>
  <c r="K30" i="59"/>
  <c r="L30" i="59"/>
  <c r="M30" i="59"/>
  <c r="N30" i="59"/>
  <c r="O30" i="59"/>
  <c r="P30" i="59"/>
  <c r="Q30" i="59"/>
  <c r="R30" i="59"/>
  <c r="S30" i="59"/>
  <c r="T30" i="59"/>
  <c r="U30" i="59"/>
  <c r="K29" i="59"/>
  <c r="L29" i="59"/>
  <c r="M29" i="59"/>
  <c r="N29" i="59"/>
  <c r="O29" i="59"/>
  <c r="P29" i="59"/>
  <c r="Q29" i="59"/>
  <c r="R29" i="59"/>
  <c r="S29" i="59"/>
  <c r="T29" i="59"/>
  <c r="U29" i="59"/>
  <c r="K19" i="59"/>
  <c r="L19" i="59"/>
  <c r="M19" i="59"/>
  <c r="N19" i="59"/>
  <c r="O19" i="59"/>
  <c r="P19" i="59"/>
  <c r="Q19" i="59"/>
  <c r="R19" i="59"/>
  <c r="S19" i="59"/>
  <c r="T19" i="59"/>
  <c r="U19" i="59"/>
  <c r="K20" i="59"/>
  <c r="L20" i="59"/>
  <c r="M20" i="59"/>
  <c r="N20" i="59"/>
  <c r="O20" i="59"/>
  <c r="P20" i="59"/>
  <c r="Q20" i="59"/>
  <c r="R20" i="59"/>
  <c r="S20" i="59"/>
  <c r="T20" i="59"/>
  <c r="U20" i="59"/>
  <c r="K21" i="59"/>
  <c r="L21" i="59"/>
  <c r="M21" i="59"/>
  <c r="N21" i="59"/>
  <c r="O21" i="59"/>
  <c r="P21" i="59"/>
  <c r="Q21" i="59"/>
  <c r="R21" i="59"/>
  <c r="S21" i="59"/>
  <c r="T21" i="59"/>
  <c r="U21" i="59"/>
  <c r="K22" i="59"/>
  <c r="L22" i="59"/>
  <c r="M22" i="59"/>
  <c r="N22" i="59"/>
  <c r="O22" i="59"/>
  <c r="P22" i="59"/>
  <c r="Q22" i="59"/>
  <c r="R22" i="59"/>
  <c r="S22" i="59"/>
  <c r="T22" i="59"/>
  <c r="U22" i="59"/>
  <c r="K23" i="59"/>
  <c r="L23" i="59"/>
  <c r="M23" i="59"/>
  <c r="N23" i="59"/>
  <c r="O23" i="59"/>
  <c r="P23" i="59"/>
  <c r="Q23" i="59"/>
  <c r="R23" i="59"/>
  <c r="S23" i="59"/>
  <c r="T23" i="59"/>
  <c r="U23" i="59"/>
  <c r="K24" i="59"/>
  <c r="L24" i="59"/>
  <c r="M24" i="59"/>
  <c r="N24" i="59"/>
  <c r="O24" i="59"/>
  <c r="P24" i="59"/>
  <c r="Q24" i="59"/>
  <c r="R24" i="59"/>
  <c r="S24" i="59"/>
  <c r="T24" i="59"/>
  <c r="U24" i="59"/>
  <c r="K25" i="59"/>
  <c r="L25" i="59"/>
  <c r="M25" i="59"/>
  <c r="N25" i="59"/>
  <c r="O25" i="59"/>
  <c r="P25" i="59"/>
  <c r="Q25" i="59"/>
  <c r="R25" i="59"/>
  <c r="S25" i="59"/>
  <c r="T25" i="59"/>
  <c r="U25" i="59"/>
  <c r="K26" i="59"/>
  <c r="L26" i="59"/>
  <c r="M26" i="59"/>
  <c r="N26" i="59"/>
  <c r="O26" i="59"/>
  <c r="P26" i="59"/>
  <c r="Q26" i="59"/>
  <c r="R26" i="59"/>
  <c r="S26" i="59"/>
  <c r="T26" i="59"/>
  <c r="U26" i="59"/>
  <c r="K27" i="59"/>
  <c r="L27" i="59"/>
  <c r="M27" i="59"/>
  <c r="N27" i="59"/>
  <c r="O27" i="59"/>
  <c r="P27" i="59"/>
  <c r="Q27" i="59"/>
  <c r="R27" i="59"/>
  <c r="S27" i="59"/>
  <c r="T27" i="59"/>
  <c r="U27" i="59"/>
  <c r="K28" i="59"/>
  <c r="L28" i="59"/>
  <c r="M28" i="59"/>
  <c r="N28" i="59"/>
  <c r="O28" i="59"/>
  <c r="P28" i="59"/>
  <c r="Q28" i="59"/>
  <c r="R28" i="59"/>
  <c r="S28" i="59"/>
  <c r="T28" i="59"/>
  <c r="U28" i="59"/>
  <c r="L18" i="59"/>
  <c r="L34" i="59" s="1"/>
  <c r="M18" i="59"/>
  <c r="M34" i="59" s="1"/>
  <c r="N18" i="59"/>
  <c r="N34" i="59" s="1"/>
  <c r="O18" i="59"/>
  <c r="O34" i="59" s="1"/>
  <c r="P18" i="59"/>
  <c r="P34" i="59" s="1"/>
  <c r="Q18" i="59"/>
  <c r="Q34" i="59" s="1"/>
  <c r="R18" i="59"/>
  <c r="R34" i="59" s="1"/>
  <c r="S18" i="59"/>
  <c r="S34" i="59" s="1"/>
  <c r="T18" i="59"/>
  <c r="T34" i="59" s="1"/>
  <c r="U18" i="59"/>
  <c r="U34" i="59" s="1"/>
  <c r="K18" i="59"/>
  <c r="K34" i="59" s="1"/>
  <c r="R6" i="41" l="1"/>
  <c r="G50" i="37"/>
  <c r="H50" i="37"/>
  <c r="I50" i="37"/>
  <c r="J50" i="37"/>
  <c r="K50" i="37"/>
  <c r="L50" i="37"/>
  <c r="M50" i="37"/>
  <c r="N50" i="37"/>
  <c r="O50" i="37"/>
  <c r="G51" i="37"/>
  <c r="H51" i="37"/>
  <c r="I51" i="37"/>
  <c r="J51" i="37"/>
  <c r="K51" i="37"/>
  <c r="L51" i="37"/>
  <c r="M51" i="37"/>
  <c r="N51" i="37"/>
  <c r="O51" i="37"/>
  <c r="G52" i="37"/>
  <c r="H52" i="37"/>
  <c r="I52" i="37"/>
  <c r="J52" i="37"/>
  <c r="K52" i="37"/>
  <c r="L52" i="37"/>
  <c r="M52" i="37"/>
  <c r="N52" i="37"/>
  <c r="O52" i="37"/>
  <c r="G53" i="37"/>
  <c r="H53" i="37"/>
  <c r="I53" i="37"/>
  <c r="J53" i="37"/>
  <c r="K53" i="37"/>
  <c r="L53" i="37"/>
  <c r="M53" i="37"/>
  <c r="N53" i="37"/>
  <c r="O53" i="37"/>
  <c r="G54" i="37"/>
  <c r="H54" i="37"/>
  <c r="I54" i="37"/>
  <c r="J54" i="37"/>
  <c r="K54" i="37"/>
  <c r="L54" i="37"/>
  <c r="M54" i="37"/>
  <c r="N54" i="37"/>
  <c r="O54" i="37"/>
  <c r="G55" i="37"/>
  <c r="H55" i="37"/>
  <c r="I55" i="37"/>
  <c r="J55" i="37"/>
  <c r="K55" i="37"/>
  <c r="L55" i="37"/>
  <c r="M55" i="37"/>
  <c r="N55" i="37"/>
  <c r="O55" i="37"/>
  <c r="G56" i="37"/>
  <c r="H56" i="37"/>
  <c r="I56" i="37"/>
  <c r="J56" i="37"/>
  <c r="K56" i="37"/>
  <c r="L56" i="37"/>
  <c r="M56" i="37"/>
  <c r="N56" i="37"/>
  <c r="O56" i="37"/>
  <c r="G57" i="37"/>
  <c r="H57" i="37"/>
  <c r="I57" i="37"/>
  <c r="J57" i="37"/>
  <c r="K57" i="37"/>
  <c r="L57" i="37"/>
  <c r="M57" i="37"/>
  <c r="N57" i="37"/>
  <c r="O57" i="37"/>
  <c r="G58" i="37"/>
  <c r="H58" i="37"/>
  <c r="I58" i="37"/>
  <c r="J58" i="37"/>
  <c r="K58" i="37"/>
  <c r="L58" i="37"/>
  <c r="M58" i="37"/>
  <c r="N58" i="37"/>
  <c r="O58" i="37"/>
  <c r="G59" i="37"/>
  <c r="H59" i="37"/>
  <c r="I59" i="37"/>
  <c r="J59" i="37"/>
  <c r="K59" i="37"/>
  <c r="L59" i="37"/>
  <c r="M59" i="37"/>
  <c r="N59" i="37"/>
  <c r="O59" i="37"/>
  <c r="G60" i="37"/>
  <c r="H60" i="37"/>
  <c r="I60" i="37"/>
  <c r="J60" i="37"/>
  <c r="K60" i="37"/>
  <c r="L60" i="37"/>
  <c r="M60" i="37"/>
  <c r="N60" i="37"/>
  <c r="O60" i="37"/>
  <c r="G61" i="37"/>
  <c r="H61" i="37"/>
  <c r="I61" i="37"/>
  <c r="J61" i="37"/>
  <c r="K61" i="37"/>
  <c r="L61" i="37"/>
  <c r="M61" i="37"/>
  <c r="N61" i="37"/>
  <c r="O61" i="37"/>
  <c r="G62" i="37"/>
  <c r="H62" i="37"/>
  <c r="I62" i="37"/>
  <c r="J62" i="37"/>
  <c r="K62" i="37"/>
  <c r="L62" i="37"/>
  <c r="M62" i="37"/>
  <c r="N62" i="37"/>
  <c r="O62" i="37"/>
  <c r="G63" i="37"/>
  <c r="H63" i="37"/>
  <c r="I63" i="37"/>
  <c r="J63" i="37"/>
  <c r="K63" i="37"/>
  <c r="L63" i="37"/>
  <c r="M63" i="37"/>
  <c r="N63" i="37"/>
  <c r="O63" i="37"/>
  <c r="G64" i="37"/>
  <c r="H64" i="37"/>
  <c r="I64" i="37"/>
  <c r="J64" i="37"/>
  <c r="K64" i="37"/>
  <c r="L64" i="37"/>
  <c r="M64" i="37"/>
  <c r="N64" i="37"/>
  <c r="O64" i="37"/>
  <c r="G65" i="37"/>
  <c r="H65" i="37"/>
  <c r="I65" i="37"/>
  <c r="J65" i="37"/>
  <c r="K65" i="37"/>
  <c r="L65" i="37"/>
  <c r="M65" i="37"/>
  <c r="N65" i="37"/>
  <c r="O65" i="37"/>
  <c r="G66" i="37"/>
  <c r="H66" i="37"/>
  <c r="I66" i="37"/>
  <c r="J66" i="37"/>
  <c r="K66" i="37"/>
  <c r="L66" i="37"/>
  <c r="M66" i="37"/>
  <c r="N66" i="37"/>
  <c r="O66" i="37"/>
  <c r="F51" i="37"/>
  <c r="F52" i="37"/>
  <c r="F53" i="37"/>
  <c r="F54" i="37"/>
  <c r="F55" i="37"/>
  <c r="F56" i="37"/>
  <c r="F57" i="37"/>
  <c r="F58" i="37"/>
  <c r="F59" i="37"/>
  <c r="F60" i="37"/>
  <c r="F61" i="37"/>
  <c r="F62" i="37"/>
  <c r="F63" i="37"/>
  <c r="F64" i="37"/>
  <c r="F65" i="37"/>
  <c r="F66" i="37"/>
  <c r="F50" i="37"/>
  <c r="F67" i="37"/>
  <c r="F68" i="37"/>
  <c r="AK46" i="33"/>
  <c r="AJ46" i="33"/>
  <c r="AI46" i="33"/>
  <c r="AH46" i="33"/>
  <c r="AG46" i="33"/>
  <c r="AF46" i="33"/>
  <c r="AE46" i="33"/>
  <c r="AD46" i="33"/>
  <c r="AC46" i="33"/>
  <c r="AB46" i="33"/>
  <c r="AA46" i="33"/>
  <c r="AK39" i="33"/>
  <c r="AJ39" i="33"/>
  <c r="AI39" i="33"/>
  <c r="AH39" i="33"/>
  <c r="AG39" i="33"/>
  <c r="AF39" i="33"/>
  <c r="AE39" i="33"/>
  <c r="AD39" i="33"/>
  <c r="AC39" i="33"/>
  <c r="AB39" i="33"/>
  <c r="AA39" i="33"/>
  <c r="G13" i="33" l="1"/>
  <c r="I50" i="33" l="1"/>
  <c r="J50" i="33"/>
  <c r="K50" i="33"/>
  <c r="L50" i="33"/>
  <c r="M50" i="33"/>
  <c r="N50" i="33"/>
  <c r="O50" i="33"/>
  <c r="P50" i="33"/>
  <c r="Q50" i="33"/>
  <c r="R50" i="33"/>
  <c r="I51" i="33"/>
  <c r="J51" i="33"/>
  <c r="K51" i="33"/>
  <c r="L51" i="33"/>
  <c r="M51" i="33"/>
  <c r="N51" i="33"/>
  <c r="O51" i="33"/>
  <c r="P51" i="33"/>
  <c r="Q51" i="33"/>
  <c r="R51" i="33"/>
  <c r="I60" i="33"/>
  <c r="I91" i="33" s="1"/>
  <c r="J60" i="33"/>
  <c r="J91" i="33" s="1"/>
  <c r="K60" i="33"/>
  <c r="K91" i="33" s="1"/>
  <c r="L60" i="33"/>
  <c r="L91" i="33" s="1"/>
  <c r="M60" i="33"/>
  <c r="M91" i="33" s="1"/>
  <c r="N60" i="33"/>
  <c r="N91" i="33" s="1"/>
  <c r="O60" i="33"/>
  <c r="O91" i="33" s="1"/>
  <c r="P60" i="33"/>
  <c r="P91" i="33" s="1"/>
  <c r="Q60" i="33"/>
  <c r="Q91" i="33" s="1"/>
  <c r="R60" i="33"/>
  <c r="R91" i="33" s="1"/>
  <c r="I53" i="33"/>
  <c r="J53" i="33"/>
  <c r="K53" i="33"/>
  <c r="L53" i="33"/>
  <c r="M53" i="33"/>
  <c r="N53" i="33"/>
  <c r="O53" i="33"/>
  <c r="P53" i="33"/>
  <c r="Q53" i="33"/>
  <c r="R53" i="33"/>
  <c r="I54" i="33"/>
  <c r="J54" i="33"/>
  <c r="K54" i="33"/>
  <c r="L54" i="33"/>
  <c r="M54" i="33"/>
  <c r="N54" i="33"/>
  <c r="O54" i="33"/>
  <c r="P54" i="33"/>
  <c r="Q54" i="33"/>
  <c r="R54" i="33"/>
  <c r="I61" i="33"/>
  <c r="I92" i="33" s="1"/>
  <c r="J61" i="33"/>
  <c r="J92" i="33" s="1"/>
  <c r="K61" i="33"/>
  <c r="K92" i="33" s="1"/>
  <c r="L61" i="33"/>
  <c r="L92" i="33" s="1"/>
  <c r="M61" i="33"/>
  <c r="M92" i="33" s="1"/>
  <c r="N61" i="33"/>
  <c r="N92" i="33" s="1"/>
  <c r="O61" i="33"/>
  <c r="O92" i="33" s="1"/>
  <c r="P61" i="33"/>
  <c r="P92" i="33" s="1"/>
  <c r="Q61" i="33"/>
  <c r="Q92" i="33" s="1"/>
  <c r="R61" i="33"/>
  <c r="R92" i="33" s="1"/>
  <c r="I56" i="33"/>
  <c r="J56" i="33"/>
  <c r="K56" i="33"/>
  <c r="L56" i="33"/>
  <c r="M56" i="33"/>
  <c r="N56" i="33"/>
  <c r="O56" i="33"/>
  <c r="P56" i="33"/>
  <c r="Q56" i="33"/>
  <c r="R56" i="33"/>
  <c r="I57" i="33"/>
  <c r="J57" i="33"/>
  <c r="K57" i="33"/>
  <c r="L57" i="33"/>
  <c r="M57" i="33"/>
  <c r="N57" i="33"/>
  <c r="O57" i="33"/>
  <c r="P57" i="33"/>
  <c r="Q57" i="33"/>
  <c r="R57" i="33"/>
  <c r="I62" i="33"/>
  <c r="I93" i="33" s="1"/>
  <c r="J62" i="33"/>
  <c r="J93" i="33" s="1"/>
  <c r="K62" i="33"/>
  <c r="K93" i="33" s="1"/>
  <c r="L62" i="33"/>
  <c r="L93" i="33" s="1"/>
  <c r="M62" i="33"/>
  <c r="M93" i="33" s="1"/>
  <c r="N62" i="33"/>
  <c r="N93" i="33" s="1"/>
  <c r="O62" i="33"/>
  <c r="O93" i="33" s="1"/>
  <c r="P62" i="33"/>
  <c r="P93" i="33" s="1"/>
  <c r="Q62" i="33"/>
  <c r="Q93" i="33" s="1"/>
  <c r="R62" i="33"/>
  <c r="R93" i="33" s="1"/>
  <c r="H51" i="33"/>
  <c r="H60" i="33"/>
  <c r="H91" i="33" s="1"/>
  <c r="H53" i="33"/>
  <c r="H54" i="33"/>
  <c r="H61" i="33"/>
  <c r="H92" i="33" s="1"/>
  <c r="H56" i="33"/>
  <c r="H57" i="33"/>
  <c r="H62" i="33"/>
  <c r="H93" i="33" s="1"/>
  <c r="H50" i="33"/>
  <c r="H36" i="33"/>
  <c r="I36" i="33"/>
  <c r="AB63" i="33" s="1"/>
  <c r="J36" i="33"/>
  <c r="AC63" i="33" s="1"/>
  <c r="K36" i="33"/>
  <c r="AD63" i="33" s="1"/>
  <c r="L36" i="33"/>
  <c r="AE63" i="33" s="1"/>
  <c r="M36" i="33"/>
  <c r="AF63" i="33" s="1"/>
  <c r="N36" i="33"/>
  <c r="AG63" i="33" s="1"/>
  <c r="O36" i="33"/>
  <c r="AH63" i="33" s="1"/>
  <c r="P36" i="33"/>
  <c r="AI63" i="33" s="1"/>
  <c r="Q36" i="33"/>
  <c r="AJ63" i="33" s="1"/>
  <c r="R36" i="33"/>
  <c r="AK63" i="33" s="1"/>
  <c r="H45" i="33"/>
  <c r="H76" i="33" s="1"/>
  <c r="I45" i="33"/>
  <c r="I76" i="33" s="1"/>
  <c r="J45" i="33"/>
  <c r="J76" i="33" s="1"/>
  <c r="K45" i="33"/>
  <c r="K76" i="33" s="1"/>
  <c r="L45" i="33"/>
  <c r="L76" i="33" s="1"/>
  <c r="M45" i="33"/>
  <c r="M76" i="33" s="1"/>
  <c r="N45" i="33"/>
  <c r="N76" i="33" s="1"/>
  <c r="O45" i="33"/>
  <c r="O76" i="33" s="1"/>
  <c r="P45" i="33"/>
  <c r="P76" i="33" s="1"/>
  <c r="Q45" i="33"/>
  <c r="Q76" i="33" s="1"/>
  <c r="R45" i="33"/>
  <c r="R76" i="33" s="1"/>
  <c r="H38" i="33"/>
  <c r="I38" i="33"/>
  <c r="AB64" i="33" s="1"/>
  <c r="J38" i="33"/>
  <c r="AC64" i="33" s="1"/>
  <c r="K38" i="33"/>
  <c r="AD64" i="33" s="1"/>
  <c r="L38" i="33"/>
  <c r="AE64" i="33" s="1"/>
  <c r="M38" i="33"/>
  <c r="AF64" i="33" s="1"/>
  <c r="N38" i="33"/>
  <c r="AG64" i="33" s="1"/>
  <c r="O38" i="33"/>
  <c r="AH64" i="33" s="1"/>
  <c r="P38" i="33"/>
  <c r="AI64" i="33" s="1"/>
  <c r="Q38" i="33"/>
  <c r="AJ64" i="33" s="1"/>
  <c r="R38" i="33"/>
  <c r="AK64" i="33" s="1"/>
  <c r="H39" i="33"/>
  <c r="I39" i="33"/>
  <c r="J39" i="33"/>
  <c r="K39" i="33"/>
  <c r="L39" i="33"/>
  <c r="M39" i="33"/>
  <c r="N39" i="33"/>
  <c r="O39" i="33"/>
  <c r="P39" i="33"/>
  <c r="Q39" i="33"/>
  <c r="R39" i="33"/>
  <c r="H46" i="33"/>
  <c r="H77" i="33" s="1"/>
  <c r="I46" i="33"/>
  <c r="I77" i="33" s="1"/>
  <c r="J46" i="33"/>
  <c r="J77" i="33" s="1"/>
  <c r="K46" i="33"/>
  <c r="K77" i="33" s="1"/>
  <c r="L46" i="33"/>
  <c r="L77" i="33" s="1"/>
  <c r="M46" i="33"/>
  <c r="M77" i="33" s="1"/>
  <c r="N46" i="33"/>
  <c r="N77" i="33" s="1"/>
  <c r="O46" i="33"/>
  <c r="O77" i="33" s="1"/>
  <c r="P46" i="33"/>
  <c r="P77" i="33" s="1"/>
  <c r="Q46" i="33"/>
  <c r="Q77" i="33" s="1"/>
  <c r="R46" i="33"/>
  <c r="R77" i="33" s="1"/>
  <c r="H41" i="33"/>
  <c r="I41" i="33"/>
  <c r="J41" i="33"/>
  <c r="K41" i="33"/>
  <c r="L41" i="33"/>
  <c r="M41" i="33"/>
  <c r="N41" i="33"/>
  <c r="O41" i="33"/>
  <c r="P41" i="33"/>
  <c r="Q41" i="33"/>
  <c r="R41" i="33"/>
  <c r="H42" i="33"/>
  <c r="I42" i="33"/>
  <c r="J42" i="33"/>
  <c r="K42" i="33"/>
  <c r="L42" i="33"/>
  <c r="M42" i="33"/>
  <c r="N42" i="33"/>
  <c r="O42" i="33"/>
  <c r="P42" i="33"/>
  <c r="Q42" i="33"/>
  <c r="R42" i="33"/>
  <c r="H47" i="33"/>
  <c r="H78" i="33" s="1"/>
  <c r="I47" i="33"/>
  <c r="I78" i="33" s="1"/>
  <c r="J47" i="33"/>
  <c r="J78" i="33" s="1"/>
  <c r="K47" i="33"/>
  <c r="K78" i="33" s="1"/>
  <c r="L47" i="33"/>
  <c r="L78" i="33" s="1"/>
  <c r="M47" i="33"/>
  <c r="M78" i="33" s="1"/>
  <c r="N47" i="33"/>
  <c r="N78" i="33" s="1"/>
  <c r="O47" i="33"/>
  <c r="O78" i="33" s="1"/>
  <c r="P47" i="33"/>
  <c r="P78" i="33" s="1"/>
  <c r="Q47" i="33"/>
  <c r="Q78" i="33" s="1"/>
  <c r="R47" i="33"/>
  <c r="R78" i="33" s="1"/>
  <c r="I35" i="33"/>
  <c r="I37" i="33" s="1"/>
  <c r="J35" i="33"/>
  <c r="J37" i="33" s="1"/>
  <c r="K35" i="33"/>
  <c r="L35" i="33"/>
  <c r="M35" i="33"/>
  <c r="M37" i="33" s="1"/>
  <c r="N35" i="33"/>
  <c r="N37" i="33" s="1"/>
  <c r="O35" i="33"/>
  <c r="O37" i="33" s="1"/>
  <c r="P35" i="33"/>
  <c r="P37" i="33" s="1"/>
  <c r="Q35" i="33"/>
  <c r="Q37" i="33" s="1"/>
  <c r="R35" i="33"/>
  <c r="R37" i="33" s="1"/>
  <c r="H35" i="33"/>
  <c r="H55" i="33" l="1"/>
  <c r="H52" i="33"/>
  <c r="G77" i="33"/>
  <c r="AK58" i="33"/>
  <c r="R88" i="33" s="1"/>
  <c r="AC58" i="33"/>
  <c r="J88" i="33" s="1"/>
  <c r="AI57" i="33"/>
  <c r="P85" i="33" s="1"/>
  <c r="AG56" i="33"/>
  <c r="N82" i="33" s="1"/>
  <c r="G76" i="33"/>
  <c r="AJ58" i="33"/>
  <c r="Q88" i="33" s="1"/>
  <c r="AB58" i="33"/>
  <c r="I88" i="33" s="1"/>
  <c r="AH57" i="33"/>
  <c r="O85" i="33" s="1"/>
  <c r="AF56" i="33"/>
  <c r="M82" i="33" s="1"/>
  <c r="H37" i="33"/>
  <c r="G35" i="33"/>
  <c r="G42" i="33"/>
  <c r="AA57" i="33"/>
  <c r="H85" i="33" s="1"/>
  <c r="AI58" i="33"/>
  <c r="P88" i="33" s="1"/>
  <c r="AG57" i="33"/>
  <c r="N85" i="33" s="1"/>
  <c r="AE56" i="33"/>
  <c r="L82" i="33" s="1"/>
  <c r="G39" i="33"/>
  <c r="AH58" i="33"/>
  <c r="O88" i="33" s="1"/>
  <c r="AF57" i="33"/>
  <c r="M85" i="33" s="1"/>
  <c r="AD56" i="33"/>
  <c r="K82" i="33" s="1"/>
  <c r="AA63" i="33"/>
  <c r="G36" i="33"/>
  <c r="AG58" i="33"/>
  <c r="N88" i="33" s="1"/>
  <c r="AE57" i="33"/>
  <c r="L85" i="33" s="1"/>
  <c r="AK56" i="33"/>
  <c r="R82" i="33" s="1"/>
  <c r="AC56" i="33"/>
  <c r="J82" i="33" s="1"/>
  <c r="G41" i="33"/>
  <c r="AA56" i="33"/>
  <c r="H82" i="33" s="1"/>
  <c r="AF58" i="33"/>
  <c r="M88" i="33" s="1"/>
  <c r="AD57" i="33"/>
  <c r="K85" i="33" s="1"/>
  <c r="AJ56" i="33"/>
  <c r="Q82" i="33" s="1"/>
  <c r="AB56" i="33"/>
  <c r="I82" i="33" s="1"/>
  <c r="AA64" i="33"/>
  <c r="G38" i="33"/>
  <c r="AE58" i="33"/>
  <c r="L88" i="33" s="1"/>
  <c r="AK57" i="33"/>
  <c r="R85" i="33" s="1"/>
  <c r="AC57" i="33"/>
  <c r="J85" i="33" s="1"/>
  <c r="AI56" i="33"/>
  <c r="P82" i="33" s="1"/>
  <c r="G78" i="33"/>
  <c r="AA58" i="33"/>
  <c r="H88" i="33" s="1"/>
  <c r="AD58" i="33"/>
  <c r="K88" i="33" s="1"/>
  <c r="AJ57" i="33"/>
  <c r="Q85" i="33" s="1"/>
  <c r="AB57" i="33"/>
  <c r="I85" i="33" s="1"/>
  <c r="AH56" i="33"/>
  <c r="O82" i="33" s="1"/>
  <c r="L37" i="33"/>
  <c r="H58" i="33"/>
  <c r="H59" i="33" s="1"/>
  <c r="L58" i="33"/>
  <c r="R55" i="33"/>
  <c r="J55" i="33"/>
  <c r="P52" i="33"/>
  <c r="K58" i="33"/>
  <c r="Q55" i="33"/>
  <c r="I55" i="33"/>
  <c r="O52" i="33"/>
  <c r="R58" i="33"/>
  <c r="J58" i="33"/>
  <c r="P55" i="33"/>
  <c r="N52" i="33"/>
  <c r="Q58" i="33"/>
  <c r="I58" i="33"/>
  <c r="O55" i="33"/>
  <c r="M52" i="33"/>
  <c r="P58" i="33"/>
  <c r="N55" i="33"/>
  <c r="L52" i="33"/>
  <c r="O58" i="33"/>
  <c r="M55" i="33"/>
  <c r="K52" i="33"/>
  <c r="N58" i="33"/>
  <c r="L55" i="33"/>
  <c r="R52" i="33"/>
  <c r="J52" i="33"/>
  <c r="M58" i="33"/>
  <c r="K55" i="33"/>
  <c r="Q52" i="33"/>
  <c r="I52" i="33"/>
  <c r="K37" i="33"/>
  <c r="M43" i="33"/>
  <c r="N40" i="33"/>
  <c r="AG65" i="33" s="1"/>
  <c r="L43" i="33"/>
  <c r="M40" i="33"/>
  <c r="AF65" i="33" s="1"/>
  <c r="K43" i="33"/>
  <c r="L40" i="33"/>
  <c r="AE65" i="33" s="1"/>
  <c r="R43" i="33"/>
  <c r="J43" i="33"/>
  <c r="K40" i="33"/>
  <c r="AD65" i="33" s="1"/>
  <c r="Q43" i="33"/>
  <c r="I43" i="33"/>
  <c r="R40" i="33"/>
  <c r="AK65" i="33" s="1"/>
  <c r="J40" i="33"/>
  <c r="AC65" i="33" s="1"/>
  <c r="P43" i="33"/>
  <c r="P44" i="33" s="1"/>
  <c r="H43" i="33"/>
  <c r="Q40" i="33"/>
  <c r="AJ65" i="33" s="1"/>
  <c r="I40" i="33"/>
  <c r="AB65" i="33" s="1"/>
  <c r="O43" i="33"/>
  <c r="P40" i="33"/>
  <c r="AI65" i="33" s="1"/>
  <c r="H40" i="33"/>
  <c r="N43" i="33"/>
  <c r="N44" i="33" s="1"/>
  <c r="O40" i="33"/>
  <c r="AH65" i="33" s="1"/>
  <c r="G92" i="33"/>
  <c r="G91" i="33"/>
  <c r="G93" i="33"/>
  <c r="G54" i="33"/>
  <c r="G61" i="33"/>
  <c r="G51" i="33"/>
  <c r="G62" i="33"/>
  <c r="G60" i="33"/>
  <c r="G57" i="33"/>
  <c r="G56" i="33"/>
  <c r="G53" i="33"/>
  <c r="G47" i="33"/>
  <c r="G46" i="33"/>
  <c r="G45" i="33"/>
  <c r="R44" i="33" l="1"/>
  <c r="H44" i="33"/>
  <c r="G43" i="33"/>
  <c r="O59" i="33"/>
  <c r="AA65" i="33"/>
  <c r="G40" i="33"/>
  <c r="G37" i="33"/>
  <c r="Q44" i="33"/>
  <c r="P59" i="33"/>
  <c r="I44" i="33"/>
  <c r="I59" i="33"/>
  <c r="Q59" i="33"/>
  <c r="K59" i="33"/>
  <c r="K44" i="33"/>
  <c r="M59" i="33"/>
  <c r="G58" i="33"/>
  <c r="L44" i="33"/>
  <c r="J59" i="33"/>
  <c r="O44" i="33"/>
  <c r="R59" i="33"/>
  <c r="L59" i="33"/>
  <c r="M44" i="33"/>
  <c r="J44" i="33"/>
  <c r="N59" i="33"/>
  <c r="G55" i="33"/>
  <c r="R23" i="33"/>
  <c r="R30" i="33"/>
  <c r="R25" i="33"/>
  <c r="R26" i="33"/>
  <c r="R31" i="33"/>
  <c r="I19" i="33"/>
  <c r="J19" i="33"/>
  <c r="K19" i="33"/>
  <c r="L19" i="33"/>
  <c r="M19" i="33"/>
  <c r="N19" i="33"/>
  <c r="O19" i="33"/>
  <c r="P19" i="33"/>
  <c r="Q19" i="33"/>
  <c r="R19" i="33"/>
  <c r="I20" i="33"/>
  <c r="J20" i="33"/>
  <c r="K20" i="33"/>
  <c r="L20" i="33"/>
  <c r="M20" i="33"/>
  <c r="N20" i="33"/>
  <c r="O20" i="33"/>
  <c r="P20" i="33"/>
  <c r="Q20" i="33"/>
  <c r="R20" i="33"/>
  <c r="I29" i="33"/>
  <c r="J29" i="33"/>
  <c r="K29" i="33"/>
  <c r="L29" i="33"/>
  <c r="M29" i="33"/>
  <c r="N29" i="33"/>
  <c r="O29" i="33"/>
  <c r="P29" i="33"/>
  <c r="Q29" i="33"/>
  <c r="R29" i="33"/>
  <c r="I22" i="33"/>
  <c r="J22" i="33"/>
  <c r="K22" i="33"/>
  <c r="L22" i="33"/>
  <c r="M22" i="33"/>
  <c r="N22" i="33"/>
  <c r="O22" i="33"/>
  <c r="P22" i="33"/>
  <c r="Q22" i="33"/>
  <c r="R22" i="33"/>
  <c r="R24" i="33" s="1"/>
  <c r="I23" i="33"/>
  <c r="J23" i="33"/>
  <c r="K23" i="33"/>
  <c r="L23" i="33"/>
  <c r="M23" i="33"/>
  <c r="N23" i="33"/>
  <c r="O23" i="33"/>
  <c r="P23" i="33"/>
  <c r="Q23" i="33"/>
  <c r="I30" i="33"/>
  <c r="J30" i="33"/>
  <c r="K30" i="33"/>
  <c r="L30" i="33"/>
  <c r="M30" i="33"/>
  <c r="N30" i="33"/>
  <c r="O30" i="33"/>
  <c r="P30" i="33"/>
  <c r="Q30" i="33"/>
  <c r="I25" i="33"/>
  <c r="J25" i="33"/>
  <c r="K25" i="33"/>
  <c r="L25" i="33"/>
  <c r="M25" i="33"/>
  <c r="N25" i="33"/>
  <c r="O25" i="33"/>
  <c r="P25" i="33"/>
  <c r="Q25" i="33"/>
  <c r="I26" i="33"/>
  <c r="J26" i="33"/>
  <c r="K26" i="33"/>
  <c r="L26" i="33"/>
  <c r="M26" i="33"/>
  <c r="N26" i="33"/>
  <c r="O26" i="33"/>
  <c r="P26" i="33"/>
  <c r="Q26" i="33"/>
  <c r="I31" i="33"/>
  <c r="J31" i="33"/>
  <c r="K31" i="33"/>
  <c r="L31" i="33"/>
  <c r="M31" i="33"/>
  <c r="N31" i="33"/>
  <c r="O31" i="33"/>
  <c r="P31" i="33"/>
  <c r="Q31" i="33"/>
  <c r="H20" i="33"/>
  <c r="H29" i="33"/>
  <c r="H22" i="33"/>
  <c r="H23" i="33"/>
  <c r="H30" i="33"/>
  <c r="H25" i="33"/>
  <c r="H26" i="33"/>
  <c r="H31" i="33"/>
  <c r="H19" i="33"/>
  <c r="H21" i="33" s="1"/>
  <c r="I4" i="33"/>
  <c r="J4" i="33"/>
  <c r="K4" i="33"/>
  <c r="L4" i="33"/>
  <c r="M4" i="33"/>
  <c r="N4" i="33"/>
  <c r="O4" i="33"/>
  <c r="P4" i="33"/>
  <c r="Q4" i="33"/>
  <c r="R4" i="33"/>
  <c r="I5" i="33"/>
  <c r="J5" i="33"/>
  <c r="K5" i="33"/>
  <c r="L5" i="33"/>
  <c r="M5" i="33"/>
  <c r="N5" i="33"/>
  <c r="O5" i="33"/>
  <c r="P5" i="33"/>
  <c r="Q5" i="33"/>
  <c r="R5" i="33"/>
  <c r="I14" i="33"/>
  <c r="J14" i="33"/>
  <c r="K14" i="33"/>
  <c r="L14" i="33"/>
  <c r="M14" i="33"/>
  <c r="N14" i="33"/>
  <c r="O14" i="33"/>
  <c r="P14" i="33"/>
  <c r="Q14" i="33"/>
  <c r="R14" i="33"/>
  <c r="I7" i="33"/>
  <c r="J7" i="33"/>
  <c r="K7" i="33"/>
  <c r="L7" i="33"/>
  <c r="M7" i="33"/>
  <c r="N7" i="33"/>
  <c r="O7" i="33"/>
  <c r="P7" i="33"/>
  <c r="Q7" i="33"/>
  <c r="R7" i="33"/>
  <c r="I8" i="33"/>
  <c r="J8" i="33"/>
  <c r="K8" i="33"/>
  <c r="L8" i="33"/>
  <c r="M8" i="33"/>
  <c r="N8" i="33"/>
  <c r="O8" i="33"/>
  <c r="P8" i="33"/>
  <c r="Q8" i="33"/>
  <c r="R8" i="33"/>
  <c r="I15" i="33"/>
  <c r="J15" i="33"/>
  <c r="K15" i="33"/>
  <c r="L15" i="33"/>
  <c r="M15" i="33"/>
  <c r="N15" i="33"/>
  <c r="O15" i="33"/>
  <c r="P15" i="33"/>
  <c r="Q15" i="33"/>
  <c r="R15" i="33"/>
  <c r="I10" i="33"/>
  <c r="J10" i="33"/>
  <c r="K10" i="33"/>
  <c r="L10" i="33"/>
  <c r="M10" i="33"/>
  <c r="N10" i="33"/>
  <c r="O10" i="33"/>
  <c r="P10" i="33"/>
  <c r="Q10" i="33"/>
  <c r="R10" i="33"/>
  <c r="I11" i="33"/>
  <c r="J11" i="33"/>
  <c r="K11" i="33"/>
  <c r="L11" i="33"/>
  <c r="M11" i="33"/>
  <c r="N11" i="33"/>
  <c r="O11" i="33"/>
  <c r="P11" i="33"/>
  <c r="Q11" i="33"/>
  <c r="R11" i="33"/>
  <c r="I16" i="33"/>
  <c r="J16" i="33"/>
  <c r="K16" i="33"/>
  <c r="L16" i="33"/>
  <c r="M16" i="33"/>
  <c r="N16" i="33"/>
  <c r="O16" i="33"/>
  <c r="P16" i="33"/>
  <c r="Q16" i="33"/>
  <c r="R16" i="33"/>
  <c r="H5" i="33"/>
  <c r="H14" i="33"/>
  <c r="H7" i="33"/>
  <c r="H8" i="33"/>
  <c r="H15" i="33"/>
  <c r="H10" i="33"/>
  <c r="H11" i="33"/>
  <c r="H16" i="33"/>
  <c r="H4" i="33"/>
  <c r="I81" i="33"/>
  <c r="J81" i="33"/>
  <c r="K81" i="33"/>
  <c r="L81" i="33"/>
  <c r="M81" i="33"/>
  <c r="N81" i="33"/>
  <c r="O81" i="33"/>
  <c r="P81" i="33"/>
  <c r="Q81" i="33"/>
  <c r="R81" i="33"/>
  <c r="I84" i="33"/>
  <c r="J84" i="33"/>
  <c r="K84" i="33"/>
  <c r="L84" i="33"/>
  <c r="M84" i="33"/>
  <c r="N84" i="33"/>
  <c r="O84" i="33"/>
  <c r="P84" i="33"/>
  <c r="Q84" i="33"/>
  <c r="R84" i="33"/>
  <c r="I87" i="33"/>
  <c r="J87" i="33"/>
  <c r="K87" i="33"/>
  <c r="L87" i="33"/>
  <c r="M87" i="33"/>
  <c r="N87" i="33"/>
  <c r="O87" i="33"/>
  <c r="P87" i="33"/>
  <c r="Q87" i="33"/>
  <c r="R87" i="33"/>
  <c r="H84" i="33"/>
  <c r="H87" i="33"/>
  <c r="H81" i="33"/>
  <c r="I66" i="33"/>
  <c r="J66" i="33"/>
  <c r="K66" i="33"/>
  <c r="L66" i="33"/>
  <c r="M66" i="33"/>
  <c r="N66" i="33"/>
  <c r="O66" i="33"/>
  <c r="P66" i="33"/>
  <c r="Q66" i="33"/>
  <c r="R66" i="33"/>
  <c r="I69" i="33"/>
  <c r="J69" i="33"/>
  <c r="K69" i="33"/>
  <c r="L69" i="33"/>
  <c r="M69" i="33"/>
  <c r="N69" i="33"/>
  <c r="O69" i="33"/>
  <c r="P69" i="33"/>
  <c r="Q69" i="33"/>
  <c r="R69" i="33"/>
  <c r="I72" i="33"/>
  <c r="J72" i="33"/>
  <c r="K72" i="33"/>
  <c r="L72" i="33"/>
  <c r="M72" i="33"/>
  <c r="N72" i="33"/>
  <c r="O72" i="33"/>
  <c r="P72" i="33"/>
  <c r="Q72" i="33"/>
  <c r="R72" i="33"/>
  <c r="H69" i="33"/>
  <c r="H72" i="33"/>
  <c r="H66" i="33"/>
  <c r="P6" i="22"/>
  <c r="P7" i="22"/>
  <c r="P8" i="22"/>
  <c r="P9" i="22"/>
  <c r="P10" i="22"/>
  <c r="P11" i="22"/>
  <c r="P12" i="22"/>
  <c r="P13" i="22"/>
  <c r="P14" i="22"/>
  <c r="P16" i="22"/>
  <c r="P17" i="22"/>
  <c r="P18" i="22"/>
  <c r="P19" i="22"/>
  <c r="P20" i="22"/>
  <c r="P21" i="22"/>
  <c r="P22" i="22"/>
  <c r="P24" i="22"/>
  <c r="P25" i="22"/>
  <c r="P26" i="22"/>
  <c r="P27" i="22"/>
  <c r="P28" i="22"/>
  <c r="P29" i="22"/>
  <c r="P30" i="22"/>
  <c r="P31" i="22"/>
  <c r="P32" i="22"/>
  <c r="P33" i="22"/>
  <c r="P34" i="22"/>
  <c r="P35" i="22"/>
  <c r="P36" i="22"/>
  <c r="P37" i="22"/>
  <c r="G66" i="33" l="1"/>
  <c r="G69" i="33"/>
  <c r="G72" i="33"/>
  <c r="G44" i="33"/>
  <c r="H24" i="33"/>
  <c r="G7" i="33"/>
  <c r="G5" i="33"/>
  <c r="H6" i="33"/>
  <c r="G4" i="33"/>
  <c r="G11" i="33"/>
  <c r="H12" i="33"/>
  <c r="G10" i="33"/>
  <c r="R27" i="33"/>
  <c r="G8" i="33"/>
  <c r="H27" i="33"/>
  <c r="H28" i="33" s="1"/>
  <c r="Q27" i="33"/>
  <c r="I27" i="33"/>
  <c r="M24" i="33"/>
  <c r="K21" i="33"/>
  <c r="P27" i="33"/>
  <c r="L24" i="33"/>
  <c r="R21" i="33"/>
  <c r="J21" i="33"/>
  <c r="O27" i="33"/>
  <c r="K24" i="33"/>
  <c r="Q21" i="33"/>
  <c r="I21" i="33"/>
  <c r="N27" i="33"/>
  <c r="J24" i="33"/>
  <c r="P21" i="33"/>
  <c r="M27" i="33"/>
  <c r="Q24" i="33"/>
  <c r="I24" i="33"/>
  <c r="O21" i="33"/>
  <c r="L27" i="33"/>
  <c r="P24" i="33"/>
  <c r="N21" i="33"/>
  <c r="K27" i="33"/>
  <c r="O24" i="33"/>
  <c r="M21" i="33"/>
  <c r="J27" i="33"/>
  <c r="J28" i="33" s="1"/>
  <c r="N24" i="33"/>
  <c r="L21" i="33"/>
  <c r="H9" i="33"/>
  <c r="Q12" i="33"/>
  <c r="I12" i="33"/>
  <c r="P12" i="33"/>
  <c r="N9" i="33"/>
  <c r="O12" i="33"/>
  <c r="N12" i="33"/>
  <c r="M12" i="33"/>
  <c r="L12" i="33"/>
  <c r="K12" i="33"/>
  <c r="R12" i="33"/>
  <c r="J12" i="33"/>
  <c r="O9" i="33"/>
  <c r="M9" i="33"/>
  <c r="L9" i="33"/>
  <c r="K9" i="33"/>
  <c r="R9" i="33"/>
  <c r="J9" i="33"/>
  <c r="Q9" i="33"/>
  <c r="I9" i="33"/>
  <c r="P9" i="33"/>
  <c r="M6" i="33"/>
  <c r="L6" i="33"/>
  <c r="K6" i="33"/>
  <c r="R6" i="33"/>
  <c r="J6" i="33"/>
  <c r="Q6" i="33"/>
  <c r="I6" i="33"/>
  <c r="P6" i="33"/>
  <c r="O6" i="33"/>
  <c r="N6" i="33"/>
  <c r="G87" i="33"/>
  <c r="G84" i="33"/>
  <c r="G25" i="33"/>
  <c r="G30" i="33"/>
  <c r="G26" i="33"/>
  <c r="G23" i="33"/>
  <c r="G22" i="33"/>
  <c r="G29" i="33"/>
  <c r="G20" i="33"/>
  <c r="G31" i="33"/>
  <c r="G14" i="33"/>
  <c r="G15" i="33"/>
  <c r="G16" i="33"/>
  <c r="L83" i="33"/>
  <c r="H86" i="33"/>
  <c r="K86" i="33"/>
  <c r="N89" i="33"/>
  <c r="Q67" i="33"/>
  <c r="Q68" i="33" s="1"/>
  <c r="I67" i="33"/>
  <c r="I68" i="33" s="1"/>
  <c r="L70" i="33"/>
  <c r="L71" i="33" s="1"/>
  <c r="O73" i="33"/>
  <c r="O74" i="33" s="1"/>
  <c r="R67" i="33"/>
  <c r="R68" i="33" s="1"/>
  <c r="J67" i="33"/>
  <c r="J68" i="33" s="1"/>
  <c r="M83" i="33"/>
  <c r="P86" i="33"/>
  <c r="H89" i="33"/>
  <c r="K89" i="33"/>
  <c r="J83" i="33"/>
  <c r="R86" i="33"/>
  <c r="J86" i="33"/>
  <c r="M89" i="33"/>
  <c r="P67" i="33"/>
  <c r="P68" i="33" s="1"/>
  <c r="H70" i="33"/>
  <c r="K70" i="33"/>
  <c r="K71" i="33" s="1"/>
  <c r="N73" i="33"/>
  <c r="N74" i="33" s="1"/>
  <c r="O86" i="33"/>
  <c r="R89" i="33"/>
  <c r="J89" i="33"/>
  <c r="H83" i="33"/>
  <c r="K83" i="33"/>
  <c r="Q86" i="33"/>
  <c r="I86" i="33"/>
  <c r="L89" i="33"/>
  <c r="O67" i="33"/>
  <c r="O68" i="33" s="1"/>
  <c r="R70" i="33"/>
  <c r="R71" i="33" s="1"/>
  <c r="J70" i="33"/>
  <c r="J71" i="33" s="1"/>
  <c r="M73" i="33"/>
  <c r="M74" i="33" s="1"/>
  <c r="N86" i="33"/>
  <c r="Q89" i="33"/>
  <c r="I89" i="33"/>
  <c r="N67" i="33"/>
  <c r="N68" i="33" s="1"/>
  <c r="Q70" i="33"/>
  <c r="Q71" i="33" s="1"/>
  <c r="I70" i="33"/>
  <c r="I71" i="33" s="1"/>
  <c r="L73" i="33"/>
  <c r="L74" i="33" s="1"/>
  <c r="R83" i="33"/>
  <c r="M86" i="33"/>
  <c r="P89" i="33"/>
  <c r="Q83" i="33"/>
  <c r="I83" i="33"/>
  <c r="M67" i="33"/>
  <c r="M68" i="33" s="1"/>
  <c r="P70" i="33"/>
  <c r="P71" i="33" s="1"/>
  <c r="H73" i="33"/>
  <c r="K73" i="33"/>
  <c r="K74" i="33" s="1"/>
  <c r="L86" i="33"/>
  <c r="O89" i="33"/>
  <c r="P83" i="33"/>
  <c r="L67" i="33"/>
  <c r="L68" i="33" s="1"/>
  <c r="O70" i="33"/>
  <c r="O71" i="33" s="1"/>
  <c r="R73" i="33"/>
  <c r="R74" i="33" s="1"/>
  <c r="J73" i="33"/>
  <c r="J74" i="33" s="1"/>
  <c r="N83" i="33"/>
  <c r="O83" i="33"/>
  <c r="H67" i="33"/>
  <c r="K67" i="33"/>
  <c r="K68" i="33" s="1"/>
  <c r="N70" i="33"/>
  <c r="N71" i="33" s="1"/>
  <c r="Q73" i="33"/>
  <c r="Q74" i="33" s="1"/>
  <c r="I73" i="33"/>
  <c r="I74" i="33" s="1"/>
  <c r="M70" i="33"/>
  <c r="M71" i="33" s="1"/>
  <c r="P73" i="33"/>
  <c r="P74" i="33" s="1"/>
  <c r="K90" i="33" l="1"/>
  <c r="R90" i="33"/>
  <c r="P90" i="33"/>
  <c r="Q90" i="33"/>
  <c r="N90" i="33"/>
  <c r="O90" i="33"/>
  <c r="M90" i="33"/>
  <c r="H90" i="33"/>
  <c r="H71" i="33"/>
  <c r="G71" i="33" s="1"/>
  <c r="G70" i="33"/>
  <c r="H74" i="33"/>
  <c r="G74" i="33" s="1"/>
  <c r="G73" i="33"/>
  <c r="L90" i="33"/>
  <c r="J90" i="33"/>
  <c r="I90" i="33"/>
  <c r="H68" i="33"/>
  <c r="G68" i="33" s="1"/>
  <c r="G67" i="33"/>
  <c r="G24" i="33"/>
  <c r="G9" i="33"/>
  <c r="N28" i="33"/>
  <c r="R28" i="33"/>
  <c r="P28" i="33"/>
  <c r="L28" i="33"/>
  <c r="G12" i="33"/>
  <c r="I28" i="33"/>
  <c r="O28" i="33"/>
  <c r="Q28" i="33"/>
  <c r="G6" i="33"/>
  <c r="M28" i="33"/>
  <c r="K28" i="33"/>
  <c r="G27" i="33"/>
  <c r="G88" i="33"/>
  <c r="G89" i="33" s="1"/>
  <c r="G82" i="33"/>
  <c r="G85" i="33"/>
  <c r="G86" i="33" s="1"/>
  <c r="G19" i="28"/>
  <c r="H19" i="28" s="1"/>
  <c r="I19" i="28" s="1"/>
  <c r="J19" i="28" s="1"/>
  <c r="K19" i="28" s="1"/>
  <c r="L19" i="28" s="1"/>
  <c r="M19" i="28" s="1"/>
  <c r="N19" i="28" s="1"/>
  <c r="O19" i="28" s="1"/>
  <c r="G18" i="28"/>
  <c r="H18" i="28" s="1"/>
  <c r="I18" i="28" s="1"/>
  <c r="J18" i="28" s="1"/>
  <c r="K18" i="28" s="1"/>
  <c r="L18" i="28" s="1"/>
  <c r="M18" i="28" s="1"/>
  <c r="N18" i="28" s="1"/>
  <c r="O18" i="28" s="1"/>
  <c r="G17" i="28"/>
  <c r="H17" i="28" s="1"/>
  <c r="I17" i="28" s="1"/>
  <c r="J17" i="28" s="1"/>
  <c r="K17" i="28" s="1"/>
  <c r="L17" i="28" s="1"/>
  <c r="M17" i="28" s="1"/>
  <c r="N17" i="28" s="1"/>
  <c r="O17" i="28" s="1"/>
  <c r="G16" i="28"/>
  <c r="H16" i="28" s="1"/>
  <c r="I16" i="28" s="1"/>
  <c r="J16" i="28" s="1"/>
  <c r="K16" i="28" s="1"/>
  <c r="L16" i="28" s="1"/>
  <c r="M16" i="28" s="1"/>
  <c r="N16" i="28" s="1"/>
  <c r="O16" i="28" s="1"/>
  <c r="G15" i="28"/>
  <c r="H15" i="28" s="1"/>
  <c r="I15" i="28" s="1"/>
  <c r="J15" i="28" s="1"/>
  <c r="K15" i="28" s="1"/>
  <c r="L15" i="28" s="1"/>
  <c r="M15" i="28" s="1"/>
  <c r="N15" i="28" s="1"/>
  <c r="O15" i="28" s="1"/>
  <c r="G14" i="28"/>
  <c r="H14" i="28" s="1"/>
  <c r="I14" i="28" s="1"/>
  <c r="J14" i="28" s="1"/>
  <c r="K14" i="28" s="1"/>
  <c r="L14" i="28" s="1"/>
  <c r="M14" i="28" s="1"/>
  <c r="N14" i="28" s="1"/>
  <c r="O14" i="28" s="1"/>
  <c r="G13" i="28"/>
  <c r="H13" i="28" s="1"/>
  <c r="I13" i="28" s="1"/>
  <c r="J13" i="28" s="1"/>
  <c r="K13" i="28" s="1"/>
  <c r="L13" i="28" s="1"/>
  <c r="M13" i="28" s="1"/>
  <c r="N13" i="28" s="1"/>
  <c r="O13" i="28" s="1"/>
  <c r="G12" i="28"/>
  <c r="H12" i="28" s="1"/>
  <c r="I12" i="28" s="1"/>
  <c r="J12" i="28" s="1"/>
  <c r="K12" i="28" s="1"/>
  <c r="L12" i="28" s="1"/>
  <c r="M12" i="28" s="1"/>
  <c r="N12" i="28" s="1"/>
  <c r="O12" i="28" s="1"/>
  <c r="G11" i="28"/>
  <c r="H11" i="28" s="1"/>
  <c r="I11" i="28" s="1"/>
  <c r="J11" i="28" s="1"/>
  <c r="K11" i="28" s="1"/>
  <c r="L11" i="28" s="1"/>
  <c r="M11" i="28" s="1"/>
  <c r="N11" i="28" s="1"/>
  <c r="O11" i="28" s="1"/>
  <c r="G10" i="28"/>
  <c r="H10" i="28" s="1"/>
  <c r="I10" i="28" s="1"/>
  <c r="J10" i="28" s="1"/>
  <c r="K10" i="28" s="1"/>
  <c r="L10" i="28" s="1"/>
  <c r="M10" i="28" s="1"/>
  <c r="N10" i="28" s="1"/>
  <c r="O10" i="28" s="1"/>
  <c r="G9" i="28"/>
  <c r="H9" i="28" s="1"/>
  <c r="I9" i="28" s="1"/>
  <c r="J9" i="28" s="1"/>
  <c r="K9" i="28" s="1"/>
  <c r="L9" i="28" s="1"/>
  <c r="M9" i="28" s="1"/>
  <c r="N9" i="28" s="1"/>
  <c r="O9" i="28" s="1"/>
  <c r="G8" i="28"/>
  <c r="H8" i="28" s="1"/>
  <c r="I8" i="28" s="1"/>
  <c r="J8" i="28" s="1"/>
  <c r="K8" i="28" s="1"/>
  <c r="L8" i="28" s="1"/>
  <c r="M8" i="28" s="1"/>
  <c r="N8" i="28" s="1"/>
  <c r="O8" i="28" s="1"/>
  <c r="G7" i="28"/>
  <c r="H7" i="28" s="1"/>
  <c r="I7" i="28" s="1"/>
  <c r="J7" i="28" s="1"/>
  <c r="K7" i="28" s="1"/>
  <c r="L7" i="28" s="1"/>
  <c r="M7" i="28" s="1"/>
  <c r="N7" i="28" s="1"/>
  <c r="O7" i="28" s="1"/>
  <c r="G6" i="28"/>
  <c r="H6" i="28" s="1"/>
  <c r="I6" i="28" s="1"/>
  <c r="J6" i="28" s="1"/>
  <c r="K6" i="28" s="1"/>
  <c r="L6" i="28" s="1"/>
  <c r="M6" i="28" s="1"/>
  <c r="N6" i="28" s="1"/>
  <c r="O6" i="28" s="1"/>
  <c r="G5" i="28"/>
  <c r="H5" i="28" s="1"/>
  <c r="I5" i="28" s="1"/>
  <c r="J5" i="28" s="1"/>
  <c r="K5" i="28" s="1"/>
  <c r="L5" i="28" s="1"/>
  <c r="M5" i="28" s="1"/>
  <c r="N5" i="28" s="1"/>
  <c r="O5" i="28" s="1"/>
  <c r="AI2" i="25" l="1"/>
  <c r="AH2" i="25"/>
  <c r="AG2" i="25"/>
  <c r="AF2" i="25"/>
  <c r="AE2" i="25"/>
  <c r="AD2" i="25"/>
  <c r="AC2" i="25"/>
  <c r="AB2" i="25"/>
  <c r="AA2" i="25"/>
  <c r="Z2" i="25"/>
  <c r="Y2" i="25"/>
  <c r="W2" i="25"/>
  <c r="V2" i="25"/>
  <c r="U2" i="25"/>
  <c r="T2" i="25"/>
  <c r="S2" i="25"/>
  <c r="R2" i="25"/>
  <c r="Q2" i="25"/>
  <c r="P2" i="25"/>
  <c r="O2" i="25"/>
  <c r="N2" i="25"/>
  <c r="M2" i="25"/>
  <c r="Y2" i="38"/>
  <c r="Z2" i="38"/>
  <c r="AA2" i="38"/>
  <c r="AB2" i="38"/>
  <c r="AC2" i="38"/>
  <c r="AD2" i="38"/>
  <c r="AE2" i="38"/>
  <c r="AF2" i="38"/>
  <c r="AG2" i="38"/>
  <c r="AH2" i="38"/>
  <c r="AI2" i="38"/>
  <c r="G6" i="37" l="1"/>
  <c r="H6" i="37" s="1"/>
  <c r="I6" i="37" s="1"/>
  <c r="J6" i="37" s="1"/>
  <c r="K6" i="37" s="1"/>
  <c r="L6" i="37" s="1"/>
  <c r="M6" i="37" s="1"/>
  <c r="N6" i="37" s="1"/>
  <c r="O6" i="37" s="1"/>
  <c r="G7" i="37"/>
  <c r="H7" i="37" s="1"/>
  <c r="I7" i="37" s="1"/>
  <c r="J7" i="37" s="1"/>
  <c r="K7" i="37" s="1"/>
  <c r="L7" i="37" s="1"/>
  <c r="M7" i="37" s="1"/>
  <c r="N7" i="37" s="1"/>
  <c r="O7" i="37" s="1"/>
  <c r="G8" i="37"/>
  <c r="H8" i="37" s="1"/>
  <c r="I8" i="37" s="1"/>
  <c r="J8" i="37" s="1"/>
  <c r="K8" i="37" s="1"/>
  <c r="L8" i="37" s="1"/>
  <c r="M8" i="37" s="1"/>
  <c r="N8" i="37" s="1"/>
  <c r="O8" i="37" s="1"/>
  <c r="G9" i="37"/>
  <c r="H9" i="37" s="1"/>
  <c r="I9" i="37" s="1"/>
  <c r="J9" i="37" s="1"/>
  <c r="K9" i="37" s="1"/>
  <c r="L9" i="37" s="1"/>
  <c r="M9" i="37" s="1"/>
  <c r="N9" i="37" s="1"/>
  <c r="O9" i="37" s="1"/>
  <c r="G10" i="37"/>
  <c r="H10" i="37" s="1"/>
  <c r="I10" i="37" s="1"/>
  <c r="J10" i="37" s="1"/>
  <c r="K10" i="37" s="1"/>
  <c r="L10" i="37" s="1"/>
  <c r="M10" i="37" s="1"/>
  <c r="N10" i="37" s="1"/>
  <c r="O10" i="37" s="1"/>
  <c r="G11" i="37"/>
  <c r="H11" i="37" s="1"/>
  <c r="I11" i="37" s="1"/>
  <c r="J11" i="37" s="1"/>
  <c r="K11" i="37" s="1"/>
  <c r="L11" i="37" s="1"/>
  <c r="M11" i="37" s="1"/>
  <c r="N11" i="37" s="1"/>
  <c r="O11" i="37" s="1"/>
  <c r="G12" i="37"/>
  <c r="H12" i="37" s="1"/>
  <c r="I12" i="37" s="1"/>
  <c r="J12" i="37" s="1"/>
  <c r="K12" i="37" s="1"/>
  <c r="L12" i="37" s="1"/>
  <c r="M12" i="37" s="1"/>
  <c r="N12" i="37" s="1"/>
  <c r="O12" i="37" s="1"/>
  <c r="G13" i="37"/>
  <c r="H13" i="37" s="1"/>
  <c r="I13" i="37" s="1"/>
  <c r="J13" i="37" s="1"/>
  <c r="K13" i="37" s="1"/>
  <c r="L13" i="37" s="1"/>
  <c r="M13" i="37" s="1"/>
  <c r="N13" i="37" s="1"/>
  <c r="O13" i="37" s="1"/>
  <c r="G14" i="37"/>
  <c r="H14" i="37" s="1"/>
  <c r="I14" i="37" s="1"/>
  <c r="J14" i="37" s="1"/>
  <c r="K14" i="37" s="1"/>
  <c r="L14" i="37" s="1"/>
  <c r="M14" i="37" s="1"/>
  <c r="N14" i="37" s="1"/>
  <c r="O14" i="37" s="1"/>
  <c r="G15" i="37"/>
  <c r="H15" i="37" s="1"/>
  <c r="I15" i="37" s="1"/>
  <c r="J15" i="37" s="1"/>
  <c r="K15" i="37" s="1"/>
  <c r="L15" i="37" s="1"/>
  <c r="M15" i="37" s="1"/>
  <c r="N15" i="37" s="1"/>
  <c r="O15" i="37" s="1"/>
  <c r="G16" i="37"/>
  <c r="H16" i="37" s="1"/>
  <c r="I16" i="37" s="1"/>
  <c r="J16" i="37" s="1"/>
  <c r="K16" i="37" s="1"/>
  <c r="L16" i="37" s="1"/>
  <c r="M16" i="37" s="1"/>
  <c r="N16" i="37" s="1"/>
  <c r="O16" i="37" s="1"/>
  <c r="G17" i="37"/>
  <c r="H17" i="37" s="1"/>
  <c r="I17" i="37" s="1"/>
  <c r="J17" i="37" s="1"/>
  <c r="K17" i="37" s="1"/>
  <c r="L17" i="37" s="1"/>
  <c r="M17" i="37" s="1"/>
  <c r="N17" i="37" s="1"/>
  <c r="O17" i="37" s="1"/>
  <c r="G18" i="37"/>
  <c r="H18" i="37" s="1"/>
  <c r="I18" i="37" s="1"/>
  <c r="J18" i="37" s="1"/>
  <c r="K18" i="37" s="1"/>
  <c r="L18" i="37" s="1"/>
  <c r="M18" i="37" s="1"/>
  <c r="N18" i="37" s="1"/>
  <c r="O18" i="37" s="1"/>
  <c r="G19" i="37"/>
  <c r="H19" i="37" s="1"/>
  <c r="I19" i="37" s="1"/>
  <c r="J19" i="37" s="1"/>
  <c r="K19" i="37" s="1"/>
  <c r="L19" i="37" s="1"/>
  <c r="M19" i="37" s="1"/>
  <c r="N19" i="37" s="1"/>
  <c r="O19" i="37" s="1"/>
  <c r="G20" i="37"/>
  <c r="H20" i="37" s="1"/>
  <c r="I20" i="37" s="1"/>
  <c r="J20" i="37" s="1"/>
  <c r="K20" i="37" s="1"/>
  <c r="L20" i="37" s="1"/>
  <c r="M20" i="37" s="1"/>
  <c r="N20" i="37" s="1"/>
  <c r="O20" i="37" s="1"/>
  <c r="G21" i="37"/>
  <c r="H21" i="37" s="1"/>
  <c r="I21" i="37" s="1"/>
  <c r="J21" i="37" s="1"/>
  <c r="K21" i="37" s="1"/>
  <c r="L21" i="37" s="1"/>
  <c r="M21" i="37" s="1"/>
  <c r="N21" i="37" s="1"/>
  <c r="O21" i="37" s="1"/>
  <c r="G22" i="37"/>
  <c r="H22" i="37" s="1"/>
  <c r="I22" i="37" s="1"/>
  <c r="J22" i="37" s="1"/>
  <c r="K22" i="37" s="1"/>
  <c r="L22" i="37" s="1"/>
  <c r="M22" i="37" s="1"/>
  <c r="N22" i="37" s="1"/>
  <c r="O22" i="37" s="1"/>
  <c r="G23" i="37"/>
  <c r="H23" i="37" s="1"/>
  <c r="I23" i="37" s="1"/>
  <c r="J23" i="37" s="1"/>
  <c r="K23" i="37" s="1"/>
  <c r="L23" i="37" s="1"/>
  <c r="M23" i="37" s="1"/>
  <c r="N23" i="37" s="1"/>
  <c r="O23" i="37" s="1"/>
  <c r="G24" i="37"/>
  <c r="H24" i="37" s="1"/>
  <c r="I24" i="37" s="1"/>
  <c r="J24" i="37" s="1"/>
  <c r="K24" i="37" s="1"/>
  <c r="L24" i="37" s="1"/>
  <c r="M24" i="37" s="1"/>
  <c r="N24" i="37" s="1"/>
  <c r="O24" i="37" s="1"/>
  <c r="G25" i="37"/>
  <c r="H25" i="37" s="1"/>
  <c r="I25" i="37" s="1"/>
  <c r="J25" i="37" s="1"/>
  <c r="K25" i="37" s="1"/>
  <c r="L25" i="37" s="1"/>
  <c r="M25" i="37" s="1"/>
  <c r="N25" i="37" s="1"/>
  <c r="O25" i="37" s="1"/>
  <c r="G26" i="37"/>
  <c r="H26" i="37" s="1"/>
  <c r="I26" i="37" s="1"/>
  <c r="J26" i="37" s="1"/>
  <c r="K26" i="37" s="1"/>
  <c r="L26" i="37" s="1"/>
  <c r="M26" i="37" s="1"/>
  <c r="N26" i="37" s="1"/>
  <c r="O26" i="37" s="1"/>
  <c r="G27" i="37"/>
  <c r="H27" i="37" s="1"/>
  <c r="I27" i="37" s="1"/>
  <c r="J27" i="37" s="1"/>
  <c r="K27" i="37" s="1"/>
  <c r="L27" i="37" s="1"/>
  <c r="M27" i="37" s="1"/>
  <c r="N27" i="37" s="1"/>
  <c r="O27" i="37" s="1"/>
  <c r="G5" i="37"/>
  <c r="H5" i="37" s="1"/>
  <c r="I5" i="37" s="1"/>
  <c r="J5" i="37" s="1"/>
  <c r="K5" i="37" s="1"/>
  <c r="L5" i="37" s="1"/>
  <c r="M5" i="37" s="1"/>
  <c r="N5" i="37" s="1"/>
  <c r="O5" i="37" s="1"/>
  <c r="L13" i="33" l="1"/>
  <c r="K13" i="33"/>
  <c r="R13" i="33"/>
  <c r="J13" i="33"/>
  <c r="Q13" i="33"/>
  <c r="I13" i="33"/>
  <c r="H13" i="33"/>
  <c r="P13" i="33"/>
  <c r="O13" i="33"/>
  <c r="N13" i="33"/>
  <c r="M13" i="33"/>
  <c r="D136" i="42" l="1"/>
  <c r="T136" i="42" s="1"/>
  <c r="D135" i="42"/>
  <c r="D134" i="42"/>
  <c r="D133" i="42"/>
  <c r="D132" i="42"/>
  <c r="D130" i="42"/>
  <c r="D129" i="42"/>
  <c r="D128" i="42"/>
  <c r="D127" i="42"/>
  <c r="D126" i="42"/>
  <c r="D121" i="42"/>
  <c r="T121" i="42" s="1"/>
  <c r="D122" i="42"/>
  <c r="D123" i="42"/>
  <c r="L123" i="42" s="1"/>
  <c r="D124" i="42"/>
  <c r="D120" i="42"/>
  <c r="L120" i="42" s="1"/>
  <c r="L136" i="42"/>
  <c r="R136" i="42"/>
  <c r="M130" i="42"/>
  <c r="S130" i="42"/>
  <c r="M124" i="42"/>
  <c r="T124" i="42"/>
  <c r="T123" i="42"/>
  <c r="M123" i="42"/>
  <c r="T122" i="42"/>
  <c r="S122" i="42"/>
  <c r="M122" i="42"/>
  <c r="L122" i="42"/>
  <c r="K122" i="42"/>
  <c r="R122" i="42"/>
  <c r="M121" i="42"/>
  <c r="L121" i="42"/>
  <c r="K121" i="42"/>
  <c r="J121" i="42"/>
  <c r="Q121" i="42"/>
  <c r="T120" i="42"/>
  <c r="S120" i="42"/>
  <c r="R120" i="42"/>
  <c r="Q120" i="42"/>
  <c r="M120" i="42"/>
  <c r="K120" i="42"/>
  <c r="J120" i="42"/>
  <c r="I120" i="42"/>
  <c r="P120" i="42"/>
  <c r="P5" i="22"/>
  <c r="R121" i="42" l="1"/>
  <c r="S121" i="42"/>
  <c r="S123" i="42"/>
  <c r="L130" i="42"/>
  <c r="T130" i="42"/>
  <c r="K136" i="42"/>
  <c r="S136" i="42"/>
  <c r="N124" i="42"/>
  <c r="M136" i="42"/>
  <c r="N136" i="42"/>
  <c r="N121" i="42"/>
  <c r="O122" i="42"/>
  <c r="H123" i="42"/>
  <c r="P123" i="42"/>
  <c r="I124" i="42"/>
  <c r="Q124" i="42"/>
  <c r="O136" i="42"/>
  <c r="N130" i="42"/>
  <c r="O130" i="42"/>
  <c r="N120" i="42"/>
  <c r="O121" i="42"/>
  <c r="P122" i="42"/>
  <c r="Q123" i="42"/>
  <c r="I130" i="42"/>
  <c r="H136" i="42"/>
  <c r="P136" i="42"/>
  <c r="N122" i="42"/>
  <c r="O123" i="42"/>
  <c r="H124" i="42"/>
  <c r="P124" i="42"/>
  <c r="P130" i="42"/>
  <c r="H122" i="42"/>
  <c r="I123" i="42"/>
  <c r="J124" i="42"/>
  <c r="R124" i="42"/>
  <c r="I136" i="42"/>
  <c r="Q136" i="42"/>
  <c r="N123" i="42"/>
  <c r="O124" i="42"/>
  <c r="H130" i="42"/>
  <c r="Q130" i="42"/>
  <c r="O120" i="42"/>
  <c r="H121" i="42"/>
  <c r="P121" i="42"/>
  <c r="I122" i="42"/>
  <c r="Q122" i="42"/>
  <c r="J123" i="42"/>
  <c r="R123" i="42"/>
  <c r="K124" i="42"/>
  <c r="S124" i="42"/>
  <c r="J130" i="42"/>
  <c r="R130" i="42"/>
  <c r="H120" i="42"/>
  <c r="I121" i="42"/>
  <c r="J122" i="42"/>
  <c r="K123" i="42"/>
  <c r="L124" i="42"/>
  <c r="K130" i="42"/>
  <c r="J136" i="42"/>
  <c r="G124" i="42" l="1"/>
  <c r="M117" i="42"/>
  <c r="R117" i="42"/>
  <c r="J117" i="42"/>
  <c r="L117" i="42"/>
  <c r="K117" i="42"/>
  <c r="Q117" i="42"/>
  <c r="S117" i="42"/>
  <c r="T117" i="42"/>
  <c r="G120" i="42"/>
  <c r="G121" i="42"/>
  <c r="G136" i="42"/>
  <c r="G122" i="42"/>
  <c r="G130" i="42"/>
  <c r="G123" i="42"/>
  <c r="I117" i="42" l="1"/>
  <c r="P117" i="42"/>
  <c r="O117" i="42"/>
  <c r="N117" i="42"/>
  <c r="G117" i="42"/>
  <c r="H117" i="42"/>
  <c r="A113" i="56" l="1"/>
  <c r="A114" i="56"/>
  <c r="A115" i="56"/>
  <c r="A116" i="56"/>
  <c r="A117" i="56"/>
  <c r="A118" i="56"/>
  <c r="A119" i="56"/>
  <c r="A120" i="56"/>
  <c r="A121" i="56"/>
  <c r="A122" i="56"/>
  <c r="A123" i="56"/>
  <c r="A124" i="56"/>
  <c r="A125" i="56"/>
  <c r="A126" i="56"/>
  <c r="A127" i="56"/>
  <c r="A128" i="56"/>
  <c r="A129" i="56"/>
  <c r="A130" i="56"/>
  <c r="A131" i="56"/>
  <c r="A132" i="56"/>
  <c r="A133" i="56"/>
  <c r="A134" i="56"/>
  <c r="A135" i="56"/>
  <c r="A136" i="56"/>
  <c r="O178" i="42" l="1"/>
  <c r="N184" i="42"/>
  <c r="M190" i="42"/>
  <c r="N154" i="42"/>
  <c r="M178" i="42"/>
  <c r="L184" i="42"/>
  <c r="T184" i="42"/>
  <c r="K190" i="42"/>
  <c r="S190" i="42"/>
  <c r="M184" i="42"/>
  <c r="H178" i="42"/>
  <c r="P178" i="42"/>
  <c r="N190" i="42"/>
  <c r="H184" i="42"/>
  <c r="P184" i="42"/>
  <c r="K184" i="42"/>
  <c r="S184" i="42"/>
  <c r="J190" i="42"/>
  <c r="R190" i="42"/>
  <c r="O154" i="42"/>
  <c r="J178" i="42"/>
  <c r="R178" i="42"/>
  <c r="H190" i="42"/>
  <c r="P190" i="42"/>
  <c r="R160" i="42"/>
  <c r="J160" i="42"/>
  <c r="N166" i="42"/>
  <c r="I178" i="42"/>
  <c r="G178" i="42" s="1"/>
  <c r="Q178" i="42"/>
  <c r="O184" i="42"/>
  <c r="L190" i="42"/>
  <c r="T190" i="42"/>
  <c r="K178" i="42"/>
  <c r="S178" i="42"/>
  <c r="I184" i="42"/>
  <c r="Q184" i="42"/>
  <c r="L178" i="42"/>
  <c r="T178" i="42"/>
  <c r="J184" i="42"/>
  <c r="R184" i="42"/>
  <c r="O190" i="42"/>
  <c r="N178" i="42"/>
  <c r="I190" i="42"/>
  <c r="Q190" i="42"/>
  <c r="M154" i="42"/>
  <c r="O166" i="42"/>
  <c r="M166" i="42"/>
  <c r="Q160" i="42"/>
  <c r="I160" i="42"/>
  <c r="Q154" i="42"/>
  <c r="I154" i="42"/>
  <c r="T154" i="42"/>
  <c r="L154" i="42"/>
  <c r="Q166" i="42"/>
  <c r="I166" i="42"/>
  <c r="T166" i="42"/>
  <c r="L166" i="42"/>
  <c r="S160" i="42"/>
  <c r="K160" i="42"/>
  <c r="P160" i="42"/>
  <c r="H160" i="42"/>
  <c r="S154" i="42"/>
  <c r="K154" i="42"/>
  <c r="P154" i="42"/>
  <c r="S166" i="42"/>
  <c r="K166" i="42"/>
  <c r="P166" i="42"/>
  <c r="O160" i="42"/>
  <c r="M160" i="42"/>
  <c r="R154" i="42"/>
  <c r="J154" i="42"/>
  <c r="R166" i="42"/>
  <c r="J166" i="42"/>
  <c r="N160" i="42"/>
  <c r="T160" i="42"/>
  <c r="L160" i="42"/>
  <c r="H166" i="42"/>
  <c r="H154" i="42"/>
  <c r="GK2" i="25"/>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G184" i="42" l="1"/>
  <c r="G160" i="42"/>
  <c r="G190" i="42"/>
  <c r="G154" i="42"/>
  <c r="G166" i="42"/>
  <c r="H6" i="43"/>
  <c r="I6" i="43"/>
  <c r="J6" i="43"/>
  <c r="K6" i="43"/>
  <c r="L6" i="43"/>
  <c r="M6" i="43"/>
  <c r="N6" i="43"/>
  <c r="O6" i="43"/>
  <c r="P6" i="43"/>
  <c r="Q6" i="43"/>
  <c r="R6" i="43"/>
  <c r="H7" i="43"/>
  <c r="I7" i="43"/>
  <c r="J7" i="43"/>
  <c r="K7" i="43"/>
  <c r="L7" i="43"/>
  <c r="M7" i="43"/>
  <c r="N7" i="43"/>
  <c r="O7" i="43"/>
  <c r="P7" i="43"/>
  <c r="Q7" i="43"/>
  <c r="R7" i="43"/>
  <c r="H8" i="43"/>
  <c r="I8" i="43"/>
  <c r="J8" i="43"/>
  <c r="K8" i="43"/>
  <c r="L8" i="43"/>
  <c r="M8" i="43"/>
  <c r="N8" i="43"/>
  <c r="O8" i="43"/>
  <c r="P8" i="43"/>
  <c r="Q8" i="43"/>
  <c r="R8" i="43"/>
  <c r="H9" i="43"/>
  <c r="I9" i="43"/>
  <c r="J9" i="43"/>
  <c r="K9" i="43"/>
  <c r="L9" i="43"/>
  <c r="M9" i="43"/>
  <c r="N9" i="43"/>
  <c r="O9" i="43"/>
  <c r="P9" i="43"/>
  <c r="Q9" i="43"/>
  <c r="R9" i="43"/>
  <c r="H10" i="43"/>
  <c r="I10" i="43"/>
  <c r="J10" i="43"/>
  <c r="K10" i="43"/>
  <c r="L10" i="43"/>
  <c r="M10" i="43"/>
  <c r="N10" i="43"/>
  <c r="O10" i="43"/>
  <c r="P10" i="43"/>
  <c r="Q10" i="43"/>
  <c r="R10" i="43"/>
  <c r="H11" i="43"/>
  <c r="I11" i="43"/>
  <c r="J11" i="43"/>
  <c r="K11" i="43"/>
  <c r="L11" i="43"/>
  <c r="M11" i="43"/>
  <c r="N11" i="43"/>
  <c r="O11" i="43"/>
  <c r="P11" i="43"/>
  <c r="Q11" i="43"/>
  <c r="R11" i="43"/>
  <c r="H12" i="43"/>
  <c r="I12" i="43"/>
  <c r="J12" i="43"/>
  <c r="K12" i="43"/>
  <c r="L12" i="43"/>
  <c r="M12" i="43"/>
  <c r="N12" i="43"/>
  <c r="O12" i="43"/>
  <c r="P12" i="43"/>
  <c r="Q12" i="43"/>
  <c r="R12" i="43"/>
  <c r="H13" i="43"/>
  <c r="I13" i="43"/>
  <c r="J13" i="43"/>
  <c r="K13" i="43"/>
  <c r="L13" i="43"/>
  <c r="M13" i="43"/>
  <c r="N13" i="43"/>
  <c r="O13" i="43"/>
  <c r="P13" i="43"/>
  <c r="Q13" i="43"/>
  <c r="R13" i="43"/>
  <c r="H14" i="43"/>
  <c r="I14" i="43"/>
  <c r="J14" i="43"/>
  <c r="K14" i="43"/>
  <c r="L14" i="43"/>
  <c r="M14" i="43"/>
  <c r="N14" i="43"/>
  <c r="O14" i="43"/>
  <c r="P14" i="43"/>
  <c r="Q14" i="43"/>
  <c r="R14" i="43"/>
  <c r="H15" i="43"/>
  <c r="I15" i="43"/>
  <c r="J15" i="43"/>
  <c r="K15" i="43"/>
  <c r="L15" i="43"/>
  <c r="M15" i="43"/>
  <c r="N15" i="43"/>
  <c r="O15" i="43"/>
  <c r="P15" i="43"/>
  <c r="Q15" i="43"/>
  <c r="R15" i="43"/>
  <c r="I5" i="43"/>
  <c r="J5" i="43"/>
  <c r="K5" i="43"/>
  <c r="L5" i="43"/>
  <c r="M5" i="43"/>
  <c r="N5" i="43"/>
  <c r="O5" i="43"/>
  <c r="P5" i="43"/>
  <c r="Q5" i="43"/>
  <c r="R5" i="43"/>
  <c r="H5" i="43"/>
  <c r="F1" i="45" l="1"/>
  <c r="FJ2" i="41"/>
  <c r="FI2" i="41"/>
  <c r="FH2" i="41"/>
  <c r="FG2" i="41"/>
  <c r="FF2" i="41"/>
  <c r="FE2" i="41"/>
  <c r="FD2" i="41"/>
  <c r="FC2" i="41"/>
  <c r="FB2" i="41"/>
  <c r="FA2" i="41"/>
  <c r="EZ2" i="41"/>
  <c r="EY2" i="41"/>
  <c r="EX2" i="41"/>
  <c r="EW2" i="41"/>
  <c r="EV2" i="41"/>
  <c r="EU2" i="41"/>
  <c r="ET2" i="41"/>
  <c r="ES2" i="41"/>
  <c r="ER2" i="41"/>
  <c r="EQ2" i="41"/>
  <c r="EP2" i="41"/>
  <c r="EO2" i="41"/>
  <c r="EN2" i="41"/>
  <c r="EM2" i="41"/>
  <c r="EL2" i="41"/>
  <c r="EK2" i="41"/>
  <c r="EJ2" i="41"/>
  <c r="EI2" i="41"/>
  <c r="EH2" i="41"/>
  <c r="EG2" i="41"/>
  <c r="EF2" i="41"/>
  <c r="EE2" i="41"/>
  <c r="ED2" i="41"/>
  <c r="EC2" i="41"/>
  <c r="EB2" i="41"/>
  <c r="EA2" i="41"/>
  <c r="DZ2" i="41"/>
  <c r="DY2" i="41"/>
  <c r="DX2" i="41"/>
  <c r="DW2" i="41"/>
  <c r="DV2" i="41"/>
  <c r="DU2" i="41"/>
  <c r="DT2" i="41"/>
  <c r="DS2" i="41"/>
  <c r="DR2" i="41"/>
  <c r="DQ2" i="41"/>
  <c r="DP2" i="41"/>
  <c r="DO2" i="41"/>
  <c r="DN2" i="41"/>
  <c r="DM2" i="41"/>
  <c r="DL2" i="41"/>
  <c r="DK2" i="41"/>
  <c r="DJ2" i="41"/>
  <c r="DI2" i="41"/>
  <c r="DH2" i="41"/>
  <c r="DG2" i="41"/>
  <c r="DF2" i="41"/>
  <c r="DE2" i="41"/>
  <c r="DD2" i="41"/>
  <c r="DC2" i="41"/>
  <c r="DB2" i="41"/>
  <c r="DA2" i="41"/>
  <c r="CZ2" i="41"/>
  <c r="CY2" i="41"/>
  <c r="CX2" i="41"/>
  <c r="CW2" i="41"/>
  <c r="CV2" i="41"/>
  <c r="CU2" i="41"/>
  <c r="CT2" i="41"/>
  <c r="CS2" i="41"/>
  <c r="CR2" i="41"/>
  <c r="CQ2" i="41"/>
  <c r="CP2" i="41"/>
  <c r="CO2" i="41"/>
  <c r="CN2" i="41"/>
  <c r="CM2" i="41"/>
  <c r="CL2" i="41"/>
  <c r="CK2" i="41"/>
  <c r="CJ2" i="41"/>
  <c r="CI2" i="41"/>
  <c r="CH2" i="41"/>
  <c r="CG2" i="41"/>
  <c r="CF2" i="41"/>
  <c r="CE2" i="41"/>
  <c r="CD2" i="41"/>
  <c r="CC2" i="41"/>
  <c r="CB2" i="41"/>
  <c r="CA2" i="41"/>
  <c r="BZ2" i="41"/>
  <c r="BY2" i="41"/>
  <c r="BX2" i="41"/>
  <c r="BW2" i="41"/>
  <c r="BV2" i="41"/>
  <c r="BU2" i="41"/>
  <c r="BT2" i="41"/>
  <c r="BS2" i="41"/>
  <c r="BR2" i="41"/>
  <c r="BQ2" i="41"/>
  <c r="BP2" i="41"/>
  <c r="BO2" i="41"/>
  <c r="BN2" i="41"/>
  <c r="BM2" i="41"/>
  <c r="BL2" i="41"/>
  <c r="BK2" i="41"/>
  <c r="BJ2" i="41"/>
  <c r="BI2" i="41"/>
  <c r="BH2" i="41"/>
  <c r="BG2" i="41"/>
  <c r="BF2" i="41"/>
  <c r="BE2" i="41"/>
  <c r="BD2" i="41"/>
  <c r="BC2" i="41"/>
  <c r="BB2" i="41"/>
  <c r="BA2" i="41"/>
  <c r="AZ2" i="41"/>
  <c r="AY2" i="41"/>
  <c r="AX2" i="41"/>
  <c r="AW2" i="41"/>
  <c r="AV2" i="41"/>
  <c r="AU2" i="41"/>
  <c r="AT2" i="41"/>
  <c r="AS2" i="41"/>
  <c r="AR2" i="41"/>
  <c r="AQ2" i="41"/>
  <c r="AP2" i="41"/>
  <c r="AO2" i="41"/>
  <c r="AN2" i="41"/>
  <c r="AM2" i="41"/>
  <c r="AL2" i="41"/>
  <c r="AK2" i="41"/>
  <c r="AJ2" i="41"/>
  <c r="AI2" i="41"/>
  <c r="AH2" i="41"/>
  <c r="AG2" i="41"/>
  <c r="AF2" i="41"/>
  <c r="AE2" i="41"/>
  <c r="AD2" i="41"/>
  <c r="AC2" i="41"/>
  <c r="AB2" i="41"/>
  <c r="AA2" i="41"/>
  <c r="Z2" i="41"/>
  <c r="Y2" i="41"/>
  <c r="X2" i="41"/>
  <c r="W2" i="41"/>
  <c r="P2" i="41"/>
  <c r="FJ2" i="22" l="1"/>
  <c r="FI2" i="22"/>
  <c r="FH2" i="22"/>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Z2" i="22"/>
  <c r="DY2" i="22"/>
  <c r="DX2" i="22"/>
  <c r="DW2" i="22"/>
  <c r="DV2" i="22"/>
  <c r="DU2" i="22"/>
  <c r="DT2" i="22"/>
  <c r="DS2" i="22"/>
  <c r="DR2" i="22"/>
  <c r="DQ2" i="22"/>
  <c r="DP2" i="22"/>
  <c r="DO2" i="22"/>
  <c r="DN2" i="22"/>
  <c r="DM2" i="22"/>
  <c r="DL2" i="22"/>
  <c r="DK2" i="22"/>
  <c r="DJ2" i="22"/>
  <c r="DI2" i="22"/>
  <c r="DH2" i="22"/>
  <c r="DG2" i="22"/>
  <c r="DF2" i="22"/>
  <c r="DE2" i="22"/>
  <c r="DD2" i="22"/>
  <c r="DC2" i="22"/>
  <c r="DB2" i="22"/>
  <c r="DA2" i="22"/>
  <c r="CZ2" i="22"/>
  <c r="CY2" i="22"/>
  <c r="CX2" i="22"/>
  <c r="CW2" i="22"/>
  <c r="CV2" i="22"/>
  <c r="CU2" i="22"/>
  <c r="CT2" i="22"/>
  <c r="CS2" i="22"/>
  <c r="CR2" i="22"/>
  <c r="CQ2" i="22"/>
  <c r="CP2" i="22"/>
  <c r="CO2" i="22"/>
  <c r="CN2" i="22"/>
  <c r="CM2" i="22"/>
  <c r="CL2" i="22"/>
  <c r="CK2" i="22"/>
  <c r="CJ2" i="22"/>
  <c r="CI2" i="22"/>
  <c r="CH2" i="22"/>
  <c r="CG2" i="22"/>
  <c r="CF2" i="22"/>
  <c r="CE2" i="22"/>
  <c r="CD2" i="22"/>
  <c r="CC2" i="22"/>
  <c r="CB2" i="22"/>
  <c r="CA2" i="22"/>
  <c r="BZ2" i="22"/>
  <c r="BY2" i="22"/>
  <c r="BX2" i="22"/>
  <c r="BW2" i="22"/>
  <c r="BV2" i="22"/>
  <c r="BU2" i="22"/>
  <c r="BT2" i="22"/>
  <c r="BS2" i="22"/>
  <c r="BR2" i="22"/>
  <c r="BQ2" i="22"/>
  <c r="BP2" i="22"/>
  <c r="BO2" i="22"/>
  <c r="BN2" i="22"/>
  <c r="BM2" i="22"/>
  <c r="BL2" i="22"/>
  <c r="BK2" i="22"/>
  <c r="BJ2" i="22"/>
  <c r="BI2" i="22"/>
  <c r="BH2" i="22"/>
  <c r="BG2" i="22"/>
  <c r="BF2" i="22"/>
  <c r="BE2" i="22"/>
  <c r="BD2" i="22"/>
  <c r="BC2" i="22"/>
  <c r="BB2" i="22"/>
  <c r="BA2" i="22"/>
  <c r="AZ2" i="22"/>
  <c r="AY2" i="22"/>
  <c r="AX2" i="22"/>
  <c r="AW2" i="22"/>
  <c r="AV2" i="22"/>
  <c r="AU2" i="22"/>
  <c r="AT2" i="22"/>
  <c r="AS2" i="22"/>
  <c r="AR2" i="22"/>
  <c r="AQ2" i="22"/>
  <c r="AP2" i="22"/>
  <c r="AO2" i="22"/>
  <c r="AN2" i="22"/>
  <c r="AM2" i="22"/>
  <c r="AL2" i="22"/>
  <c r="AK2" i="22"/>
  <c r="AJ2" i="22"/>
  <c r="AI2" i="22"/>
  <c r="AH2" i="22"/>
  <c r="AG2" i="22"/>
  <c r="AF2" i="22"/>
  <c r="AE2" i="22"/>
  <c r="AD2" i="22"/>
  <c r="AC2" i="22"/>
  <c r="AB2" i="22"/>
  <c r="AA2" i="22"/>
  <c r="Z2" i="22"/>
  <c r="Y2" i="22"/>
  <c r="X2" i="22"/>
  <c r="W2" i="22"/>
  <c r="GK2" i="38"/>
  <c r="GJ2" i="38"/>
  <c r="GI2" i="38"/>
  <c r="GH2" i="38"/>
  <c r="GG2" i="38"/>
  <c r="GF2" i="38"/>
  <c r="GE2" i="38"/>
  <c r="GD2" i="38"/>
  <c r="GC2" i="38"/>
  <c r="GB2" i="38"/>
  <c r="GA2" i="38"/>
  <c r="FZ2" i="38"/>
  <c r="FY2" i="38"/>
  <c r="FX2" i="38"/>
  <c r="FW2" i="38"/>
  <c r="FV2" i="38"/>
  <c r="FU2" i="38"/>
  <c r="FT2" i="38"/>
  <c r="FS2" i="38"/>
  <c r="FR2" i="38"/>
  <c r="FQ2" i="38"/>
  <c r="FP2" i="38"/>
  <c r="FO2" i="38"/>
  <c r="FN2" i="38"/>
  <c r="FM2" i="38"/>
  <c r="FL2" i="38"/>
  <c r="FK2" i="38"/>
  <c r="FJ2" i="38"/>
  <c r="FI2" i="38"/>
  <c r="FH2" i="38"/>
  <c r="FG2" i="38"/>
  <c r="FF2" i="38"/>
  <c r="FE2" i="38"/>
  <c r="FD2" i="38"/>
  <c r="FC2" i="38"/>
  <c r="FB2" i="38"/>
  <c r="FA2" i="38"/>
  <c r="EZ2" i="38"/>
  <c r="EY2" i="38"/>
  <c r="EX2" i="38"/>
  <c r="EW2" i="38"/>
  <c r="EV2" i="38"/>
  <c r="EU2" i="38"/>
  <c r="ET2" i="38"/>
  <c r="ES2" i="38"/>
  <c r="ER2" i="38"/>
  <c r="EQ2" i="38"/>
  <c r="EP2" i="38"/>
  <c r="EO2" i="38"/>
  <c r="EN2" i="38"/>
  <c r="EM2" i="38"/>
  <c r="EL2" i="38"/>
  <c r="EK2" i="38"/>
  <c r="EJ2" i="38"/>
  <c r="EI2" i="38"/>
  <c r="EH2" i="38"/>
  <c r="EG2" i="38"/>
  <c r="EF2" i="38"/>
  <c r="EE2" i="38"/>
  <c r="ED2" i="38"/>
  <c r="EC2" i="38"/>
  <c r="EB2" i="38"/>
  <c r="EA2" i="38"/>
  <c r="DZ2" i="38"/>
  <c r="DY2" i="38"/>
  <c r="DX2" i="38"/>
  <c r="DW2" i="38"/>
  <c r="DV2" i="38"/>
  <c r="DU2" i="38"/>
  <c r="DT2" i="38"/>
  <c r="DS2" i="38"/>
  <c r="DR2" i="38"/>
  <c r="DQ2" i="38"/>
  <c r="DP2" i="38"/>
  <c r="DO2" i="38"/>
  <c r="DN2" i="38"/>
  <c r="DM2" i="38"/>
  <c r="DL2" i="38"/>
  <c r="DK2" i="38"/>
  <c r="DJ2" i="38"/>
  <c r="DI2" i="38"/>
  <c r="DH2" i="38"/>
  <c r="DG2" i="38"/>
  <c r="DF2" i="38"/>
  <c r="DE2" i="38"/>
  <c r="DD2" i="38"/>
  <c r="DC2" i="38"/>
  <c r="DB2" i="38"/>
  <c r="DA2" i="38"/>
  <c r="CZ2" i="38"/>
  <c r="CY2" i="38"/>
  <c r="CX2" i="38"/>
  <c r="CW2" i="38"/>
  <c r="CV2" i="38"/>
  <c r="CU2" i="38"/>
  <c r="CT2" i="38"/>
  <c r="CS2" i="38"/>
  <c r="CR2" i="38"/>
  <c r="CQ2" i="38"/>
  <c r="CP2" i="38"/>
  <c r="CO2" i="38"/>
  <c r="CN2" i="38"/>
  <c r="CM2" i="38"/>
  <c r="CL2" i="38"/>
  <c r="CK2" i="38"/>
  <c r="CJ2" i="38"/>
  <c r="CI2" i="38"/>
  <c r="CH2" i="38"/>
  <c r="CG2" i="38"/>
  <c r="CF2" i="38"/>
  <c r="CE2" i="38"/>
  <c r="CD2" i="38"/>
  <c r="CC2" i="38"/>
  <c r="CB2" i="38"/>
  <c r="CA2" i="38"/>
  <c r="BZ2" i="38"/>
  <c r="BY2" i="38"/>
  <c r="BX2" i="38"/>
  <c r="BW2" i="38"/>
  <c r="BV2" i="38"/>
  <c r="BU2" i="38"/>
  <c r="BT2" i="38"/>
  <c r="BS2" i="38"/>
  <c r="BR2" i="38"/>
  <c r="BQ2" i="38"/>
  <c r="BP2" i="38"/>
  <c r="BO2" i="38"/>
  <c r="BN2" i="38"/>
  <c r="BM2" i="38"/>
  <c r="BL2" i="38"/>
  <c r="BK2" i="38"/>
  <c r="BJ2" i="38"/>
  <c r="BI2" i="38"/>
  <c r="BH2" i="38"/>
  <c r="BG2" i="38"/>
  <c r="BF2" i="38"/>
  <c r="BE2" i="38"/>
  <c r="BD2" i="38"/>
  <c r="BC2" i="38"/>
  <c r="BB2" i="38"/>
  <c r="BA2" i="38"/>
  <c r="AZ2" i="38"/>
  <c r="AY2" i="38"/>
  <c r="AX2" i="38"/>
  <c r="O2" i="56" l="1"/>
  <c r="A6" i="56" l="1"/>
  <c r="A7" i="56"/>
  <c r="A8" i="56"/>
  <c r="A9" i="56"/>
  <c r="A10" i="56"/>
  <c r="A11" i="56"/>
  <c r="A12" i="56"/>
  <c r="A13" i="56"/>
  <c r="A14" i="56"/>
  <c r="A15" i="56"/>
  <c r="A16" i="56"/>
  <c r="A17" i="56"/>
  <c r="A18" i="56"/>
  <c r="A19" i="56"/>
  <c r="A20" i="56"/>
  <c r="A21" i="56"/>
  <c r="A22" i="56"/>
  <c r="A23" i="56"/>
  <c r="A24" i="56"/>
  <c r="A25" i="56"/>
  <c r="A26" i="56"/>
  <c r="A27" i="56"/>
  <c r="A28" i="56"/>
  <c r="A29" i="56"/>
  <c r="A30" i="56"/>
  <c r="A31" i="56"/>
  <c r="A32" i="56"/>
  <c r="A33" i="56"/>
  <c r="A34" i="56"/>
  <c r="A35" i="56"/>
  <c r="A36" i="56"/>
  <c r="A37" i="56"/>
  <c r="A38" i="56"/>
  <c r="A39" i="56"/>
  <c r="A40" i="56"/>
  <c r="A41" i="56"/>
  <c r="A42" i="56"/>
  <c r="A43" i="56"/>
  <c r="A44" i="56"/>
  <c r="A45" i="56"/>
  <c r="A46" i="56"/>
  <c r="A47" i="56"/>
  <c r="A48" i="56"/>
  <c r="A49" i="56"/>
  <c r="A50" i="56"/>
  <c r="A51" i="56"/>
  <c r="A52" i="56"/>
  <c r="A53" i="56"/>
  <c r="A54" i="56"/>
  <c r="A55" i="56"/>
  <c r="A56" i="56"/>
  <c r="A57" i="56"/>
  <c r="A58" i="56"/>
  <c r="A59" i="56"/>
  <c r="A60" i="56"/>
  <c r="A61" i="56"/>
  <c r="A62" i="56"/>
  <c r="A63" i="56"/>
  <c r="A64" i="56"/>
  <c r="A65" i="56"/>
  <c r="A66" i="56"/>
  <c r="A67" i="56"/>
  <c r="A68" i="56"/>
  <c r="A69" i="56"/>
  <c r="A70" i="56"/>
  <c r="A71" i="56"/>
  <c r="A72" i="56"/>
  <c r="A73" i="56"/>
  <c r="A74" i="56"/>
  <c r="A75" i="56"/>
  <c r="A76" i="56"/>
  <c r="A77" i="56"/>
  <c r="A78" i="56"/>
  <c r="A79" i="56"/>
  <c r="A80" i="56"/>
  <c r="A81" i="56"/>
  <c r="A82" i="56"/>
  <c r="A83" i="56"/>
  <c r="A84" i="56"/>
  <c r="A85" i="56"/>
  <c r="A86" i="56"/>
  <c r="A87" i="56"/>
  <c r="A88" i="56"/>
  <c r="A89" i="56"/>
  <c r="A90" i="56"/>
  <c r="A91" i="56"/>
  <c r="A92" i="56"/>
  <c r="A93" i="56"/>
  <c r="A94" i="56"/>
  <c r="A95" i="56"/>
  <c r="A96" i="56"/>
  <c r="A97" i="56"/>
  <c r="A98" i="56"/>
  <c r="A99" i="56"/>
  <c r="A100" i="56"/>
  <c r="A101" i="56"/>
  <c r="A102" i="56"/>
  <c r="A103" i="56"/>
  <c r="A104" i="56"/>
  <c r="A105" i="56"/>
  <c r="A106" i="56"/>
  <c r="A107" i="56"/>
  <c r="A108" i="56"/>
  <c r="A109" i="56"/>
  <c r="A110" i="56"/>
  <c r="A111" i="56"/>
  <c r="A112" i="56"/>
  <c r="A5" i="56"/>
  <c r="C12" i="47" l="1"/>
  <c r="C36" i="47"/>
  <c r="E21" i="47" l="1"/>
  <c r="F21" i="47"/>
  <c r="G21" i="47"/>
  <c r="H21" i="47"/>
  <c r="I21" i="47"/>
  <c r="J21" i="47"/>
  <c r="D21" i="47"/>
  <c r="C21" i="47" l="1"/>
  <c r="P11" i="45"/>
  <c r="K11" i="45" s="1"/>
  <c r="P12" i="45"/>
  <c r="K12" i="45" s="1"/>
  <c r="P7" i="45"/>
  <c r="K7" i="45" s="1"/>
  <c r="P9" i="45"/>
  <c r="K9" i="45" s="1"/>
  <c r="AA22" i="45" l="1"/>
  <c r="Z22" i="45"/>
  <c r="Y22" i="45"/>
  <c r="S22" i="45"/>
  <c r="R22" i="45"/>
  <c r="AA21" i="45"/>
  <c r="Z21" i="45"/>
  <c r="Y21" i="45"/>
  <c r="W21" i="45"/>
  <c r="V21" i="45"/>
  <c r="T21" i="45"/>
  <c r="S21" i="45"/>
  <c r="R21" i="45"/>
  <c r="Q21" i="45"/>
  <c r="AA20" i="45"/>
  <c r="Z20" i="45"/>
  <c r="Y20" i="45"/>
  <c r="W20" i="45"/>
  <c r="V20" i="45"/>
  <c r="U20" i="45"/>
  <c r="T20" i="45"/>
  <c r="S20" i="45"/>
  <c r="R20" i="45"/>
  <c r="Z19" i="45"/>
  <c r="Y19" i="45"/>
  <c r="W19" i="45"/>
  <c r="V19" i="45"/>
  <c r="U19" i="45"/>
  <c r="T19" i="45"/>
  <c r="R19" i="45"/>
  <c r="Q19" i="45"/>
  <c r="AA18" i="45"/>
  <c r="Z18" i="45"/>
  <c r="Y18" i="45"/>
  <c r="X18" i="45"/>
  <c r="W18" i="45"/>
  <c r="U18" i="45"/>
  <c r="T18" i="45"/>
  <c r="S18" i="45"/>
  <c r="R18" i="45"/>
  <c r="Q10" i="45"/>
  <c r="R10" i="45"/>
  <c r="E20" i="47" s="1"/>
  <c r="S10" i="45"/>
  <c r="F20" i="47" s="1"/>
  <c r="T10" i="45"/>
  <c r="G20" i="47" s="1"/>
  <c r="U10" i="45"/>
  <c r="H20" i="47" s="1"/>
  <c r="V10" i="45"/>
  <c r="I20" i="47" s="1"/>
  <c r="W10" i="45"/>
  <c r="J20" i="47" s="1"/>
  <c r="X10" i="45"/>
  <c r="Y10" i="45"/>
  <c r="Z10" i="45"/>
  <c r="AA10" i="45"/>
  <c r="R6" i="45"/>
  <c r="S6" i="45"/>
  <c r="T6" i="45"/>
  <c r="U6" i="45"/>
  <c r="V6" i="45"/>
  <c r="W6" i="45"/>
  <c r="X6" i="45"/>
  <c r="Y6" i="45"/>
  <c r="Z6" i="45"/>
  <c r="AA6" i="45"/>
  <c r="Q6" i="45"/>
  <c r="D237" i="42"/>
  <c r="D236" i="42"/>
  <c r="D235" i="42"/>
  <c r="D234" i="42"/>
  <c r="D233" i="42"/>
  <c r="D231" i="42"/>
  <c r="D230" i="42"/>
  <c r="D229" i="42"/>
  <c r="D228" i="42"/>
  <c r="D227" i="42"/>
  <c r="D222" i="42"/>
  <c r="D223" i="42"/>
  <c r="D224" i="42"/>
  <c r="D225" i="42"/>
  <c r="D221" i="42"/>
  <c r="Q236" i="42" l="1"/>
  <c r="I236" i="42"/>
  <c r="P236" i="42"/>
  <c r="H236" i="42"/>
  <c r="O236" i="42"/>
  <c r="N236" i="42"/>
  <c r="M236" i="42"/>
  <c r="T236" i="42"/>
  <c r="L236" i="42"/>
  <c r="S236" i="42"/>
  <c r="K236" i="42"/>
  <c r="R236" i="42"/>
  <c r="J236" i="42"/>
  <c r="Q227" i="42"/>
  <c r="I227" i="42"/>
  <c r="P227" i="42"/>
  <c r="H227" i="42"/>
  <c r="O227" i="42"/>
  <c r="N227" i="42"/>
  <c r="M227" i="42"/>
  <c r="T227" i="42"/>
  <c r="L227" i="42"/>
  <c r="S227" i="42"/>
  <c r="K227" i="42"/>
  <c r="R227" i="42"/>
  <c r="J227" i="42"/>
  <c r="O229" i="42"/>
  <c r="N229" i="42"/>
  <c r="M229" i="42"/>
  <c r="T229" i="42"/>
  <c r="L229" i="42"/>
  <c r="S229" i="42"/>
  <c r="K229" i="42"/>
  <c r="R229" i="42"/>
  <c r="J229" i="42"/>
  <c r="Q229" i="42"/>
  <c r="I229" i="42"/>
  <c r="P229" i="42"/>
  <c r="H229" i="42"/>
  <c r="R221" i="42"/>
  <c r="J221" i="42"/>
  <c r="Q221" i="42"/>
  <c r="I221" i="42"/>
  <c r="P221" i="42"/>
  <c r="H221" i="42"/>
  <c r="O221" i="42"/>
  <c r="N221" i="42"/>
  <c r="M221" i="42"/>
  <c r="T221" i="42"/>
  <c r="L221" i="42"/>
  <c r="S221" i="42"/>
  <c r="K221" i="42"/>
  <c r="R230" i="42"/>
  <c r="J230" i="42"/>
  <c r="Q230" i="42"/>
  <c r="I230" i="42"/>
  <c r="P230" i="42"/>
  <c r="H230" i="42"/>
  <c r="O230" i="42"/>
  <c r="N230" i="42"/>
  <c r="M230" i="42"/>
  <c r="T230" i="42"/>
  <c r="L230" i="42"/>
  <c r="S230" i="42"/>
  <c r="K230" i="42"/>
  <c r="N225" i="42"/>
  <c r="M225" i="42"/>
  <c r="T225" i="42"/>
  <c r="L225" i="42"/>
  <c r="S225" i="42"/>
  <c r="K225" i="42"/>
  <c r="R225" i="42"/>
  <c r="J225" i="42"/>
  <c r="Q225" i="42"/>
  <c r="I225" i="42"/>
  <c r="P225" i="42"/>
  <c r="H225" i="42"/>
  <c r="O225" i="42"/>
  <c r="M231" i="42"/>
  <c r="T231" i="42"/>
  <c r="L231" i="42"/>
  <c r="S231" i="42"/>
  <c r="K231" i="42"/>
  <c r="R231" i="42"/>
  <c r="J231" i="42"/>
  <c r="Q231" i="42"/>
  <c r="I231" i="42"/>
  <c r="P231" i="42"/>
  <c r="H231" i="42"/>
  <c r="O231" i="42"/>
  <c r="N231" i="42"/>
  <c r="T228" i="42"/>
  <c r="L228" i="42"/>
  <c r="S228" i="42"/>
  <c r="K228" i="42"/>
  <c r="R228" i="42"/>
  <c r="J228" i="42"/>
  <c r="Q228" i="42"/>
  <c r="I228" i="42"/>
  <c r="P228" i="42"/>
  <c r="H228" i="42"/>
  <c r="O228" i="42"/>
  <c r="N228" i="42"/>
  <c r="M228" i="42"/>
  <c r="S224" i="42"/>
  <c r="K224" i="42"/>
  <c r="R224" i="42"/>
  <c r="J224" i="42"/>
  <c r="Q224" i="42"/>
  <c r="I224" i="42"/>
  <c r="P224" i="42"/>
  <c r="H224" i="42"/>
  <c r="O224" i="42"/>
  <c r="N224" i="42"/>
  <c r="M224" i="42"/>
  <c r="T224" i="42"/>
  <c r="L224" i="42"/>
  <c r="P233" i="42"/>
  <c r="H233" i="42"/>
  <c r="O233" i="42"/>
  <c r="N233" i="42"/>
  <c r="M233" i="42"/>
  <c r="T233" i="42"/>
  <c r="L233" i="42"/>
  <c r="S233" i="42"/>
  <c r="K233" i="42"/>
  <c r="R233" i="42"/>
  <c r="J233" i="42"/>
  <c r="Q233" i="42"/>
  <c r="I233" i="42"/>
  <c r="T237" i="42"/>
  <c r="L237" i="42"/>
  <c r="S237" i="42"/>
  <c r="K237" i="42"/>
  <c r="R237" i="42"/>
  <c r="J237" i="42"/>
  <c r="Q237" i="42"/>
  <c r="I237" i="42"/>
  <c r="P237" i="42"/>
  <c r="H237" i="42"/>
  <c r="O237" i="42"/>
  <c r="N237" i="42"/>
  <c r="M237" i="42"/>
  <c r="P223" i="42"/>
  <c r="H223" i="42"/>
  <c r="O223" i="42"/>
  <c r="N223" i="42"/>
  <c r="M223" i="42"/>
  <c r="T223" i="42"/>
  <c r="L223" i="42"/>
  <c r="S223" i="42"/>
  <c r="K223" i="42"/>
  <c r="R223" i="42"/>
  <c r="J223" i="42"/>
  <c r="Q223" i="42"/>
  <c r="I223" i="42"/>
  <c r="S234" i="42"/>
  <c r="K234" i="42"/>
  <c r="R234" i="42"/>
  <c r="J234" i="42"/>
  <c r="Q234" i="42"/>
  <c r="I234" i="42"/>
  <c r="P234" i="42"/>
  <c r="H234" i="42"/>
  <c r="O234" i="42"/>
  <c r="N234" i="42"/>
  <c r="M234" i="42"/>
  <c r="T234" i="42"/>
  <c r="L234" i="42"/>
  <c r="M222" i="42"/>
  <c r="T222" i="42"/>
  <c r="L222" i="42"/>
  <c r="S222" i="42"/>
  <c r="K222" i="42"/>
  <c r="R222" i="42"/>
  <c r="J222" i="42"/>
  <c r="Q222" i="42"/>
  <c r="I222" i="42"/>
  <c r="P222" i="42"/>
  <c r="H222" i="42"/>
  <c r="O222" i="42"/>
  <c r="N222" i="42"/>
  <c r="N235" i="42"/>
  <c r="M235" i="42"/>
  <c r="T235" i="42"/>
  <c r="L235" i="42"/>
  <c r="S235" i="42"/>
  <c r="K235" i="42"/>
  <c r="R235" i="42"/>
  <c r="J235" i="42"/>
  <c r="Q235" i="42"/>
  <c r="I235" i="42"/>
  <c r="P235" i="42"/>
  <c r="H235" i="42"/>
  <c r="O235" i="42"/>
  <c r="X8" i="45"/>
  <c r="X13" i="45" s="1"/>
  <c r="J18" i="47"/>
  <c r="D20" i="47"/>
  <c r="C20" i="47" s="1"/>
  <c r="P10" i="45"/>
  <c r="K10" i="45" s="1"/>
  <c r="W8" i="45"/>
  <c r="J19" i="47" s="1"/>
  <c r="I18" i="47"/>
  <c r="V8" i="45"/>
  <c r="I19" i="47" s="1"/>
  <c r="H18" i="47"/>
  <c r="U8" i="45"/>
  <c r="H19" i="47" s="1"/>
  <c r="D18" i="47"/>
  <c r="P6" i="45"/>
  <c r="G18" i="47"/>
  <c r="T8" i="45"/>
  <c r="G19" i="47" s="1"/>
  <c r="F18" i="47"/>
  <c r="AA8" i="45"/>
  <c r="AA13" i="45" s="1"/>
  <c r="S8" i="45"/>
  <c r="F19" i="47" s="1"/>
  <c r="E18" i="47"/>
  <c r="Z8" i="45"/>
  <c r="Z13" i="45" s="1"/>
  <c r="R8" i="45"/>
  <c r="E19" i="47" s="1"/>
  <c r="Y8" i="45"/>
  <c r="Y13" i="45" s="1"/>
  <c r="Q8" i="45"/>
  <c r="T22" i="45"/>
  <c r="G28" i="47" s="1"/>
  <c r="U22" i="45"/>
  <c r="H28" i="47" s="1"/>
  <c r="V22" i="45"/>
  <c r="I28" i="47" s="1"/>
  <c r="V18" i="45"/>
  <c r="I43" i="47" s="1"/>
  <c r="S19" i="45"/>
  <c r="F25" i="47" s="1"/>
  <c r="AA19" i="45"/>
  <c r="X20" i="45"/>
  <c r="U21" i="45"/>
  <c r="H46" i="47" s="1"/>
  <c r="H59" i="47" s="1"/>
  <c r="W22" i="45"/>
  <c r="J47" i="47" s="1"/>
  <c r="J60" i="47" s="1"/>
  <c r="X22" i="45"/>
  <c r="J24" i="47"/>
  <c r="J43" i="47"/>
  <c r="G25" i="47"/>
  <c r="G44" i="47"/>
  <c r="G57" i="47" s="1"/>
  <c r="Q20" i="45"/>
  <c r="I27" i="47"/>
  <c r="I46" i="47"/>
  <c r="I59" i="47" s="1"/>
  <c r="H25" i="47"/>
  <c r="H44" i="47"/>
  <c r="H57" i="47" s="1"/>
  <c r="E26" i="47"/>
  <c r="E45" i="47"/>
  <c r="E58" i="47" s="1"/>
  <c r="J27" i="47"/>
  <c r="J46" i="47"/>
  <c r="J59" i="47" s="1"/>
  <c r="I25" i="47"/>
  <c r="I44" i="47"/>
  <c r="I57" i="47" s="1"/>
  <c r="F26" i="47"/>
  <c r="F45" i="47"/>
  <c r="F58" i="47" s="1"/>
  <c r="X21" i="45"/>
  <c r="Q22" i="45"/>
  <c r="G81" i="33"/>
  <c r="G83" i="33" s="1"/>
  <c r="G90" i="33" s="1"/>
  <c r="Q18" i="45"/>
  <c r="E24" i="47"/>
  <c r="E43" i="47"/>
  <c r="J25" i="47"/>
  <c r="J44" i="47"/>
  <c r="J57" i="47" s="1"/>
  <c r="G26" i="47"/>
  <c r="G45" i="47"/>
  <c r="G58" i="47" s="1"/>
  <c r="D27" i="47"/>
  <c r="D46" i="47"/>
  <c r="E28" i="47"/>
  <c r="E47" i="47"/>
  <c r="E60" i="47" s="1"/>
  <c r="F24" i="47"/>
  <c r="F43" i="47"/>
  <c r="X19" i="45"/>
  <c r="H26" i="47"/>
  <c r="H45" i="47"/>
  <c r="H58" i="47" s="1"/>
  <c r="E27" i="47"/>
  <c r="E46" i="47"/>
  <c r="E59" i="47" s="1"/>
  <c r="F28" i="47"/>
  <c r="F47" i="47"/>
  <c r="F60" i="47" s="1"/>
  <c r="G24" i="47"/>
  <c r="G43" i="47"/>
  <c r="D25" i="47"/>
  <c r="D44" i="47"/>
  <c r="I26" i="47"/>
  <c r="I45" i="47"/>
  <c r="I58" i="47" s="1"/>
  <c r="F27" i="47"/>
  <c r="F46" i="47"/>
  <c r="F59" i="47" s="1"/>
  <c r="H24" i="47"/>
  <c r="H43" i="47"/>
  <c r="E25" i="47"/>
  <c r="E44" i="47"/>
  <c r="E57" i="47" s="1"/>
  <c r="J26" i="47"/>
  <c r="J45" i="47"/>
  <c r="J58" i="47" s="1"/>
  <c r="G27" i="47"/>
  <c r="G46" i="47"/>
  <c r="G59" i="47" s="1"/>
  <c r="G19" i="33"/>
  <c r="G21" i="33" s="1"/>
  <c r="G28" i="33" s="1"/>
  <c r="G236" i="42" l="1"/>
  <c r="G231" i="42"/>
  <c r="G224" i="42"/>
  <c r="G229" i="42"/>
  <c r="G234" i="42"/>
  <c r="G235" i="42"/>
  <c r="G230" i="42"/>
  <c r="J238" i="42"/>
  <c r="O238" i="42"/>
  <c r="M226" i="42"/>
  <c r="R226" i="42"/>
  <c r="K232" i="42"/>
  <c r="P232" i="42"/>
  <c r="R238" i="42"/>
  <c r="H238" i="42"/>
  <c r="G233" i="42"/>
  <c r="N226" i="42"/>
  <c r="S232" i="42"/>
  <c r="I232" i="42"/>
  <c r="K238" i="42"/>
  <c r="P238" i="42"/>
  <c r="O226" i="42"/>
  <c r="L232" i="42"/>
  <c r="Q232" i="42"/>
  <c r="S238" i="42"/>
  <c r="G228" i="42"/>
  <c r="G225" i="42"/>
  <c r="H226" i="42"/>
  <c r="G221" i="42"/>
  <c r="T232" i="42"/>
  <c r="G222" i="42"/>
  <c r="G237" i="42"/>
  <c r="L238" i="42"/>
  <c r="K226" i="42"/>
  <c r="P226" i="42"/>
  <c r="M232" i="42"/>
  <c r="T238" i="42"/>
  <c r="S226" i="42"/>
  <c r="I226" i="42"/>
  <c r="N232" i="42"/>
  <c r="I238" i="42"/>
  <c r="M238" i="42"/>
  <c r="L226" i="42"/>
  <c r="Q226" i="42"/>
  <c r="J232" i="42"/>
  <c r="O232" i="42"/>
  <c r="G223" i="42"/>
  <c r="Q238" i="42"/>
  <c r="N238" i="42"/>
  <c r="T226" i="42"/>
  <c r="J226" i="42"/>
  <c r="R232" i="42"/>
  <c r="H232" i="42"/>
  <c r="G227" i="42"/>
  <c r="I24" i="47"/>
  <c r="I23" i="47" s="1"/>
  <c r="J28" i="47"/>
  <c r="J23" i="47" s="1"/>
  <c r="R13" i="45"/>
  <c r="H17" i="47"/>
  <c r="S13" i="45"/>
  <c r="F17" i="47"/>
  <c r="E17" i="47"/>
  <c r="G17" i="47"/>
  <c r="D19" i="47"/>
  <c r="C19" i="47" s="1"/>
  <c r="P8" i="45"/>
  <c r="K8" i="45" s="1"/>
  <c r="Q13" i="45"/>
  <c r="I17" i="47"/>
  <c r="K6" i="45"/>
  <c r="C18" i="47"/>
  <c r="U13" i="45"/>
  <c r="W13" i="45"/>
  <c r="J17" i="47"/>
  <c r="T13" i="45"/>
  <c r="V13" i="45"/>
  <c r="G47" i="47"/>
  <c r="G60" i="47" s="1"/>
  <c r="I47" i="47"/>
  <c r="I60" i="47" s="1"/>
  <c r="H47" i="47"/>
  <c r="H60" i="47" s="1"/>
  <c r="H27" i="47"/>
  <c r="H23" i="47" s="1"/>
  <c r="F44" i="47"/>
  <c r="F57" i="47" s="1"/>
  <c r="C25" i="47"/>
  <c r="F23" i="47"/>
  <c r="J56" i="47"/>
  <c r="J42" i="47"/>
  <c r="J55" i="47" s="1"/>
  <c r="G56" i="47"/>
  <c r="I56" i="47"/>
  <c r="G23" i="47"/>
  <c r="E56" i="47"/>
  <c r="E42" i="47"/>
  <c r="E55" i="47" s="1"/>
  <c r="E23" i="47"/>
  <c r="D59" i="47"/>
  <c r="C46" i="47"/>
  <c r="C59" i="47" s="1"/>
  <c r="D24" i="47"/>
  <c r="D43" i="47"/>
  <c r="D26" i="47"/>
  <c r="C26" i="47" s="1"/>
  <c r="D45" i="47"/>
  <c r="H56" i="47"/>
  <c r="D57" i="47"/>
  <c r="F56" i="47"/>
  <c r="D28" i="47"/>
  <c r="D47" i="47"/>
  <c r="AA42" i="45"/>
  <c r="AA43" i="45"/>
  <c r="AA44" i="45"/>
  <c r="AA45" i="45"/>
  <c r="AA46" i="45"/>
  <c r="AA47" i="45"/>
  <c r="AA48" i="45"/>
  <c r="AA49" i="45"/>
  <c r="AA50" i="45"/>
  <c r="R40" i="45"/>
  <c r="S40" i="45"/>
  <c r="T40" i="45"/>
  <c r="W40" i="45"/>
  <c r="X40" i="45"/>
  <c r="Y40" i="45"/>
  <c r="Z40" i="45"/>
  <c r="AA40" i="45"/>
  <c r="R41" i="45"/>
  <c r="S41" i="45"/>
  <c r="T41" i="45"/>
  <c r="U41" i="45"/>
  <c r="V41" i="45"/>
  <c r="W41" i="45"/>
  <c r="X41" i="45"/>
  <c r="Y41" i="45"/>
  <c r="Z41" i="45"/>
  <c r="AA41" i="45"/>
  <c r="R42" i="45"/>
  <c r="S42" i="45"/>
  <c r="T42" i="45"/>
  <c r="U42" i="45"/>
  <c r="V42" i="45"/>
  <c r="W42" i="45"/>
  <c r="X42" i="45"/>
  <c r="Y42" i="45"/>
  <c r="Z42" i="45"/>
  <c r="R43" i="45"/>
  <c r="E31" i="47" s="1"/>
  <c r="S43" i="45"/>
  <c r="F31" i="47" s="1"/>
  <c r="T43" i="45"/>
  <c r="G31" i="47" s="1"/>
  <c r="U43" i="45"/>
  <c r="H31" i="47" s="1"/>
  <c r="V43" i="45"/>
  <c r="I31" i="47" s="1"/>
  <c r="W43" i="45"/>
  <c r="J31" i="47" s="1"/>
  <c r="X43" i="45"/>
  <c r="Y43" i="45"/>
  <c r="Z43" i="45"/>
  <c r="R44" i="45"/>
  <c r="E32" i="47" s="1"/>
  <c r="S44" i="45"/>
  <c r="F32" i="47" s="1"/>
  <c r="T44" i="45"/>
  <c r="G32" i="47" s="1"/>
  <c r="U44" i="45"/>
  <c r="H32" i="47" s="1"/>
  <c r="V44" i="45"/>
  <c r="I32" i="47" s="1"/>
  <c r="W44" i="45"/>
  <c r="J32" i="47" s="1"/>
  <c r="X44" i="45"/>
  <c r="Y44" i="45"/>
  <c r="Z44" i="45"/>
  <c r="R45" i="45"/>
  <c r="S45" i="45"/>
  <c r="T45" i="45"/>
  <c r="U45" i="45"/>
  <c r="V45" i="45"/>
  <c r="W45" i="45"/>
  <c r="X45" i="45"/>
  <c r="Y45" i="45"/>
  <c r="Z45" i="45"/>
  <c r="R46" i="45"/>
  <c r="S46" i="45"/>
  <c r="T46" i="45"/>
  <c r="U46" i="45"/>
  <c r="V46" i="45"/>
  <c r="W46" i="45"/>
  <c r="X46" i="45"/>
  <c r="Y46" i="45"/>
  <c r="Z46" i="45"/>
  <c r="R47" i="45"/>
  <c r="S47" i="45"/>
  <c r="T47" i="45"/>
  <c r="U47" i="45"/>
  <c r="V47" i="45"/>
  <c r="W47" i="45"/>
  <c r="X47" i="45"/>
  <c r="Y47" i="45"/>
  <c r="Z47" i="45"/>
  <c r="R48" i="45"/>
  <c r="E34" i="47" s="1"/>
  <c r="S48" i="45"/>
  <c r="F34" i="47" s="1"/>
  <c r="T48" i="45"/>
  <c r="G34" i="47" s="1"/>
  <c r="U48" i="45"/>
  <c r="H34" i="47" s="1"/>
  <c r="V48" i="45"/>
  <c r="I34" i="47" s="1"/>
  <c r="W48" i="45"/>
  <c r="J34" i="47" s="1"/>
  <c r="X48" i="45"/>
  <c r="Y48" i="45"/>
  <c r="Z48" i="45"/>
  <c r="R49" i="45"/>
  <c r="S49" i="45"/>
  <c r="T49" i="45"/>
  <c r="U49" i="45"/>
  <c r="V49" i="45"/>
  <c r="W49" i="45"/>
  <c r="X49" i="45"/>
  <c r="Y49" i="45"/>
  <c r="Z49" i="45"/>
  <c r="R50" i="45"/>
  <c r="S50" i="45"/>
  <c r="T50" i="45"/>
  <c r="U50" i="45"/>
  <c r="V50" i="45"/>
  <c r="W50" i="45"/>
  <c r="X50" i="45"/>
  <c r="Y50" i="45"/>
  <c r="Z50" i="45"/>
  <c r="G7" i="43"/>
  <c r="Q43" i="45"/>
  <c r="D31" i="47" s="1"/>
  <c r="Q44" i="45"/>
  <c r="D32" i="47" s="1"/>
  <c r="Q45" i="45"/>
  <c r="Q46" i="45"/>
  <c r="Q47" i="45"/>
  <c r="Q48" i="45"/>
  <c r="D34" i="47" s="1"/>
  <c r="G15" i="43"/>
  <c r="Q40" i="45"/>
  <c r="J218" i="42" l="1"/>
  <c r="K218" i="42"/>
  <c r="L218" i="42"/>
  <c r="P218" i="42"/>
  <c r="I218" i="42"/>
  <c r="G238" i="42"/>
  <c r="S218" i="42"/>
  <c r="G232" i="42"/>
  <c r="Q218" i="42"/>
  <c r="O218" i="42"/>
  <c r="G226" i="42"/>
  <c r="H218" i="42"/>
  <c r="R218" i="42"/>
  <c r="T218" i="42"/>
  <c r="M218" i="42"/>
  <c r="N218" i="42"/>
  <c r="D33" i="47"/>
  <c r="C34" i="47"/>
  <c r="C32" i="47"/>
  <c r="C31" i="47"/>
  <c r="E30" i="47"/>
  <c r="J35" i="47"/>
  <c r="J33" i="47"/>
  <c r="I35" i="47"/>
  <c r="I33" i="47"/>
  <c r="H35" i="47"/>
  <c r="H33" i="47"/>
  <c r="J30" i="47"/>
  <c r="G35" i="47"/>
  <c r="G33" i="47"/>
  <c r="F35" i="47"/>
  <c r="F33" i="47"/>
  <c r="E35" i="47"/>
  <c r="E33" i="47"/>
  <c r="G30" i="47"/>
  <c r="F30" i="47"/>
  <c r="C28" i="47"/>
  <c r="G42" i="47"/>
  <c r="G55" i="47" s="1"/>
  <c r="C27" i="47"/>
  <c r="D17" i="47"/>
  <c r="C17" i="47"/>
  <c r="C6" i="47" s="1"/>
  <c r="P13" i="45"/>
  <c r="K13" i="45" s="1"/>
  <c r="H42" i="47"/>
  <c r="H55" i="47" s="1"/>
  <c r="I42" i="47"/>
  <c r="I55" i="47" s="1"/>
  <c r="F42" i="47"/>
  <c r="F55" i="47" s="1"/>
  <c r="C44" i="47"/>
  <c r="C57" i="47" s="1"/>
  <c r="C43" i="47"/>
  <c r="C56" i="47" s="1"/>
  <c r="D56" i="47"/>
  <c r="D42" i="47"/>
  <c r="C24" i="47"/>
  <c r="D23" i="47"/>
  <c r="C23" i="47" s="1"/>
  <c r="D60" i="47"/>
  <c r="C47" i="47"/>
  <c r="C60" i="47" s="1"/>
  <c r="D58" i="47"/>
  <c r="C45" i="47"/>
  <c r="C58" i="47" s="1"/>
  <c r="G6" i="43"/>
  <c r="G14" i="43"/>
  <c r="M2" i="43"/>
  <c r="L2" i="43"/>
  <c r="X51" i="45"/>
  <c r="W51" i="45"/>
  <c r="Y51" i="45"/>
  <c r="T51" i="45"/>
  <c r="AA51" i="45"/>
  <c r="S51" i="45"/>
  <c r="Z51" i="45"/>
  <c r="R51" i="45"/>
  <c r="G13" i="43"/>
  <c r="K2" i="43"/>
  <c r="Q50" i="45"/>
  <c r="P50" i="45" s="1"/>
  <c r="K50" i="45" s="1"/>
  <c r="Q42" i="45"/>
  <c r="P42" i="45" s="1"/>
  <c r="K42" i="45" s="1"/>
  <c r="V40" i="45"/>
  <c r="G12" i="43"/>
  <c r="R2" i="43"/>
  <c r="J2" i="43"/>
  <c r="Q49" i="45"/>
  <c r="P49" i="45" s="1"/>
  <c r="K49" i="45" s="1"/>
  <c r="Q41" i="45"/>
  <c r="U40" i="45"/>
  <c r="G11" i="43"/>
  <c r="Q2" i="43"/>
  <c r="I2" i="43"/>
  <c r="G10" i="43"/>
  <c r="P2" i="43"/>
  <c r="H2" i="43"/>
  <c r="G9" i="43"/>
  <c r="O2" i="43"/>
  <c r="G5" i="43"/>
  <c r="G8" i="43"/>
  <c r="N2" i="43"/>
  <c r="P45" i="45"/>
  <c r="K45" i="45" s="1"/>
  <c r="P44" i="45"/>
  <c r="K44" i="45" s="1"/>
  <c r="P43" i="45"/>
  <c r="K43" i="45" s="1"/>
  <c r="P47" i="45"/>
  <c r="K47" i="45" s="1"/>
  <c r="P46" i="45"/>
  <c r="K46" i="45" s="1"/>
  <c r="P48" i="45"/>
  <c r="K48" i="45" s="1"/>
  <c r="G218" i="42" l="1"/>
  <c r="D30" i="47"/>
  <c r="C33" i="47"/>
  <c r="D35" i="47"/>
  <c r="C35" i="47" s="1"/>
  <c r="C8" i="47" s="1"/>
  <c r="V51" i="45"/>
  <c r="I30" i="47"/>
  <c r="U51" i="45"/>
  <c r="H30" i="47"/>
  <c r="D55" i="47"/>
  <c r="C42" i="47"/>
  <c r="C55" i="47" s="1"/>
  <c r="Q51" i="45"/>
  <c r="P41" i="45"/>
  <c r="K41" i="45" s="1"/>
  <c r="G2" i="43"/>
  <c r="P40" i="45"/>
  <c r="D213" i="42"/>
  <c r="D212" i="42"/>
  <c r="D211" i="42"/>
  <c r="D210" i="42"/>
  <c r="D209" i="42"/>
  <c r="D207" i="42"/>
  <c r="D206" i="42"/>
  <c r="D205" i="42"/>
  <c r="D204" i="42"/>
  <c r="D203" i="42"/>
  <c r="D198" i="42"/>
  <c r="D199" i="42"/>
  <c r="D200" i="42"/>
  <c r="D201" i="42"/>
  <c r="D197" i="42"/>
  <c r="D189" i="42"/>
  <c r="D188" i="42"/>
  <c r="D187" i="42"/>
  <c r="D186" i="42"/>
  <c r="D185" i="42"/>
  <c r="D183" i="42"/>
  <c r="D182" i="42"/>
  <c r="D181" i="42"/>
  <c r="D180" i="42"/>
  <c r="D179" i="42"/>
  <c r="D174" i="42"/>
  <c r="D175" i="42"/>
  <c r="D176" i="42"/>
  <c r="D177" i="42"/>
  <c r="D173" i="42"/>
  <c r="D165" i="42"/>
  <c r="D164" i="42"/>
  <c r="D163" i="42"/>
  <c r="D162" i="42"/>
  <c r="D161" i="42"/>
  <c r="D159" i="42"/>
  <c r="D158" i="42"/>
  <c r="D157" i="42"/>
  <c r="D156" i="42"/>
  <c r="D155" i="42"/>
  <c r="D150" i="42"/>
  <c r="D151" i="42"/>
  <c r="D152" i="42"/>
  <c r="D153" i="42"/>
  <c r="D149" i="42"/>
  <c r="C30" i="47" l="1"/>
  <c r="P51" i="45"/>
  <c r="K40" i="45"/>
  <c r="K51" i="45" s="1"/>
  <c r="D21" i="42"/>
  <c r="D20" i="42"/>
  <c r="D19" i="42"/>
  <c r="D18" i="42"/>
  <c r="D17" i="42"/>
  <c r="D15" i="42"/>
  <c r="D14" i="42"/>
  <c r="D13" i="42"/>
  <c r="D12" i="42"/>
  <c r="D11" i="42"/>
  <c r="D6" i="42"/>
  <c r="D7" i="42"/>
  <c r="D8" i="42"/>
  <c r="D9" i="42"/>
  <c r="T214" i="42" l="1"/>
  <c r="J214" i="42"/>
  <c r="Q202" i="42"/>
  <c r="H208" i="42"/>
  <c r="L208" i="42"/>
  <c r="M214" i="42"/>
  <c r="R214" i="42"/>
  <c r="J202" i="42"/>
  <c r="P208" i="42"/>
  <c r="T208" i="42"/>
  <c r="N214" i="42"/>
  <c r="K214" i="42"/>
  <c r="R202" i="42"/>
  <c r="I208" i="42"/>
  <c r="O214" i="42"/>
  <c r="S214" i="42"/>
  <c r="N202" i="42"/>
  <c r="K202" i="42"/>
  <c r="Q208" i="42"/>
  <c r="H214" i="42"/>
  <c r="O202" i="42"/>
  <c r="S202" i="42"/>
  <c r="J208" i="42"/>
  <c r="P214" i="42"/>
  <c r="H202" i="42"/>
  <c r="L202" i="42"/>
  <c r="M208" i="42"/>
  <c r="R208" i="42"/>
  <c r="I214" i="42"/>
  <c r="P202" i="42"/>
  <c r="T202" i="42"/>
  <c r="T194" i="42" s="1"/>
  <c r="N208" i="42"/>
  <c r="K208" i="42"/>
  <c r="L214" i="42"/>
  <c r="Q214" i="42"/>
  <c r="I202" i="42"/>
  <c r="M202" i="42"/>
  <c r="O208" i="42"/>
  <c r="S208" i="42"/>
  <c r="Q108" i="53"/>
  <c r="P108" i="53"/>
  <c r="Q107" i="53"/>
  <c r="P107" i="53"/>
  <c r="Q106" i="53"/>
  <c r="P106" i="53"/>
  <c r="Q105" i="53"/>
  <c r="P105" i="53"/>
  <c r="Q104" i="53"/>
  <c r="P104" i="53"/>
  <c r="Q103" i="53"/>
  <c r="P103" i="53"/>
  <c r="Q102" i="53"/>
  <c r="P102" i="53"/>
  <c r="Q101" i="53"/>
  <c r="P101" i="53"/>
  <c r="Q100" i="53"/>
  <c r="P100" i="53"/>
  <c r="Q99" i="53"/>
  <c r="P99" i="53"/>
  <c r="Q98" i="53"/>
  <c r="P98" i="53"/>
  <c r="Q97" i="53"/>
  <c r="P97" i="53"/>
  <c r="Q96" i="53"/>
  <c r="P96" i="53"/>
  <c r="P95" i="53"/>
  <c r="P94" i="53"/>
  <c r="P93" i="53"/>
  <c r="P92" i="53"/>
  <c r="P91" i="53"/>
  <c r="P90" i="53"/>
  <c r="P89" i="53"/>
  <c r="P88" i="53"/>
  <c r="P87" i="53"/>
  <c r="P86" i="53"/>
  <c r="P85" i="53"/>
  <c r="P84" i="53"/>
  <c r="P83" i="53"/>
  <c r="P82" i="53"/>
  <c r="P81" i="53"/>
  <c r="P80" i="53"/>
  <c r="P79" i="53"/>
  <c r="P78" i="53"/>
  <c r="P77" i="53"/>
  <c r="P76" i="53"/>
  <c r="P75" i="53"/>
  <c r="P74" i="53"/>
  <c r="P73" i="53"/>
  <c r="P72" i="53"/>
  <c r="P71" i="53"/>
  <c r="P70" i="53"/>
  <c r="P69" i="53"/>
  <c r="P68" i="53"/>
  <c r="P67" i="53"/>
  <c r="P66" i="53"/>
  <c r="P65" i="53"/>
  <c r="P64" i="53"/>
  <c r="P63" i="53"/>
  <c r="P62" i="53"/>
  <c r="P61" i="53"/>
  <c r="P60" i="53"/>
  <c r="P59" i="53"/>
  <c r="P58" i="53"/>
  <c r="P57" i="53"/>
  <c r="P56" i="53"/>
  <c r="P55" i="53"/>
  <c r="P54" i="53"/>
  <c r="P53" i="53"/>
  <c r="P52" i="53"/>
  <c r="P51" i="53"/>
  <c r="P50" i="53"/>
  <c r="P49" i="53"/>
  <c r="P48" i="53"/>
  <c r="P47" i="53"/>
  <c r="P46" i="53"/>
  <c r="P45" i="53"/>
  <c r="P44" i="53"/>
  <c r="P43" i="53"/>
  <c r="P42" i="53"/>
  <c r="P41" i="53"/>
  <c r="P40" i="53"/>
  <c r="P39" i="53"/>
  <c r="P38" i="53"/>
  <c r="P37" i="53"/>
  <c r="P36" i="53"/>
  <c r="P35" i="53"/>
  <c r="P34" i="53"/>
  <c r="P33" i="53"/>
  <c r="P32" i="53"/>
  <c r="P31" i="53"/>
  <c r="P30" i="53"/>
  <c r="P29" i="53"/>
  <c r="P28" i="53"/>
  <c r="P27" i="53"/>
  <c r="P26" i="53"/>
  <c r="P25" i="53"/>
  <c r="P24" i="53"/>
  <c r="P23" i="53"/>
  <c r="P22" i="53"/>
  <c r="P21" i="53"/>
  <c r="P20" i="53"/>
  <c r="P19" i="53"/>
  <c r="P18" i="53"/>
  <c r="P17" i="53"/>
  <c r="P16" i="53"/>
  <c r="P15" i="53"/>
  <c r="P14" i="53"/>
  <c r="P13" i="53"/>
  <c r="P12" i="53"/>
  <c r="P11" i="53"/>
  <c r="P10" i="53"/>
  <c r="P9" i="53"/>
  <c r="P8" i="53"/>
  <c r="P7" i="53"/>
  <c r="P6" i="53"/>
  <c r="P5" i="53"/>
  <c r="P4" i="53"/>
  <c r="P3" i="53"/>
  <c r="P2" i="53"/>
  <c r="P194" i="42" l="1"/>
  <c r="G214" i="42"/>
  <c r="L194" i="42"/>
  <c r="G202" i="42"/>
  <c r="H194" i="42"/>
  <c r="R194" i="42"/>
  <c r="K194" i="42"/>
  <c r="G208" i="42"/>
  <c r="N194" i="42"/>
  <c r="Q194" i="42"/>
  <c r="M194" i="42"/>
  <c r="S194" i="42"/>
  <c r="I194" i="42"/>
  <c r="O194" i="42"/>
  <c r="J194" i="42"/>
  <c r="P2" i="22"/>
  <c r="G194" i="42" l="1"/>
  <c r="F112" i="51"/>
  <c r="G112" i="51" s="1"/>
  <c r="E112" i="51"/>
  <c r="D112" i="51"/>
  <c r="G111" i="51"/>
  <c r="F111" i="51"/>
  <c r="E111" i="51"/>
  <c r="D111" i="51"/>
  <c r="Q111" i="51" s="1"/>
  <c r="F110" i="51"/>
  <c r="G110" i="51" s="1"/>
  <c r="E110" i="51"/>
  <c r="D110" i="51"/>
  <c r="F109" i="51"/>
  <c r="G109" i="51" s="1"/>
  <c r="E109" i="51"/>
  <c r="D109" i="51"/>
  <c r="F108" i="51"/>
  <c r="G108" i="51" s="1"/>
  <c r="E108" i="51"/>
  <c r="D108" i="51"/>
  <c r="G107" i="51"/>
  <c r="Q107" i="51" s="1"/>
  <c r="F107" i="51"/>
  <c r="E107" i="51"/>
  <c r="D107" i="51"/>
  <c r="F106" i="51"/>
  <c r="G106" i="51" s="1"/>
  <c r="E106" i="51"/>
  <c r="D106" i="51"/>
  <c r="F105" i="51"/>
  <c r="G105" i="51" s="1"/>
  <c r="E105" i="51"/>
  <c r="D105" i="51"/>
  <c r="F104" i="51"/>
  <c r="G104" i="51" s="1"/>
  <c r="E104" i="51"/>
  <c r="D104" i="51"/>
  <c r="F103" i="51"/>
  <c r="G103" i="51" s="1"/>
  <c r="E103" i="51"/>
  <c r="D103" i="51"/>
  <c r="H103" i="51" s="1"/>
  <c r="H113" i="51" s="1"/>
  <c r="F101" i="51"/>
  <c r="G101" i="51" s="1"/>
  <c r="E101" i="51"/>
  <c r="D101" i="51"/>
  <c r="F100" i="51"/>
  <c r="G100" i="51" s="1"/>
  <c r="E100" i="51"/>
  <c r="D100" i="51"/>
  <c r="F99" i="51"/>
  <c r="G99" i="51" s="1"/>
  <c r="E99" i="51"/>
  <c r="D99" i="51"/>
  <c r="G98" i="51"/>
  <c r="S98" i="51" s="1"/>
  <c r="F98" i="51"/>
  <c r="E98" i="51"/>
  <c r="D98" i="51"/>
  <c r="F97" i="51"/>
  <c r="G97" i="51" s="1"/>
  <c r="E97" i="51"/>
  <c r="D97" i="51"/>
  <c r="G96" i="51"/>
  <c r="P96" i="51" s="1"/>
  <c r="F96" i="51"/>
  <c r="E96" i="51"/>
  <c r="D96" i="51"/>
  <c r="F95" i="51"/>
  <c r="G95" i="51" s="1"/>
  <c r="E95" i="51"/>
  <c r="D95" i="51"/>
  <c r="F94" i="51"/>
  <c r="G94" i="51" s="1"/>
  <c r="O94" i="51" s="1"/>
  <c r="E94" i="51"/>
  <c r="D94" i="51"/>
  <c r="F93" i="51"/>
  <c r="G93" i="51" s="1"/>
  <c r="J93" i="51" s="1"/>
  <c r="E93" i="51"/>
  <c r="D93" i="51"/>
  <c r="L92" i="51"/>
  <c r="G92" i="51"/>
  <c r="F92" i="51"/>
  <c r="E92" i="51"/>
  <c r="D92" i="51"/>
  <c r="M92" i="51" s="1"/>
  <c r="F90" i="51"/>
  <c r="G90" i="51" s="1"/>
  <c r="E90" i="51"/>
  <c r="D90" i="51"/>
  <c r="F89" i="51"/>
  <c r="G89" i="51" s="1"/>
  <c r="E89" i="51"/>
  <c r="D89" i="51"/>
  <c r="G88" i="51"/>
  <c r="P88" i="51" s="1"/>
  <c r="F88" i="51"/>
  <c r="E88" i="51"/>
  <c r="D88" i="51"/>
  <c r="F87" i="51"/>
  <c r="G87" i="51" s="1"/>
  <c r="E87" i="51"/>
  <c r="D87" i="51"/>
  <c r="F86" i="51"/>
  <c r="G86" i="51" s="1"/>
  <c r="E86" i="51"/>
  <c r="D86" i="51"/>
  <c r="F85" i="51"/>
  <c r="G85" i="51" s="1"/>
  <c r="Q85" i="51" s="1"/>
  <c r="E85" i="51"/>
  <c r="D85" i="51"/>
  <c r="M85" i="51" s="1"/>
  <c r="F84" i="51"/>
  <c r="G84" i="51" s="1"/>
  <c r="L84" i="51" s="1"/>
  <c r="E84" i="51"/>
  <c r="D84" i="51"/>
  <c r="G83" i="51"/>
  <c r="F83" i="51"/>
  <c r="E83" i="51"/>
  <c r="D83" i="51"/>
  <c r="N83" i="51" s="1"/>
  <c r="F82" i="51"/>
  <c r="G82" i="51" s="1"/>
  <c r="E82" i="51"/>
  <c r="D82" i="51"/>
  <c r="H81" i="51"/>
  <c r="H91" i="51" s="1"/>
  <c r="G81" i="51"/>
  <c r="F81" i="51"/>
  <c r="E81" i="51"/>
  <c r="D81" i="51"/>
  <c r="L81" i="51" s="1"/>
  <c r="T79" i="51"/>
  <c r="G79" i="51"/>
  <c r="V79" i="51" s="1"/>
  <c r="V80" i="51" s="1"/>
  <c r="F79" i="51"/>
  <c r="E79" i="51"/>
  <c r="D79" i="51"/>
  <c r="G78" i="51"/>
  <c r="F78" i="51"/>
  <c r="E78" i="51"/>
  <c r="D78" i="51"/>
  <c r="T78" i="51" s="1"/>
  <c r="F77" i="51"/>
  <c r="G77" i="51" s="1"/>
  <c r="E77" i="51"/>
  <c r="D77" i="51"/>
  <c r="G76" i="51"/>
  <c r="O76" i="51" s="1"/>
  <c r="F76" i="51"/>
  <c r="E76" i="51"/>
  <c r="D76" i="51"/>
  <c r="N76" i="51" s="1"/>
  <c r="F75" i="51"/>
  <c r="G75" i="51" s="1"/>
  <c r="R75" i="51" s="1"/>
  <c r="E75" i="51"/>
  <c r="D75" i="51"/>
  <c r="P75" i="51" s="1"/>
  <c r="G74" i="51"/>
  <c r="F74" i="51"/>
  <c r="E74" i="51"/>
  <c r="D74" i="51"/>
  <c r="F73" i="51"/>
  <c r="G73" i="51" s="1"/>
  <c r="E73" i="51"/>
  <c r="D73" i="51"/>
  <c r="G72" i="51"/>
  <c r="O72" i="51" s="1"/>
  <c r="F72" i="51"/>
  <c r="E72" i="51"/>
  <c r="D72" i="51"/>
  <c r="F71" i="51"/>
  <c r="G71" i="51" s="1"/>
  <c r="E71" i="51"/>
  <c r="D71" i="51"/>
  <c r="L71" i="51" s="1"/>
  <c r="F70" i="51"/>
  <c r="G70" i="51" s="1"/>
  <c r="E70" i="51"/>
  <c r="D70" i="51"/>
  <c r="L70" i="51" s="1"/>
  <c r="F68" i="51"/>
  <c r="G68" i="51" s="1"/>
  <c r="E68" i="51"/>
  <c r="D68" i="51"/>
  <c r="F67" i="51"/>
  <c r="G67" i="51" s="1"/>
  <c r="E67" i="51"/>
  <c r="D67" i="51"/>
  <c r="P67" i="51" s="1"/>
  <c r="F66" i="51"/>
  <c r="G66" i="51" s="1"/>
  <c r="E66" i="51"/>
  <c r="D66" i="51"/>
  <c r="F65" i="51"/>
  <c r="G65" i="51" s="1"/>
  <c r="Q65" i="51" s="1"/>
  <c r="E65" i="51"/>
  <c r="D65" i="51"/>
  <c r="R65" i="51" s="1"/>
  <c r="F64" i="51"/>
  <c r="G64" i="51" s="1"/>
  <c r="E64" i="51"/>
  <c r="D64" i="51"/>
  <c r="G63" i="51"/>
  <c r="L63" i="51" s="1"/>
  <c r="F63" i="51"/>
  <c r="E63" i="51"/>
  <c r="D63" i="51"/>
  <c r="F62" i="51"/>
  <c r="G62" i="51" s="1"/>
  <c r="E62" i="51"/>
  <c r="D62" i="51"/>
  <c r="N62" i="51" s="1"/>
  <c r="F61" i="51"/>
  <c r="G61" i="51" s="1"/>
  <c r="E61" i="51"/>
  <c r="D61" i="51"/>
  <c r="F60" i="51"/>
  <c r="G60" i="51" s="1"/>
  <c r="I60" i="51" s="1"/>
  <c r="O60" i="51" s="1"/>
  <c r="E60" i="51"/>
  <c r="D60" i="51"/>
  <c r="F59" i="51"/>
  <c r="G59" i="51" s="1"/>
  <c r="J59" i="51" s="1"/>
  <c r="E59" i="51"/>
  <c r="D59" i="51"/>
  <c r="F57" i="51"/>
  <c r="G57" i="51" s="1"/>
  <c r="S57" i="51" s="1"/>
  <c r="E57" i="51"/>
  <c r="D57" i="51"/>
  <c r="F56" i="51"/>
  <c r="G56" i="51" s="1"/>
  <c r="E56" i="51"/>
  <c r="D56" i="51"/>
  <c r="F55" i="51"/>
  <c r="G55" i="51" s="1"/>
  <c r="P55" i="51" s="1"/>
  <c r="E55" i="51"/>
  <c r="D55" i="51"/>
  <c r="O55" i="51" s="1"/>
  <c r="U55" i="51" s="1"/>
  <c r="G54" i="51"/>
  <c r="F54" i="51"/>
  <c r="E54" i="51"/>
  <c r="D54" i="51"/>
  <c r="O54" i="51" s="1"/>
  <c r="F53" i="51"/>
  <c r="G53" i="51" s="1"/>
  <c r="R53" i="51" s="1"/>
  <c r="E53" i="51"/>
  <c r="D53" i="51"/>
  <c r="F52" i="51"/>
  <c r="G52" i="51" s="1"/>
  <c r="E52" i="51"/>
  <c r="D52" i="51"/>
  <c r="P52" i="51" s="1"/>
  <c r="G51" i="51"/>
  <c r="F51" i="51"/>
  <c r="E51" i="51"/>
  <c r="D51" i="51"/>
  <c r="N51" i="51" s="1"/>
  <c r="F50" i="51"/>
  <c r="G50" i="51" s="1"/>
  <c r="E50" i="51"/>
  <c r="D50" i="51"/>
  <c r="K49" i="51"/>
  <c r="F49" i="51"/>
  <c r="G49" i="51" s="1"/>
  <c r="E49" i="51"/>
  <c r="D49" i="51"/>
  <c r="N49" i="51" s="1"/>
  <c r="F48" i="51"/>
  <c r="G48" i="51" s="1"/>
  <c r="E48" i="51"/>
  <c r="E14" i="51"/>
  <c r="M13" i="51"/>
  <c r="L13" i="51"/>
  <c r="K13" i="51"/>
  <c r="J13" i="51"/>
  <c r="I13" i="51"/>
  <c r="H13" i="51"/>
  <c r="G13" i="51"/>
  <c r="F13" i="51"/>
  <c r="F14" i="51" s="1"/>
  <c r="E13" i="51"/>
  <c r="D13" i="51"/>
  <c r="M10" i="51"/>
  <c r="M14" i="51" s="1"/>
  <c r="L10" i="51"/>
  <c r="L14" i="51" s="1"/>
  <c r="K10" i="51"/>
  <c r="K14" i="51" s="1"/>
  <c r="J10" i="51"/>
  <c r="J14" i="51" s="1"/>
  <c r="I10" i="51"/>
  <c r="H10" i="51"/>
  <c r="H14" i="51" s="1"/>
  <c r="G10" i="51"/>
  <c r="G14" i="51" s="1"/>
  <c r="F10" i="51"/>
  <c r="E10" i="51"/>
  <c r="D6" i="51"/>
  <c r="D10" i="51" s="1"/>
  <c r="D14" i="51" s="1"/>
  <c r="D4" i="51"/>
  <c r="D3" i="49"/>
  <c r="O110" i="51" l="1"/>
  <c r="R110" i="51"/>
  <c r="U89" i="51"/>
  <c r="Q89" i="51"/>
  <c r="R97" i="51"/>
  <c r="P97" i="51"/>
  <c r="O97" i="51"/>
  <c r="N97" i="51"/>
  <c r="M103" i="51"/>
  <c r="I103" i="51"/>
  <c r="P106" i="51"/>
  <c r="N106" i="51"/>
  <c r="M106" i="51"/>
  <c r="L106" i="51"/>
  <c r="N71" i="51"/>
  <c r="K71" i="51"/>
  <c r="J71" i="51"/>
  <c r="T66" i="51"/>
  <c r="R66" i="51"/>
  <c r="K94" i="51"/>
  <c r="P62" i="51"/>
  <c r="M62" i="51"/>
  <c r="V101" i="51"/>
  <c r="V102" i="51" s="1"/>
  <c r="T101" i="51"/>
  <c r="O51" i="51"/>
  <c r="L62" i="51"/>
  <c r="O66" i="51"/>
  <c r="S79" i="51"/>
  <c r="K84" i="51"/>
  <c r="R88" i="51"/>
  <c r="I93" i="51"/>
  <c r="O98" i="51"/>
  <c r="Q101" i="51"/>
  <c r="N105" i="51"/>
  <c r="M107" i="51"/>
  <c r="T110" i="51"/>
  <c r="T89" i="51"/>
  <c r="L85" i="51"/>
  <c r="J94" i="51"/>
  <c r="N72" i="51"/>
  <c r="N75" i="51"/>
  <c r="S77" i="51"/>
  <c r="Q79" i="51"/>
  <c r="O88" i="51"/>
  <c r="R98" i="51"/>
  <c r="P107" i="51"/>
  <c r="P111" i="51"/>
  <c r="M52" i="51"/>
  <c r="K62" i="51"/>
  <c r="P66" i="51"/>
  <c r="U68" i="51"/>
  <c r="I71" i="51"/>
  <c r="O75" i="51"/>
  <c r="M84" i="51"/>
  <c r="K93" i="51"/>
  <c r="O95" i="51"/>
  <c r="M97" i="51"/>
  <c r="R101" i="51"/>
  <c r="K106" i="51"/>
  <c r="Q109" i="51"/>
  <c r="P110" i="51"/>
  <c r="Q53" i="51"/>
  <c r="P54" i="51"/>
  <c r="Q66" i="51"/>
  <c r="M81" i="51"/>
  <c r="N84" i="51"/>
  <c r="P89" i="51"/>
  <c r="L93" i="51"/>
  <c r="S101" i="51"/>
  <c r="Q110" i="51"/>
  <c r="R76" i="51"/>
  <c r="P85" i="51"/>
  <c r="N94" i="51"/>
  <c r="Q54" i="51"/>
  <c r="I14" i="51"/>
  <c r="O50" i="51"/>
  <c r="T55" i="51"/>
  <c r="Q64" i="51"/>
  <c r="T67" i="51"/>
  <c r="J72" i="51"/>
  <c r="M75" i="51"/>
  <c r="R79" i="51"/>
  <c r="I81" i="51"/>
  <c r="Q88" i="51"/>
  <c r="N98" i="51"/>
  <c r="L103" i="51"/>
  <c r="L107" i="51"/>
  <c r="U111" i="51"/>
  <c r="D48" i="51"/>
  <c r="M48" i="51" s="1"/>
  <c r="S56" i="51"/>
  <c r="R56" i="51"/>
  <c r="Q56" i="51"/>
  <c r="P56" i="51"/>
  <c r="L61" i="51"/>
  <c r="K61" i="51"/>
  <c r="J61" i="51"/>
  <c r="O61" i="51"/>
  <c r="Q87" i="51"/>
  <c r="P87" i="51"/>
  <c r="O87" i="51"/>
  <c r="N87" i="51"/>
  <c r="S87" i="51"/>
  <c r="T57" i="51"/>
  <c r="H59" i="51"/>
  <c r="H69" i="51" s="1"/>
  <c r="O74" i="51"/>
  <c r="N74" i="51"/>
  <c r="Q74" i="51"/>
  <c r="M74" i="51"/>
  <c r="L74" i="51"/>
  <c r="M82" i="51"/>
  <c r="U90" i="51"/>
  <c r="U91" i="51" s="1"/>
  <c r="Q108" i="51"/>
  <c r="P73" i="51"/>
  <c r="N73" i="51"/>
  <c r="M73" i="51"/>
  <c r="L73" i="51"/>
  <c r="S100" i="51"/>
  <c r="R100" i="51"/>
  <c r="U100" i="51"/>
  <c r="Q100" i="51"/>
  <c r="P100" i="51"/>
  <c r="P53" i="51"/>
  <c r="O53" i="51"/>
  <c r="I59" i="51"/>
  <c r="I69" i="51" s="1"/>
  <c r="V68" i="51"/>
  <c r="V69" i="51" s="1"/>
  <c r="T68" i="51"/>
  <c r="T69" i="51" s="1"/>
  <c r="R68" i="51"/>
  <c r="P95" i="51"/>
  <c r="N95" i="51"/>
  <c r="M95" i="51"/>
  <c r="L95" i="51"/>
  <c r="K95" i="51"/>
  <c r="N82" i="51"/>
  <c r="L82" i="51"/>
  <c r="K82" i="51"/>
  <c r="J82" i="51"/>
  <c r="I82" i="51"/>
  <c r="I91" i="51" s="1"/>
  <c r="O96" i="51"/>
  <c r="N96" i="51"/>
  <c r="M96" i="51"/>
  <c r="Q96" i="51"/>
  <c r="L96" i="51"/>
  <c r="M50" i="51"/>
  <c r="J50" i="51"/>
  <c r="P50" i="51" s="1"/>
  <c r="N60" i="51"/>
  <c r="R108" i="51"/>
  <c r="P108" i="51"/>
  <c r="N108" i="51"/>
  <c r="U56" i="51"/>
  <c r="U58" i="51" s="1"/>
  <c r="M61" i="51"/>
  <c r="P64" i="51"/>
  <c r="N64" i="51"/>
  <c r="T77" i="51"/>
  <c r="T80" i="51" s="1"/>
  <c r="R77" i="51"/>
  <c r="Q77" i="51"/>
  <c r="P77" i="51"/>
  <c r="O77" i="51"/>
  <c r="M83" i="51"/>
  <c r="L83" i="51"/>
  <c r="L91" i="51" s="1"/>
  <c r="K83" i="51"/>
  <c r="O83" i="51"/>
  <c r="J83" i="51"/>
  <c r="R87" i="51"/>
  <c r="D91" i="51"/>
  <c r="T100" i="51"/>
  <c r="M104" i="51"/>
  <c r="D69" i="51"/>
  <c r="I49" i="51"/>
  <c r="O49" i="51" s="1"/>
  <c r="L49" i="51"/>
  <c r="M51" i="51"/>
  <c r="L51" i="51"/>
  <c r="K51" i="51"/>
  <c r="Q51" i="51" s="1"/>
  <c r="P51" i="51"/>
  <c r="N52" i="51"/>
  <c r="Q52" i="51"/>
  <c r="R57" i="51"/>
  <c r="N61" i="51"/>
  <c r="P63" i="51"/>
  <c r="R64" i="51"/>
  <c r="K70" i="51"/>
  <c r="J70" i="51"/>
  <c r="J80" i="51" s="1"/>
  <c r="M70" i="51"/>
  <c r="I70" i="51"/>
  <c r="I80" i="51" s="1"/>
  <c r="D80" i="51"/>
  <c r="H70" i="51"/>
  <c r="H80" i="51" s="1"/>
  <c r="P74" i="51"/>
  <c r="S78" i="51"/>
  <c r="R78" i="51"/>
  <c r="U78" i="51"/>
  <c r="Q78" i="51"/>
  <c r="P78" i="51"/>
  <c r="Q86" i="51"/>
  <c r="S99" i="51"/>
  <c r="V112" i="51"/>
  <c r="V113" i="51" s="1"/>
  <c r="Q63" i="51"/>
  <c r="M63" i="51"/>
  <c r="O63" i="51"/>
  <c r="T56" i="51"/>
  <c r="V90" i="51"/>
  <c r="V91" i="51" s="1"/>
  <c r="T90" i="51"/>
  <c r="S90" i="51"/>
  <c r="R90" i="51"/>
  <c r="Q90" i="51"/>
  <c r="I113" i="51"/>
  <c r="J49" i="51"/>
  <c r="L52" i="51"/>
  <c r="R52" i="51" s="1"/>
  <c r="M59" i="51"/>
  <c r="P65" i="51"/>
  <c r="S65" i="51"/>
  <c r="O65" i="51"/>
  <c r="N65" i="51"/>
  <c r="U67" i="51"/>
  <c r="U69" i="51" s="1"/>
  <c r="S67" i="51"/>
  <c r="Q67" i="51"/>
  <c r="O73" i="51"/>
  <c r="K92" i="51"/>
  <c r="J92" i="51"/>
  <c r="J102" i="51" s="1"/>
  <c r="I92" i="51"/>
  <c r="I102" i="51" s="1"/>
  <c r="D102" i="51"/>
  <c r="H92" i="51"/>
  <c r="H102" i="51" s="1"/>
  <c r="D43" i="51" s="1"/>
  <c r="N104" i="51"/>
  <c r="L104" i="51"/>
  <c r="L113" i="51" s="1"/>
  <c r="K104" i="51"/>
  <c r="J104" i="51"/>
  <c r="I104" i="51"/>
  <c r="R86" i="51"/>
  <c r="P86" i="51"/>
  <c r="O86" i="51"/>
  <c r="N86" i="51"/>
  <c r="M86" i="51"/>
  <c r="M91" i="51" s="1"/>
  <c r="T99" i="51"/>
  <c r="R99" i="51"/>
  <c r="R102" i="51" s="1"/>
  <c r="Q99" i="51"/>
  <c r="P99" i="51"/>
  <c r="O99" i="51"/>
  <c r="M105" i="51"/>
  <c r="L105" i="51"/>
  <c r="K105" i="51"/>
  <c r="J105" i="51"/>
  <c r="O105" i="51"/>
  <c r="D113" i="51"/>
  <c r="S109" i="51"/>
  <c r="M49" i="51"/>
  <c r="K50" i="51"/>
  <c r="O52" i="51"/>
  <c r="M53" i="51"/>
  <c r="S53" i="51" s="1"/>
  <c r="S54" i="51"/>
  <c r="Q55" i="51"/>
  <c r="V57" i="51"/>
  <c r="V58" i="51" s="1"/>
  <c r="K59" i="51"/>
  <c r="J60" i="51"/>
  <c r="J69" i="51" s="1"/>
  <c r="O62" i="51"/>
  <c r="N63" i="51"/>
  <c r="M64" i="51"/>
  <c r="S66" i="51"/>
  <c r="R67" i="51"/>
  <c r="Q68" i="51"/>
  <c r="M71" i="51"/>
  <c r="L72" i="51"/>
  <c r="L80" i="51" s="1"/>
  <c r="K73" i="51"/>
  <c r="Q75" i="51"/>
  <c r="P76" i="51"/>
  <c r="U79" i="51"/>
  <c r="J81" i="51"/>
  <c r="J91" i="51" s="1"/>
  <c r="O84" i="51"/>
  <c r="N85" i="51"/>
  <c r="S88" i="51"/>
  <c r="R89" i="51"/>
  <c r="M93" i="51"/>
  <c r="L94" i="51"/>
  <c r="L102" i="51" s="1"/>
  <c r="Q97" i="51"/>
  <c r="P98" i="51"/>
  <c r="U101" i="51"/>
  <c r="J103" i="51"/>
  <c r="O106" i="51"/>
  <c r="N107" i="51"/>
  <c r="M108" i="51"/>
  <c r="S110" i="51"/>
  <c r="R111" i="51"/>
  <c r="Q112" i="51"/>
  <c r="K72" i="51"/>
  <c r="L50" i="51"/>
  <c r="N53" i="51"/>
  <c r="R55" i="51"/>
  <c r="L59" i="51"/>
  <c r="K60" i="51"/>
  <c r="M72" i="51"/>
  <c r="Q76" i="51"/>
  <c r="K81" i="51"/>
  <c r="K91" i="51" s="1"/>
  <c r="P84" i="51"/>
  <c r="O85" i="51"/>
  <c r="T88" i="51"/>
  <c r="T91" i="51" s="1"/>
  <c r="S89" i="51"/>
  <c r="N93" i="51"/>
  <c r="N102" i="51" s="1"/>
  <c r="M94" i="51"/>
  <c r="Q98" i="51"/>
  <c r="K103" i="51"/>
  <c r="K113" i="51" s="1"/>
  <c r="O107" i="51"/>
  <c r="S111" i="51"/>
  <c r="R112" i="51"/>
  <c r="R54" i="51"/>
  <c r="U57" i="51"/>
  <c r="S55" i="51"/>
  <c r="L60" i="51"/>
  <c r="O64" i="51"/>
  <c r="S68" i="51"/>
  <c r="O108" i="51"/>
  <c r="N109" i="51"/>
  <c r="T111" i="51"/>
  <c r="S112" i="51"/>
  <c r="N50" i="51"/>
  <c r="N54" i="51"/>
  <c r="T54" i="51" s="1"/>
  <c r="Q57" i="51"/>
  <c r="M60" i="51"/>
  <c r="S76" i="51"/>
  <c r="S80" i="51" s="1"/>
  <c r="O109" i="51"/>
  <c r="T112" i="51"/>
  <c r="R109" i="51"/>
  <c r="P109" i="51"/>
  <c r="P113" i="51" s="1"/>
  <c r="U112" i="51"/>
  <c r="U113" i="51" s="1"/>
  <c r="H48" i="51" l="1"/>
  <c r="H58" i="51" s="1"/>
  <c r="D42" i="51" s="1"/>
  <c r="D44" i="51" s="1"/>
  <c r="D58" i="51"/>
  <c r="K48" i="51"/>
  <c r="K58" i="51" s="1"/>
  <c r="J48" i="51"/>
  <c r="J58" i="51" s="1"/>
  <c r="F42" i="51" s="1"/>
  <c r="L48" i="51"/>
  <c r="L58" i="51" s="1"/>
  <c r="I48" i="51"/>
  <c r="I58" i="51" s="1"/>
  <c r="E42" i="51" s="1"/>
  <c r="N48" i="51"/>
  <c r="N58" i="51" s="1"/>
  <c r="M102" i="51"/>
  <c r="P69" i="51"/>
  <c r="S91" i="51"/>
  <c r="S102" i="51"/>
  <c r="R80" i="51"/>
  <c r="O102" i="51"/>
  <c r="K43" i="51" s="1"/>
  <c r="Q91" i="51"/>
  <c r="O58" i="51"/>
  <c r="N69" i="51"/>
  <c r="N80" i="51"/>
  <c r="H43" i="51"/>
  <c r="S58" i="51"/>
  <c r="O113" i="51"/>
  <c r="T113" i="51"/>
  <c r="T102" i="51"/>
  <c r="Q113" i="51"/>
  <c r="O80" i="51"/>
  <c r="M69" i="51"/>
  <c r="O69" i="51"/>
  <c r="M113" i="51"/>
  <c r="M58" i="51"/>
  <c r="I43" i="51"/>
  <c r="T58" i="51"/>
  <c r="U80" i="51"/>
  <c r="M80" i="51"/>
  <c r="O91" i="51"/>
  <c r="R113" i="51"/>
  <c r="U102" i="51"/>
  <c r="L69" i="51"/>
  <c r="K80" i="51"/>
  <c r="Q58" i="51"/>
  <c r="P58" i="51"/>
  <c r="P102" i="51"/>
  <c r="L43" i="51" s="1"/>
  <c r="R58" i="51"/>
  <c r="K102" i="51"/>
  <c r="G43" i="51" s="1"/>
  <c r="R69" i="51"/>
  <c r="R91" i="51"/>
  <c r="E43" i="51"/>
  <c r="Q69" i="51"/>
  <c r="S69" i="51"/>
  <c r="P91" i="51"/>
  <c r="J113" i="51"/>
  <c r="F43" i="51" s="1"/>
  <c r="K69" i="51"/>
  <c r="S113" i="51"/>
  <c r="N113" i="51"/>
  <c r="J43" i="51" s="1"/>
  <c r="Q102" i="51"/>
  <c r="N91" i="51"/>
  <c r="P80" i="51"/>
  <c r="Q80" i="51"/>
  <c r="G42" i="51" l="1"/>
  <c r="G44" i="51" s="1"/>
  <c r="M43" i="51"/>
  <c r="K42" i="51"/>
  <c r="K44" i="51" s="1"/>
  <c r="L42" i="51"/>
  <c r="I42" i="51"/>
  <c r="I44" i="51" s="1"/>
  <c r="F44" i="51"/>
  <c r="L44" i="51"/>
  <c r="M42" i="51"/>
  <c r="M44" i="51" s="1"/>
  <c r="H42" i="51"/>
  <c r="H44" i="51" s="1"/>
  <c r="J42" i="51"/>
  <c r="J44" i="51" s="1"/>
  <c r="E44" i="51"/>
  <c r="P21" i="45" l="1"/>
  <c r="K21" i="45" s="1"/>
  <c r="W23" i="45"/>
  <c r="T23" i="45"/>
  <c r="R23" i="45"/>
  <c r="AA23" i="45"/>
  <c r="Z23" i="45"/>
  <c r="Y23" i="45"/>
  <c r="V23" i="45"/>
  <c r="S23" i="45"/>
  <c r="X23" i="45"/>
  <c r="U23" i="45"/>
  <c r="Q23" i="45"/>
  <c r="P19" i="45"/>
  <c r="K19" i="45" s="1"/>
  <c r="P22" i="45"/>
  <c r="K22" i="45" s="1"/>
  <c r="P20" i="45"/>
  <c r="K20" i="45" s="1"/>
  <c r="P18" i="45"/>
  <c r="K18" i="45" s="1"/>
  <c r="P23" i="45" l="1"/>
  <c r="K23" i="45"/>
  <c r="D113" i="42" l="1"/>
  <c r="D112" i="42"/>
  <c r="D111" i="42"/>
  <c r="D110" i="42"/>
  <c r="D109" i="42"/>
  <c r="D107" i="42"/>
  <c r="D106" i="42"/>
  <c r="D105" i="42"/>
  <c r="D104" i="42"/>
  <c r="D103" i="42"/>
  <c r="D98" i="42"/>
  <c r="D99" i="42"/>
  <c r="D100" i="42"/>
  <c r="D101" i="42"/>
  <c r="D97" i="42"/>
  <c r="D90" i="42"/>
  <c r="D89" i="42"/>
  <c r="D88" i="42"/>
  <c r="D87" i="42"/>
  <c r="D86" i="42"/>
  <c r="D84" i="42"/>
  <c r="D83" i="42"/>
  <c r="D82" i="42"/>
  <c r="D81" i="42"/>
  <c r="D80" i="42"/>
  <c r="D75" i="42"/>
  <c r="D76" i="42"/>
  <c r="D77" i="42"/>
  <c r="D78" i="42"/>
  <c r="D74" i="42"/>
  <c r="D67" i="42"/>
  <c r="D66" i="42"/>
  <c r="D65" i="42"/>
  <c r="D64" i="42"/>
  <c r="D63" i="42"/>
  <c r="D61" i="42"/>
  <c r="D60" i="42"/>
  <c r="D59" i="42"/>
  <c r="D58" i="42"/>
  <c r="D57" i="42"/>
  <c r="D52" i="42"/>
  <c r="D53" i="42"/>
  <c r="D54" i="42"/>
  <c r="D55" i="42"/>
  <c r="D51" i="42"/>
  <c r="D44" i="42"/>
  <c r="D43" i="42"/>
  <c r="D42" i="42"/>
  <c r="D41" i="42"/>
  <c r="D40" i="42"/>
  <c r="D38" i="42"/>
  <c r="D37" i="42"/>
  <c r="D36" i="42"/>
  <c r="D35" i="42"/>
  <c r="D34" i="42"/>
  <c r="D29" i="42"/>
  <c r="D30" i="42"/>
  <c r="D31" i="42"/>
  <c r="D32" i="42"/>
  <c r="D28" i="42"/>
  <c r="D5" i="42"/>
  <c r="N10" i="42" l="1"/>
  <c r="O10" i="42"/>
  <c r="P10" i="42"/>
  <c r="Q10" i="42"/>
  <c r="S10" i="42"/>
  <c r="J10" i="42"/>
  <c r="R10" i="42"/>
  <c r="K10" i="42"/>
  <c r="R24" i="45" s="1"/>
  <c r="L10" i="42"/>
  <c r="S24" i="45" s="1"/>
  <c r="T10" i="42"/>
  <c r="AA24" i="45" s="1"/>
  <c r="M10" i="42"/>
  <c r="T24" i="45" s="1"/>
  <c r="I10" i="42"/>
  <c r="K56" i="42"/>
  <c r="R30" i="45" s="1"/>
  <c r="R56" i="42"/>
  <c r="Y30" i="45" s="1"/>
  <c r="I56" i="42"/>
  <c r="P56" i="42"/>
  <c r="W30" i="45" s="1"/>
  <c r="O33" i="42"/>
  <c r="V27" i="45" s="1"/>
  <c r="N33" i="42"/>
  <c r="U27" i="45" s="1"/>
  <c r="R33" i="42"/>
  <c r="Y27" i="45" s="1"/>
  <c r="J33" i="42"/>
  <c r="P33" i="42"/>
  <c r="W27" i="45" s="1"/>
  <c r="T114" i="42"/>
  <c r="AA38" i="45" s="1"/>
  <c r="R114" i="42"/>
  <c r="Y38" i="45" s="1"/>
  <c r="J114" i="42"/>
  <c r="Q114" i="42"/>
  <c r="X38" i="45" s="1"/>
  <c r="P114" i="42"/>
  <c r="W38" i="45" s="1"/>
  <c r="O114" i="42"/>
  <c r="V38" i="45" s="1"/>
  <c r="M114" i="42"/>
  <c r="T38" i="45" s="1"/>
  <c r="N114" i="42"/>
  <c r="U38" i="45" s="1"/>
  <c r="H22" i="42"/>
  <c r="T16" i="42"/>
  <c r="AA25" i="45" s="1"/>
  <c r="S16" i="42"/>
  <c r="Z25" i="45" s="1"/>
  <c r="R16" i="42"/>
  <c r="Y25" i="45" s="1"/>
  <c r="Q16" i="42"/>
  <c r="X25" i="45" s="1"/>
  <c r="P16" i="42"/>
  <c r="W25" i="45" s="1"/>
  <c r="O16" i="42"/>
  <c r="V25" i="45" s="1"/>
  <c r="N16" i="42"/>
  <c r="U25" i="45" s="1"/>
  <c r="M16" i="42"/>
  <c r="T25" i="45" s="1"/>
  <c r="L16" i="42"/>
  <c r="S25" i="45" s="1"/>
  <c r="K16" i="42"/>
  <c r="R25" i="45" s="1"/>
  <c r="J16" i="42"/>
  <c r="I16" i="42"/>
  <c r="H16" i="42"/>
  <c r="J22" i="42"/>
  <c r="K22" i="42"/>
  <c r="R26" i="45" s="1"/>
  <c r="L22" i="42"/>
  <c r="S26" i="45" s="1"/>
  <c r="M22" i="42"/>
  <c r="T26" i="45" s="1"/>
  <c r="N22" i="42"/>
  <c r="U26" i="45" s="1"/>
  <c r="O22" i="42"/>
  <c r="V26" i="45" s="1"/>
  <c r="P22" i="42"/>
  <c r="W26" i="45" s="1"/>
  <c r="Q22" i="42"/>
  <c r="X26" i="45" s="1"/>
  <c r="R22" i="42"/>
  <c r="Y26" i="45" s="1"/>
  <c r="S22" i="42"/>
  <c r="Z26" i="45" s="1"/>
  <c r="T22" i="42"/>
  <c r="AA26" i="45" s="1"/>
  <c r="U24" i="45"/>
  <c r="V24" i="45"/>
  <c r="W24" i="45"/>
  <c r="X24" i="45"/>
  <c r="Y24" i="45"/>
  <c r="Z24" i="45"/>
  <c r="I22" i="42"/>
  <c r="K33" i="42" l="1"/>
  <c r="R27" i="45" s="1"/>
  <c r="J56" i="42"/>
  <c r="N56" i="42"/>
  <c r="U30" i="45" s="1"/>
  <c r="I33" i="42"/>
  <c r="L33" i="42"/>
  <c r="S27" i="45" s="1"/>
  <c r="M33" i="42"/>
  <c r="T27" i="45" s="1"/>
  <c r="S33" i="42"/>
  <c r="Z27" i="45" s="1"/>
  <c r="Q33" i="42"/>
  <c r="X27" i="45" s="1"/>
  <c r="T33" i="42"/>
  <c r="AA27" i="45" s="1"/>
  <c r="O56" i="42"/>
  <c r="V30" i="45" s="1"/>
  <c r="S56" i="42"/>
  <c r="Z30" i="45" s="1"/>
  <c r="K114" i="42"/>
  <c r="R38" i="45" s="1"/>
  <c r="H10" i="42"/>
  <c r="G10" i="42" s="1"/>
  <c r="M56" i="42"/>
  <c r="T30" i="45" s="1"/>
  <c r="L56" i="42"/>
  <c r="S30" i="45" s="1"/>
  <c r="T56" i="42"/>
  <c r="AA30" i="45" s="1"/>
  <c r="Q56" i="42"/>
  <c r="X30" i="45" s="1"/>
  <c r="Q39" i="42"/>
  <c r="N39" i="42"/>
  <c r="H62" i="42"/>
  <c r="L85" i="42"/>
  <c r="S34" i="45" s="1"/>
  <c r="P45" i="42"/>
  <c r="W29" i="45" s="1"/>
  <c r="T45" i="42"/>
  <c r="AA29" i="45" s="1"/>
  <c r="N79" i="42"/>
  <c r="L68" i="42"/>
  <c r="S32" i="45" s="1"/>
  <c r="Q68" i="42"/>
  <c r="X32" i="45" s="1"/>
  <c r="K91" i="42"/>
  <c r="R35" i="45" s="1"/>
  <c r="J39" i="42"/>
  <c r="P62" i="42"/>
  <c r="T85" i="42"/>
  <c r="AA34" i="45" s="1"/>
  <c r="I45" i="42"/>
  <c r="M45" i="42"/>
  <c r="T29" i="45" s="1"/>
  <c r="J79" i="42"/>
  <c r="O79" i="42"/>
  <c r="T68" i="42"/>
  <c r="AA32" i="45" s="1"/>
  <c r="J68" i="42"/>
  <c r="S91" i="42"/>
  <c r="Z35" i="45" s="1"/>
  <c r="R39" i="42"/>
  <c r="I62" i="42"/>
  <c r="I85" i="42"/>
  <c r="M85" i="42"/>
  <c r="T34" i="45" s="1"/>
  <c r="Q45" i="42"/>
  <c r="X29" i="45" s="1"/>
  <c r="R79" i="42"/>
  <c r="H79" i="42"/>
  <c r="M68" i="42"/>
  <c r="T32" i="45" s="1"/>
  <c r="R68" i="42"/>
  <c r="Y32" i="45" s="1"/>
  <c r="H91" i="42"/>
  <c r="L91" i="42"/>
  <c r="S35" i="45" s="1"/>
  <c r="K39" i="42"/>
  <c r="M62" i="42"/>
  <c r="Q62" i="42"/>
  <c r="Q85" i="42"/>
  <c r="X34" i="45" s="1"/>
  <c r="N85" i="42"/>
  <c r="U34" i="45" s="1"/>
  <c r="H33" i="42"/>
  <c r="H56" i="42"/>
  <c r="J45" i="42"/>
  <c r="K79" i="42"/>
  <c r="P79" i="42"/>
  <c r="N68" i="42"/>
  <c r="U32" i="45" s="1"/>
  <c r="P91" i="42"/>
  <c r="W35" i="45" s="1"/>
  <c r="T91" i="42"/>
  <c r="AA35" i="45" s="1"/>
  <c r="H39" i="42"/>
  <c r="S39" i="42"/>
  <c r="L62" i="42"/>
  <c r="J62" i="42"/>
  <c r="J85" i="42"/>
  <c r="O85" i="42"/>
  <c r="V34" i="45" s="1"/>
  <c r="R45" i="42"/>
  <c r="Y29" i="45" s="1"/>
  <c r="S79" i="42"/>
  <c r="I79" i="42"/>
  <c r="O68" i="42"/>
  <c r="V32" i="45" s="1"/>
  <c r="I91" i="42"/>
  <c r="M91" i="42"/>
  <c r="T35" i="45" s="1"/>
  <c r="P39" i="42"/>
  <c r="L39" i="42"/>
  <c r="T62" i="42"/>
  <c r="R62" i="42"/>
  <c r="R85" i="42"/>
  <c r="Y34" i="45" s="1"/>
  <c r="H85" i="42"/>
  <c r="O45" i="42"/>
  <c r="V29" i="45" s="1"/>
  <c r="K45" i="42"/>
  <c r="R29" i="45" s="1"/>
  <c r="L79" i="42"/>
  <c r="Q79" i="42"/>
  <c r="H68" i="42"/>
  <c r="Q91" i="42"/>
  <c r="X35" i="45" s="1"/>
  <c r="N91" i="42"/>
  <c r="U35" i="45" s="1"/>
  <c r="O39" i="42"/>
  <c r="T39" i="42"/>
  <c r="N62" i="42"/>
  <c r="K62" i="42"/>
  <c r="K85" i="42"/>
  <c r="R34" i="45" s="1"/>
  <c r="P85" i="42"/>
  <c r="W34" i="45" s="1"/>
  <c r="N45" i="42"/>
  <c r="U29" i="45" s="1"/>
  <c r="S45" i="42"/>
  <c r="Z29" i="45" s="1"/>
  <c r="T79" i="42"/>
  <c r="K68" i="42"/>
  <c r="R32" i="45" s="1"/>
  <c r="P68" i="42"/>
  <c r="W32" i="45" s="1"/>
  <c r="J91" i="42"/>
  <c r="O91" i="42"/>
  <c r="V35" i="45" s="1"/>
  <c r="I39" i="42"/>
  <c r="M39" i="42"/>
  <c r="O62" i="42"/>
  <c r="S62" i="42"/>
  <c r="S85" i="42"/>
  <c r="Z34" i="45" s="1"/>
  <c r="H45" i="42"/>
  <c r="L45" i="42"/>
  <c r="S29" i="45" s="1"/>
  <c r="M79" i="42"/>
  <c r="S68" i="42"/>
  <c r="Z32" i="45" s="1"/>
  <c r="I68" i="42"/>
  <c r="R91" i="42"/>
  <c r="Y35" i="45" s="1"/>
  <c r="Q102" i="42"/>
  <c r="X36" i="45" s="1"/>
  <c r="P102" i="42"/>
  <c r="W36" i="45" s="1"/>
  <c r="Q108" i="42"/>
  <c r="X37" i="45" s="1"/>
  <c r="H114" i="42"/>
  <c r="L114" i="42"/>
  <c r="S38" i="45" s="1"/>
  <c r="I102" i="42"/>
  <c r="M102" i="42"/>
  <c r="I108" i="42"/>
  <c r="M108" i="42"/>
  <c r="T37" i="45" s="1"/>
  <c r="I114" i="42"/>
  <c r="J102" i="42"/>
  <c r="N102" i="42"/>
  <c r="J108" i="42"/>
  <c r="R102" i="42"/>
  <c r="R108" i="42"/>
  <c r="Y37" i="45" s="1"/>
  <c r="K102" i="42"/>
  <c r="N108" i="42"/>
  <c r="U37" i="45" s="1"/>
  <c r="K108" i="42"/>
  <c r="R37" i="45" s="1"/>
  <c r="S102" i="42"/>
  <c r="H108" i="42"/>
  <c r="S108" i="42"/>
  <c r="Z37" i="45" s="1"/>
  <c r="P108" i="42"/>
  <c r="W37" i="45" s="1"/>
  <c r="L108" i="42"/>
  <c r="S37" i="45" s="1"/>
  <c r="H102" i="42"/>
  <c r="L102" i="42"/>
  <c r="Q94" i="42"/>
  <c r="S114" i="42"/>
  <c r="Z38" i="45" s="1"/>
  <c r="O102" i="42"/>
  <c r="T102" i="42"/>
  <c r="O108" i="42"/>
  <c r="V37" i="45" s="1"/>
  <c r="T108" i="42"/>
  <c r="AA37" i="45" s="1"/>
  <c r="G22" i="42"/>
  <c r="G16" i="42"/>
  <c r="Q25" i="45"/>
  <c r="P25" i="45" s="1"/>
  <c r="K25" i="45" s="1"/>
  <c r="Q24" i="45"/>
  <c r="Q26" i="45"/>
  <c r="P26" i="45" s="1"/>
  <c r="K26" i="45" s="1"/>
  <c r="G170" i="42"/>
  <c r="O170" i="42"/>
  <c r="Q170" i="42"/>
  <c r="L170" i="42"/>
  <c r="T170" i="42"/>
  <c r="N170" i="42"/>
  <c r="J170" i="42"/>
  <c r="R170" i="42"/>
  <c r="K170" i="42"/>
  <c r="S170" i="42"/>
  <c r="I170" i="42"/>
  <c r="M170" i="42"/>
  <c r="H170" i="42"/>
  <c r="P170" i="42"/>
  <c r="O2" i="42"/>
  <c r="H146" i="42"/>
  <c r="P146" i="42"/>
  <c r="I146" i="42"/>
  <c r="Q146" i="42"/>
  <c r="N146" i="42"/>
  <c r="L146" i="42"/>
  <c r="K146" i="42"/>
  <c r="M146" i="42"/>
  <c r="S146" i="42"/>
  <c r="G146" i="42"/>
  <c r="G144" i="42" s="1"/>
  <c r="O146" i="42"/>
  <c r="J146" i="42"/>
  <c r="R146" i="42"/>
  <c r="Q2" i="42"/>
  <c r="H2" i="42"/>
  <c r="T2" i="42"/>
  <c r="J2" i="42"/>
  <c r="I2" i="42"/>
  <c r="N2" i="42"/>
  <c r="R2" i="42"/>
  <c r="M2" i="42"/>
  <c r="P2" i="42"/>
  <c r="L2" i="42"/>
  <c r="S2" i="42"/>
  <c r="K2" i="42"/>
  <c r="J48" i="42" l="1"/>
  <c r="I25" i="42"/>
  <c r="Q32" i="45"/>
  <c r="J25" i="42"/>
  <c r="I71" i="42"/>
  <c r="U31" i="45"/>
  <c r="N48" i="42"/>
  <c r="X33" i="45"/>
  <c r="Q71" i="42"/>
  <c r="AA31" i="45"/>
  <c r="T48" i="42"/>
  <c r="R28" i="45"/>
  <c r="K25" i="42"/>
  <c r="Y33" i="45"/>
  <c r="R71" i="42"/>
  <c r="Z31" i="45"/>
  <c r="S48" i="42"/>
  <c r="AA28" i="45"/>
  <c r="T25" i="42"/>
  <c r="S33" i="45"/>
  <c r="L71" i="42"/>
  <c r="S28" i="45"/>
  <c r="L25" i="42"/>
  <c r="G56" i="42"/>
  <c r="H48" i="42"/>
  <c r="Q30" i="45"/>
  <c r="P30" i="45" s="1"/>
  <c r="K30" i="45" s="1"/>
  <c r="G2" i="42"/>
  <c r="V31" i="45"/>
  <c r="O48" i="42"/>
  <c r="AA33" i="45"/>
  <c r="T71" i="42"/>
  <c r="V28" i="45"/>
  <c r="O25" i="42"/>
  <c r="W28" i="45"/>
  <c r="P25" i="42"/>
  <c r="G91" i="42"/>
  <c r="Q35" i="45"/>
  <c r="P35" i="45" s="1"/>
  <c r="K35" i="45" s="1"/>
  <c r="W31" i="45"/>
  <c r="P48" i="42"/>
  <c r="T33" i="45"/>
  <c r="M71" i="42"/>
  <c r="T28" i="45"/>
  <c r="M25" i="42"/>
  <c r="G33" i="42"/>
  <c r="Q27" i="45"/>
  <c r="P27" i="45" s="1"/>
  <c r="K27" i="45" s="1"/>
  <c r="H25" i="42"/>
  <c r="G68" i="42"/>
  <c r="G85" i="42"/>
  <c r="Q34" i="45"/>
  <c r="P34" i="45" s="1"/>
  <c r="K34" i="45" s="1"/>
  <c r="S31" i="45"/>
  <c r="L48" i="42"/>
  <c r="V33" i="45"/>
  <c r="O71" i="42"/>
  <c r="G45" i="42"/>
  <c r="Q29" i="45"/>
  <c r="P29" i="45" s="1"/>
  <c r="K29" i="45" s="1"/>
  <c r="Z28" i="45"/>
  <c r="S25" i="42"/>
  <c r="W33" i="45"/>
  <c r="P71" i="42"/>
  <c r="J71" i="42"/>
  <c r="G62" i="42"/>
  <c r="Q31" i="45"/>
  <c r="R33" i="45"/>
  <c r="K71" i="42"/>
  <c r="X31" i="45"/>
  <c r="Q48" i="42"/>
  <c r="I48" i="42"/>
  <c r="U28" i="45"/>
  <c r="N25" i="42"/>
  <c r="R31" i="45"/>
  <c r="K48" i="42"/>
  <c r="P32" i="45"/>
  <c r="K32" i="45" s="1"/>
  <c r="Y31" i="45"/>
  <c r="R48" i="42"/>
  <c r="Z33" i="45"/>
  <c r="S71" i="42"/>
  <c r="G39" i="42"/>
  <c r="Q28" i="45"/>
  <c r="T31" i="45"/>
  <c r="M48" i="42"/>
  <c r="G79" i="42"/>
  <c r="Q33" i="45"/>
  <c r="H71" i="42"/>
  <c r="Y28" i="45"/>
  <c r="R25" i="42"/>
  <c r="U33" i="45"/>
  <c r="N71" i="42"/>
  <c r="X28" i="45"/>
  <c r="Q25" i="42"/>
  <c r="W39" i="45"/>
  <c r="J29" i="47" s="1"/>
  <c r="J22" i="47" s="1"/>
  <c r="P94" i="42"/>
  <c r="G108" i="42"/>
  <c r="Q37" i="45"/>
  <c r="P37" i="45" s="1"/>
  <c r="K37" i="45" s="1"/>
  <c r="T36" i="45"/>
  <c r="M94" i="42"/>
  <c r="Y36" i="45"/>
  <c r="R94" i="42"/>
  <c r="S36" i="45"/>
  <c r="S39" i="45" s="1"/>
  <c r="F29" i="47" s="1"/>
  <c r="F22" i="47" s="1"/>
  <c r="L94" i="42"/>
  <c r="I94" i="42"/>
  <c r="V36" i="45"/>
  <c r="O94" i="42"/>
  <c r="G102" i="42"/>
  <c r="Q36" i="45"/>
  <c r="H94" i="42"/>
  <c r="Z36" i="45"/>
  <c r="S94" i="42"/>
  <c r="U36" i="45"/>
  <c r="N94" i="42"/>
  <c r="J94" i="42"/>
  <c r="G114" i="42"/>
  <c r="Q38" i="45"/>
  <c r="P38" i="45" s="1"/>
  <c r="K38" i="45" s="1"/>
  <c r="R36" i="45"/>
  <c r="K94" i="42"/>
  <c r="AA36" i="45"/>
  <c r="T94" i="42"/>
  <c r="P24" i="45"/>
  <c r="R39" i="45" l="1"/>
  <c r="E29" i="47" s="1"/>
  <c r="E22" i="47" s="1"/>
  <c r="G71" i="42"/>
  <c r="V39" i="45"/>
  <c r="I29" i="47" s="1"/>
  <c r="I22" i="47" s="1"/>
  <c r="U39" i="45"/>
  <c r="H29" i="47" s="1"/>
  <c r="H22" i="47" s="1"/>
  <c r="AA39" i="45"/>
  <c r="Z39" i="45"/>
  <c r="X39" i="45"/>
  <c r="G25" i="42"/>
  <c r="P33" i="45"/>
  <c r="K33" i="45" s="1"/>
  <c r="Y39" i="45"/>
  <c r="G48" i="42"/>
  <c r="Q39" i="45"/>
  <c r="D29" i="47" s="1"/>
  <c r="T39" i="45"/>
  <c r="G29" i="47" s="1"/>
  <c r="G22" i="47" s="1"/>
  <c r="P28" i="45"/>
  <c r="K28" i="45" s="1"/>
  <c r="P31" i="45"/>
  <c r="K31" i="45" s="1"/>
  <c r="Q2" i="38"/>
  <c r="M2" i="38"/>
  <c r="H75" i="33"/>
  <c r="O2" i="38"/>
  <c r="V2" i="38"/>
  <c r="N2" i="38"/>
  <c r="U2" i="38"/>
  <c r="T2" i="38"/>
  <c r="S2" i="38"/>
  <c r="P2" i="38"/>
  <c r="W2" i="38"/>
  <c r="R2" i="38"/>
  <c r="P36" i="45"/>
  <c r="K36" i="45" s="1"/>
  <c r="G94" i="42"/>
  <c r="K24" i="45"/>
  <c r="C29" i="47" l="1"/>
  <c r="D22" i="47"/>
  <c r="P39" i="45"/>
  <c r="K39" i="45"/>
  <c r="K56" i="45" s="1"/>
  <c r="K57" i="45" s="1"/>
  <c r="C9" i="47"/>
  <c r="C7" i="47" s="1"/>
  <c r="C22" i="47"/>
  <c r="C37" i="47" s="1"/>
  <c r="R75" i="33"/>
  <c r="O75" i="33"/>
  <c r="Q75" i="33"/>
  <c r="J75" i="33"/>
  <c r="L75" i="33"/>
  <c r="I75" i="33"/>
  <c r="N75" i="33"/>
  <c r="C10" i="47" l="1"/>
  <c r="C38" i="47"/>
  <c r="C11" i="47" s="1"/>
  <c r="K75" i="33"/>
  <c r="P75" i="33"/>
  <c r="M75" i="33"/>
  <c r="C39" i="30"/>
  <c r="G75" i="33" l="1"/>
  <c r="I35" i="30"/>
  <c r="E35" i="30"/>
  <c r="F35" i="30" s="1"/>
  <c r="K35" i="30" s="1"/>
  <c r="K32" i="30"/>
  <c r="O32" i="30" s="1"/>
  <c r="J32" i="30"/>
  <c r="I26" i="30"/>
  <c r="I32" i="30" s="1"/>
  <c r="E26" i="30"/>
  <c r="F26" i="30" s="1"/>
  <c r="K26" i="30" s="1"/>
  <c r="N26" i="30" s="1"/>
  <c r="O26" i="30" s="1"/>
  <c r="P26" i="30" s="1"/>
  <c r="K31" i="30"/>
  <c r="Q26" i="30" l="1"/>
  <c r="R26" i="30"/>
  <c r="Q35" i="30"/>
  <c r="N35" i="30"/>
  <c r="O35" i="30" s="1"/>
  <c r="P35" i="30" s="1"/>
  <c r="P32" i="30"/>
  <c r="Q32" i="30" s="1"/>
  <c r="R32" i="30" l="1"/>
  <c r="R35" i="30"/>
  <c r="J31" i="30" l="1"/>
  <c r="H31" i="30"/>
  <c r="O31" i="30" s="1"/>
  <c r="I25" i="30"/>
  <c r="I31" i="30" s="1"/>
  <c r="E25" i="30"/>
  <c r="F25" i="30" s="1"/>
  <c r="K25" i="30" s="1"/>
  <c r="N25" i="30" s="1"/>
  <c r="O25" i="30" s="1"/>
  <c r="P25" i="30" s="1"/>
  <c r="R25" i="30" s="1"/>
  <c r="P31" i="30" l="1"/>
  <c r="Q25" i="30"/>
  <c r="Q31" i="30" l="1"/>
  <c r="R31" i="30"/>
  <c r="G50" i="33" l="1"/>
  <c r="G52" i="33" s="1"/>
  <c r="G59" i="33" s="1"/>
  <c r="T2" i="56" l="1"/>
</calcChain>
</file>

<file path=xl/comments1.xml><?xml version="1.0" encoding="utf-8"?>
<comments xmlns="http://schemas.openxmlformats.org/spreadsheetml/2006/main">
  <authors>
    <author>user</author>
  </authors>
  <commentList>
    <comment ref="F6" authorId="0" shapeId="0">
      <text>
        <r>
          <rPr>
            <b/>
            <sz val="9"/>
            <color indexed="81"/>
            <rFont val="돋움"/>
            <family val="3"/>
            <charset val="129"/>
          </rPr>
          <t>현재연도</t>
        </r>
      </text>
    </comment>
  </commentList>
</comments>
</file>

<file path=xl/comments2.xml><?xml version="1.0" encoding="utf-8"?>
<comments xmlns="http://schemas.openxmlformats.org/spreadsheetml/2006/main">
  <authors>
    <author>user</author>
  </authors>
  <commentList>
    <comment ref="D5" authorId="0" shapeId="0">
      <text>
        <r>
          <rPr>
            <b/>
            <sz val="9"/>
            <color indexed="81"/>
            <rFont val="돋움"/>
            <family val="3"/>
            <charset val="129"/>
          </rPr>
          <t xml:space="preserve">현재연도
</t>
        </r>
      </text>
    </comment>
  </commentList>
</comments>
</file>

<file path=xl/comments3.xml><?xml version="1.0" encoding="utf-8"?>
<comments xmlns="http://schemas.openxmlformats.org/spreadsheetml/2006/main">
  <authors>
    <author>user</author>
    <author>김선아(신입인재육성TF)</author>
  </authors>
  <commentList>
    <comment ref="O5" authorId="0" shapeId="0">
      <text>
        <r>
          <rPr>
            <b/>
            <sz val="9"/>
            <color indexed="81"/>
            <rFont val="돋움"/>
            <family val="3"/>
            <charset val="129"/>
          </rPr>
          <t xml:space="preserve">IFRS 도입(2011년)에 따라 6년정액으로 일원화
</t>
        </r>
      </text>
    </comment>
    <comment ref="M42" authorId="1" shapeId="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 xml:space="preserve">TF):
Y9 </t>
        </r>
        <r>
          <rPr>
            <b/>
            <sz val="9"/>
            <color indexed="81"/>
            <rFont val="돋움"/>
            <family val="3"/>
            <charset val="129"/>
          </rPr>
          <t>이후</t>
        </r>
        <r>
          <rPr>
            <b/>
            <sz val="9"/>
            <color indexed="81"/>
            <rFont val="Tahoma"/>
            <family val="2"/>
          </rPr>
          <t xml:space="preserve"> </t>
        </r>
        <r>
          <rPr>
            <b/>
            <sz val="9"/>
            <color indexed="81"/>
            <rFont val="돋움"/>
            <family val="3"/>
            <charset val="129"/>
          </rPr>
          <t>누락금액</t>
        </r>
        <r>
          <rPr>
            <b/>
            <sz val="9"/>
            <color indexed="81"/>
            <rFont val="Tahoma"/>
            <family val="2"/>
          </rPr>
          <t xml:space="preserve"> </t>
        </r>
        <r>
          <rPr>
            <b/>
            <sz val="9"/>
            <color indexed="81"/>
            <rFont val="돋움"/>
            <family val="3"/>
            <charset val="129"/>
          </rPr>
          <t xml:space="preserve">추가
</t>
        </r>
      </text>
    </comment>
    <comment ref="O49" authorId="1" shapeId="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TF):</t>
        </r>
        <r>
          <rPr>
            <sz val="9"/>
            <color indexed="81"/>
            <rFont val="Tahoma"/>
            <family val="2"/>
          </rPr>
          <t xml:space="preserve">
</t>
        </r>
        <r>
          <rPr>
            <sz val="9"/>
            <color indexed="81"/>
            <rFont val="돋움"/>
            <family val="3"/>
            <charset val="129"/>
          </rPr>
          <t>수식</t>
        </r>
        <r>
          <rPr>
            <sz val="9"/>
            <color indexed="81"/>
            <rFont val="Tahoma"/>
            <family val="2"/>
          </rPr>
          <t xml:space="preserve"> </t>
        </r>
        <r>
          <rPr>
            <sz val="9"/>
            <color indexed="81"/>
            <rFont val="돋움"/>
            <family val="3"/>
            <charset val="129"/>
          </rPr>
          <t>누락으로</t>
        </r>
        <r>
          <rPr>
            <sz val="9"/>
            <color indexed="81"/>
            <rFont val="Tahoma"/>
            <family val="2"/>
          </rPr>
          <t xml:space="preserve"> </t>
        </r>
        <r>
          <rPr>
            <sz val="9"/>
            <color indexed="81"/>
            <rFont val="돋움"/>
            <family val="3"/>
            <charset val="129"/>
          </rPr>
          <t>추가함</t>
        </r>
      </text>
    </comment>
  </commentList>
</comments>
</file>

<file path=xl/comments4.xml><?xml version="1.0" encoding="utf-8"?>
<comments xmlns="http://schemas.openxmlformats.org/spreadsheetml/2006/main">
  <authors>
    <author>user</author>
  </authors>
  <commentList>
    <comment ref="F6" authorId="0" shapeId="0">
      <text>
        <r>
          <rPr>
            <b/>
            <sz val="9"/>
            <color indexed="81"/>
            <rFont val="돋움"/>
            <family val="3"/>
            <charset val="129"/>
          </rPr>
          <t>현재연도</t>
        </r>
      </text>
    </comment>
  </commentList>
</comments>
</file>

<file path=xl/connections.xml><?xml version="1.0" encoding="utf-8"?>
<connections xmlns="http://schemas.openxmlformats.org/spreadsheetml/2006/main">
  <connection id="1" keepAlive="1" name="쿼리 - 개발" description="통합 문서의 '개발' 쿼리에 대한 연결입니다." type="5" refreshedVersion="0" background="1">
    <dbPr connection="Provider=Microsoft.Mashup.OleDb.1;Data Source=$Workbook$;Location=개발;Extended Properties=&quot;&quot;" command="SELECT * FROM [개발]"/>
  </connection>
  <connection id="2" keepAlive="1" name="쿼리 - 개발_연비용" description="통합 문서의 '개발_연비용' 쿼리에 대한 연결입니다." type="5" refreshedVersion="0" background="1">
    <dbPr connection="Provider=Microsoft.Mashup.OleDb.1;Data Source=$Workbook$;Location=개발_연비용;Extended Properties=&quot;&quot;" command="SELECT * FROM [개발_연비용]"/>
  </connection>
  <connection id="3" keepAlive="1" name="쿼리 - 개발병합" description="통합 문서의 '개발병합' 쿼리에 대한 연결입니다." type="5" refreshedVersion="6" background="1" saveData="1">
    <dbPr connection="Provider=Microsoft.Mashup.OleDb.1;Data Source=$Workbook$;Location=개발병합;Extended Properties=&quot;&quot;" command="SELECT * FROM [개발병합]"/>
  </connection>
</connections>
</file>

<file path=xl/sharedStrings.xml><?xml version="1.0" encoding="utf-8"?>
<sst xmlns="http://schemas.openxmlformats.org/spreadsheetml/2006/main" count="7392" uniqueCount="1568">
  <si>
    <t>ID</t>
    <phoneticPr fontId="1" type="noConversion"/>
  </si>
  <si>
    <t>고객사</t>
    <phoneticPr fontId="1" type="noConversion"/>
  </si>
  <si>
    <t>대분류</t>
    <phoneticPr fontId="1" type="noConversion"/>
  </si>
  <si>
    <t>중분류</t>
    <phoneticPr fontId="1" type="noConversion"/>
  </si>
  <si>
    <t>소분류</t>
    <phoneticPr fontId="1" type="noConversion"/>
  </si>
  <si>
    <t>공급사</t>
    <phoneticPr fontId="1" type="noConversion"/>
  </si>
  <si>
    <t>단위</t>
    <phoneticPr fontId="1" type="noConversion"/>
  </si>
  <si>
    <t>수량</t>
    <phoneticPr fontId="1" type="noConversion"/>
  </si>
  <si>
    <t>소비자단가</t>
    <phoneticPr fontId="1" type="noConversion"/>
  </si>
  <si>
    <t>공급단가</t>
    <phoneticPr fontId="1" type="noConversion"/>
  </si>
  <si>
    <t>공급가합계</t>
    <phoneticPr fontId="1" type="noConversion"/>
  </si>
  <si>
    <t>Warranty</t>
    <phoneticPr fontId="1" type="noConversion"/>
  </si>
  <si>
    <t>MA기간</t>
    <phoneticPr fontId="1" type="noConversion"/>
  </si>
  <si>
    <t>MA요율</t>
    <phoneticPr fontId="1" type="noConversion"/>
  </si>
  <si>
    <t>구축</t>
  </si>
  <si>
    <t>MA총액</t>
    <phoneticPr fontId="1" type="noConversion"/>
  </si>
  <si>
    <t>비고</t>
    <phoneticPr fontId="1" type="noConversion"/>
  </si>
  <si>
    <t>Y1_M1</t>
    <phoneticPr fontId="1" type="noConversion"/>
  </si>
  <si>
    <t>Y1_M2</t>
  </si>
  <si>
    <t>Y1_M3</t>
  </si>
  <si>
    <t>Y1_M4</t>
  </si>
  <si>
    <t>Y1_M5</t>
  </si>
  <si>
    <t>Y1_M6</t>
  </si>
  <si>
    <t>Y1_M7</t>
  </si>
  <si>
    <t>Y1_M8</t>
  </si>
  <si>
    <t>Y1_M9</t>
  </si>
  <si>
    <t>Y1_M10</t>
  </si>
  <si>
    <t>Y1_M11</t>
  </si>
  <si>
    <t>Y1_M12</t>
  </si>
  <si>
    <t>Y2_M1</t>
  </si>
  <si>
    <t>Y2_M2</t>
  </si>
  <si>
    <t>Y2_M3</t>
  </si>
  <si>
    <t>Y2_M4</t>
  </si>
  <si>
    <t>Y2_M5</t>
  </si>
  <si>
    <t>Y2_M6</t>
  </si>
  <si>
    <t>Y2_M7</t>
  </si>
  <si>
    <t>Y2_M8</t>
  </si>
  <si>
    <t>Y2_M9</t>
  </si>
  <si>
    <t>Y2_M10</t>
  </si>
  <si>
    <t>Y2_M11</t>
  </si>
  <si>
    <t>Y2_M12</t>
  </si>
  <si>
    <t>Y1</t>
    <phoneticPr fontId="1" type="noConversion"/>
  </si>
  <si>
    <t>연증감율</t>
    <phoneticPr fontId="1" type="noConversion"/>
  </si>
  <si>
    <t>Y3_M1</t>
  </si>
  <si>
    <t>Y3_M2</t>
  </si>
  <si>
    <t>Y3_M3</t>
  </si>
  <si>
    <t>Y3_M4</t>
  </si>
  <si>
    <t>Y3_M5</t>
  </si>
  <si>
    <t>Y3_M6</t>
  </si>
  <si>
    <t>Y3_M7</t>
  </si>
  <si>
    <t>Y3_M8</t>
  </si>
  <si>
    <t>Y3_M9</t>
  </si>
  <si>
    <t>Y3_M10</t>
  </si>
  <si>
    <t>Y3_M11</t>
  </si>
  <si>
    <t>Y3_M12</t>
  </si>
  <si>
    <t>Y4_M1</t>
  </si>
  <si>
    <t>Y4_M2</t>
  </si>
  <si>
    <t>Y4_M3</t>
  </si>
  <si>
    <t>Y4_M4</t>
  </si>
  <si>
    <t>Y4_M5</t>
  </si>
  <si>
    <t>Y4_M6</t>
  </si>
  <si>
    <t>Y4_M7</t>
  </si>
  <si>
    <t>Y4_M8</t>
  </si>
  <si>
    <t>Y4_M9</t>
  </si>
  <si>
    <t>Y4_M10</t>
  </si>
  <si>
    <t>Y4_M11</t>
  </si>
  <si>
    <t>Y4_M12</t>
  </si>
  <si>
    <t>Y5_M1</t>
  </si>
  <si>
    <t>Y5_M2</t>
  </si>
  <si>
    <t>Y5_M3</t>
  </si>
  <si>
    <t>Y5_M4</t>
  </si>
  <si>
    <t>Y5_M5</t>
  </si>
  <si>
    <t>Y5_M6</t>
  </si>
  <si>
    <t>Y5_M7</t>
  </si>
  <si>
    <t>Y5_M8</t>
  </si>
  <si>
    <t>Y5_M9</t>
  </si>
  <si>
    <t>Y5_M10</t>
  </si>
  <si>
    <t>Y5_M11</t>
  </si>
  <si>
    <t>Y5_M12</t>
  </si>
  <si>
    <t>Y6_M1</t>
  </si>
  <si>
    <t>Y6_M2</t>
  </si>
  <si>
    <t>Y6_M3</t>
  </si>
  <si>
    <t>Y6_M4</t>
  </si>
  <si>
    <t>Y6_M5</t>
  </si>
  <si>
    <t>Y6_M6</t>
  </si>
  <si>
    <t>Y6_M7</t>
  </si>
  <si>
    <t>Y6_M8</t>
  </si>
  <si>
    <t>Y6_M9</t>
  </si>
  <si>
    <t>Y6_M10</t>
  </si>
  <si>
    <t>Y6_M11</t>
  </si>
  <si>
    <t>Y6_M12</t>
  </si>
  <si>
    <t>Y7_M1</t>
  </si>
  <si>
    <t>Y7_M2</t>
  </si>
  <si>
    <t>Y7_M3</t>
  </si>
  <si>
    <t>Y7_M4</t>
  </si>
  <si>
    <t>Y7_M5</t>
  </si>
  <si>
    <t>Y7_M6</t>
  </si>
  <si>
    <t>Y7_M7</t>
  </si>
  <si>
    <t>Y7_M8</t>
  </si>
  <si>
    <t>Y7_M9</t>
  </si>
  <si>
    <t>Y7_M10</t>
  </si>
  <si>
    <t>Y7_M11</t>
  </si>
  <si>
    <t>Y7_M12</t>
  </si>
  <si>
    <t>Y8_M1</t>
  </si>
  <si>
    <t>Y8_M2</t>
  </si>
  <si>
    <t>Y8_M3</t>
  </si>
  <si>
    <t>Y8_M4</t>
  </si>
  <si>
    <t>Y8_M5</t>
  </si>
  <si>
    <t>Y8_M6</t>
  </si>
  <si>
    <t>Y8_M7</t>
  </si>
  <si>
    <t>Y8_M8</t>
  </si>
  <si>
    <t>Y8_M9</t>
  </si>
  <si>
    <t>Y8_M10</t>
  </si>
  <si>
    <t>Y8_M11</t>
  </si>
  <si>
    <t>Y8_M12</t>
  </si>
  <si>
    <t>Y9_M1</t>
  </si>
  <si>
    <t>Y9_M2</t>
  </si>
  <si>
    <t>Y9_M3</t>
  </si>
  <si>
    <t>Y9_M4</t>
  </si>
  <si>
    <t>Y9_M5</t>
  </si>
  <si>
    <t>Y9_M6</t>
  </si>
  <si>
    <t>Y9_M7</t>
  </si>
  <si>
    <t>Y9_M8</t>
  </si>
  <si>
    <t>Y9_M9</t>
  </si>
  <si>
    <t>Y9_M10</t>
  </si>
  <si>
    <t>Y9_M11</t>
  </si>
  <si>
    <t>Y9_M12</t>
  </si>
  <si>
    <t>Y10_M1</t>
  </si>
  <si>
    <t>Y10_M2</t>
  </si>
  <si>
    <t>Y10_M3</t>
  </si>
  <si>
    <t>Y10_M4</t>
  </si>
  <si>
    <t>Y10_M5</t>
  </si>
  <si>
    <t>Y10_M6</t>
  </si>
  <si>
    <t>Y10_M7</t>
  </si>
  <si>
    <t>Y10_M8</t>
  </si>
  <si>
    <t>Y10_M9</t>
  </si>
  <si>
    <t>Y10_M10</t>
  </si>
  <si>
    <t>Y10_M11</t>
  </si>
  <si>
    <t>Y10_M12</t>
  </si>
  <si>
    <t>Y2</t>
    <phoneticPr fontId="1" type="noConversion"/>
  </si>
  <si>
    <t>Y3</t>
    <phoneticPr fontId="1" type="noConversion"/>
  </si>
  <si>
    <t>Y4</t>
    <phoneticPr fontId="1" type="noConversion"/>
  </si>
  <si>
    <t>Y5</t>
    <phoneticPr fontId="1" type="noConversion"/>
  </si>
  <si>
    <t>Y6</t>
    <phoneticPr fontId="1" type="noConversion"/>
  </si>
  <si>
    <t>Y7</t>
    <phoneticPr fontId="1" type="noConversion"/>
  </si>
  <si>
    <t>Y8</t>
    <phoneticPr fontId="1" type="noConversion"/>
  </si>
  <si>
    <t>Y9</t>
    <phoneticPr fontId="1" type="noConversion"/>
  </si>
  <si>
    <t>Y10</t>
    <phoneticPr fontId="1" type="noConversion"/>
  </si>
  <si>
    <t>과업1</t>
    <phoneticPr fontId="1" type="noConversion"/>
  </si>
  <si>
    <t>과업2</t>
  </si>
  <si>
    <t>과업3</t>
  </si>
  <si>
    <t>공란</t>
    <phoneticPr fontId="1" type="noConversion"/>
  </si>
  <si>
    <t>운영</t>
  </si>
  <si>
    <t>솔루션</t>
  </si>
  <si>
    <t>공란2</t>
    <phoneticPr fontId="1" type="noConversion"/>
  </si>
  <si>
    <t>요율</t>
    <phoneticPr fontId="1" type="noConversion"/>
  </si>
  <si>
    <t>증가율</t>
    <phoneticPr fontId="1" type="noConversion"/>
  </si>
  <si>
    <t>롯데렌탈</t>
    <phoneticPr fontId="1" type="noConversion"/>
  </si>
  <si>
    <t>Y1기간</t>
    <phoneticPr fontId="1" type="noConversion"/>
  </si>
  <si>
    <t>상담사</t>
  </si>
  <si>
    <t>Y11_M1</t>
  </si>
  <si>
    <t>Y11_M2</t>
  </si>
  <si>
    <t>Y11_M3</t>
  </si>
  <si>
    <t>Y11_M4</t>
  </si>
  <si>
    <t>Y11_M5</t>
  </si>
  <si>
    <t>Y11_M6</t>
  </si>
  <si>
    <t>Y11_M7</t>
  </si>
  <si>
    <t>Y11_M8</t>
  </si>
  <si>
    <t>Y11_M9</t>
  </si>
  <si>
    <t>Y11_M10</t>
  </si>
  <si>
    <t>Y11_M11</t>
  </si>
  <si>
    <t>Y11_M12</t>
  </si>
  <si>
    <t>Y11</t>
  </si>
  <si>
    <t>Y11</t>
    <phoneticPr fontId="1" type="noConversion"/>
  </si>
  <si>
    <t>Y1공백기간</t>
    <phoneticPr fontId="1" type="noConversion"/>
  </si>
  <si>
    <t>Y1월단가</t>
    <phoneticPr fontId="1" type="noConversion"/>
  </si>
  <si>
    <t>관리자</t>
  </si>
  <si>
    <t>센터장</t>
  </si>
  <si>
    <t>코드</t>
    <phoneticPr fontId="1" type="noConversion"/>
  </si>
  <si>
    <t>구분</t>
    <phoneticPr fontId="1" type="noConversion"/>
  </si>
  <si>
    <t>분야</t>
    <phoneticPr fontId="1" type="noConversion"/>
  </si>
  <si>
    <t>직급</t>
    <phoneticPr fontId="1" type="noConversion"/>
  </si>
  <si>
    <t>임금상승율</t>
    <phoneticPr fontId="1" type="noConversion"/>
  </si>
  <si>
    <t>명</t>
    <phoneticPr fontId="1" type="noConversion"/>
  </si>
  <si>
    <t>Y2월단가</t>
  </si>
  <si>
    <t>Y3월단가</t>
  </si>
  <si>
    <t>Y4월단가</t>
  </si>
  <si>
    <t>Y5월단가</t>
  </si>
  <si>
    <t>Y6월단가</t>
  </si>
  <si>
    <t>Y7월단가</t>
  </si>
  <si>
    <t>Y8월단가</t>
  </si>
  <si>
    <t>Y9월단가</t>
  </si>
  <si>
    <t>Y10월단가</t>
  </si>
  <si>
    <t>오토케어</t>
    <phoneticPr fontId="1" type="noConversion"/>
  </si>
  <si>
    <t>매니저</t>
  </si>
  <si>
    <t>그린카</t>
    <phoneticPr fontId="1" type="noConversion"/>
  </si>
  <si>
    <t>STT_TA</t>
    <phoneticPr fontId="1" type="noConversion"/>
  </si>
  <si>
    <t>솔루션</t>
    <phoneticPr fontId="1" type="noConversion"/>
  </si>
  <si>
    <t>(A)전체콜(연)</t>
    <phoneticPr fontId="1" type="noConversion"/>
  </si>
  <si>
    <t>(B)대상콜비중</t>
    <phoneticPr fontId="1" type="noConversion"/>
  </si>
  <si>
    <t>(C)전체상담시간(년)(초)</t>
    <phoneticPr fontId="1" type="noConversion"/>
  </si>
  <si>
    <t>(D)전체상담시간(일)(초)</t>
    <phoneticPr fontId="1" type="noConversion"/>
  </si>
  <si>
    <t>(E)평균콜상담시간(일)(초)</t>
    <phoneticPr fontId="1" type="noConversion"/>
  </si>
  <si>
    <t>(F)CPD(평일)</t>
    <phoneticPr fontId="1" type="noConversion"/>
  </si>
  <si>
    <t>(G)평균연봉</t>
    <phoneticPr fontId="1" type="noConversion"/>
  </si>
  <si>
    <t>(H)전체인건비</t>
    <phoneticPr fontId="1" type="noConversion"/>
  </si>
  <si>
    <t>A * E</t>
    <phoneticPr fontId="1" type="noConversion"/>
  </si>
  <si>
    <t>C / 12개월 / 21일</t>
    <phoneticPr fontId="1" type="noConversion"/>
  </si>
  <si>
    <t>H x 0.8 / 50</t>
    <phoneticPr fontId="1" type="noConversion"/>
  </si>
  <si>
    <t>(I)총감소시간</t>
    <phoneticPr fontId="1" type="noConversion"/>
  </si>
  <si>
    <t>(J)절감시간비중</t>
    <phoneticPr fontId="1" type="noConversion"/>
  </si>
  <si>
    <t>(K)효과</t>
    <phoneticPr fontId="1" type="noConversion"/>
  </si>
  <si>
    <t>(L)절감콜</t>
    <phoneticPr fontId="1" type="noConversion"/>
  </si>
  <si>
    <t>(N)금액환산</t>
    <phoneticPr fontId="1" type="noConversion"/>
  </si>
  <si>
    <t>(O)인건비감소 비중</t>
    <phoneticPr fontId="1" type="noConversion"/>
  </si>
  <si>
    <t>(P)10년효과</t>
    <phoneticPr fontId="1" type="noConversion"/>
  </si>
  <si>
    <t>D x L x M</t>
    <phoneticPr fontId="1" type="noConversion"/>
  </si>
  <si>
    <t>I / E</t>
    <phoneticPr fontId="1" type="noConversion"/>
  </si>
  <si>
    <t>L / F</t>
    <phoneticPr fontId="1" type="noConversion"/>
  </si>
  <si>
    <t>(M)상담사</t>
    <phoneticPr fontId="1" type="noConversion"/>
  </si>
  <si>
    <t>M * G</t>
    <phoneticPr fontId="1" type="noConversion"/>
  </si>
  <si>
    <t>N / J</t>
    <phoneticPr fontId="1" type="noConversion"/>
  </si>
  <si>
    <t>N * 10년</t>
    <phoneticPr fontId="1" type="noConversion"/>
  </si>
  <si>
    <t>보이는ARS</t>
    <phoneticPr fontId="1" type="noConversion"/>
  </si>
  <si>
    <t>A / 12개월 / 21일 * J  * K</t>
    <phoneticPr fontId="1" type="noConversion"/>
  </si>
  <si>
    <t>(I)셀프처리 예상건수</t>
    <phoneticPr fontId="1" type="noConversion"/>
  </si>
  <si>
    <t>(K)ARS 콜 중 셀프처리</t>
    <phoneticPr fontId="1" type="noConversion"/>
  </si>
  <si>
    <t>(J)ARS처리비중</t>
    <phoneticPr fontId="1" type="noConversion"/>
  </si>
  <si>
    <t>I / F</t>
    <phoneticPr fontId="1" type="noConversion"/>
  </si>
  <si>
    <t>A / 12개월 / 30일 * J  * K</t>
    <phoneticPr fontId="1" type="noConversion"/>
  </si>
  <si>
    <t>C / 12개월 / 30일</t>
    <phoneticPr fontId="1" type="noConversion"/>
  </si>
  <si>
    <t>합계</t>
    <phoneticPr fontId="1" type="noConversion"/>
  </si>
  <si>
    <t>Y2</t>
  </si>
  <si>
    <t>Y3</t>
  </si>
  <si>
    <t>Y4</t>
  </si>
  <si>
    <t>Y5</t>
  </si>
  <si>
    <t>Y6</t>
  </si>
  <si>
    <t>Y7</t>
  </si>
  <si>
    <t>Y8</t>
  </si>
  <si>
    <t>Y9</t>
  </si>
  <si>
    <t>Y10</t>
  </si>
  <si>
    <t>인력유형</t>
    <phoneticPr fontId="1" type="noConversion"/>
  </si>
  <si>
    <t>BPR</t>
    <phoneticPr fontId="1" type="noConversion"/>
  </si>
  <si>
    <t>MA월단가</t>
    <phoneticPr fontId="1" type="noConversion"/>
  </si>
  <si>
    <t>1. Base Case</t>
    <phoneticPr fontId="1" type="noConversion"/>
  </si>
  <si>
    <t>인건비</t>
  </si>
  <si>
    <t>수행비용</t>
  </si>
  <si>
    <t>구축</t>
    <phoneticPr fontId="1" type="noConversion"/>
  </si>
  <si>
    <t>직접경비</t>
  </si>
  <si>
    <t>수행출장비(국내)</t>
  </si>
  <si>
    <t>수행활동비</t>
  </si>
  <si>
    <t>차장</t>
  </si>
  <si>
    <t>KT</t>
    <phoneticPr fontId="1" type="noConversion"/>
  </si>
  <si>
    <t>투입기간</t>
    <phoneticPr fontId="1" type="noConversion"/>
  </si>
  <si>
    <t>공백기간</t>
    <phoneticPr fontId="1" type="noConversion"/>
  </si>
  <si>
    <t>월비용</t>
    <phoneticPr fontId="1" type="noConversion"/>
  </si>
  <si>
    <t>수행비용</t>
    <phoneticPr fontId="1" type="noConversion"/>
  </si>
  <si>
    <t>일반경비</t>
  </si>
  <si>
    <t>수행총액</t>
    <phoneticPr fontId="1" type="noConversion"/>
  </si>
  <si>
    <t>식</t>
    <phoneticPr fontId="1" type="noConversion"/>
  </si>
  <si>
    <t>고급기술자</t>
  </si>
  <si>
    <t>중급기술자</t>
  </si>
  <si>
    <t>M/M</t>
  </si>
  <si>
    <t>구축합계</t>
    <phoneticPr fontId="1" type="noConversion"/>
  </si>
  <si>
    <t>MA합계</t>
    <phoneticPr fontId="1" type="noConversion"/>
  </si>
  <si>
    <t>총계</t>
    <phoneticPr fontId="1" type="noConversion"/>
  </si>
  <si>
    <t>개발</t>
    <phoneticPr fontId="1" type="noConversion"/>
  </si>
  <si>
    <t>라이선스</t>
    <phoneticPr fontId="1" type="noConversion"/>
  </si>
  <si>
    <t>HW</t>
    <phoneticPr fontId="1" type="noConversion"/>
  </si>
  <si>
    <t>SW</t>
    <phoneticPr fontId="1" type="noConversion"/>
  </si>
  <si>
    <t>운영</t>
    <phoneticPr fontId="1" type="noConversion"/>
  </si>
  <si>
    <t>MA</t>
    <phoneticPr fontId="1" type="noConversion"/>
  </si>
  <si>
    <t>인프라</t>
    <phoneticPr fontId="1" type="noConversion"/>
  </si>
  <si>
    <t>협력사</t>
    <phoneticPr fontId="1" type="noConversion"/>
  </si>
  <si>
    <t>구축 소계</t>
    <phoneticPr fontId="1" type="noConversion"/>
  </si>
  <si>
    <t>운영 소계</t>
    <phoneticPr fontId="1" type="noConversion"/>
  </si>
  <si>
    <t>MA 소계</t>
    <phoneticPr fontId="1" type="noConversion"/>
  </si>
  <si>
    <t>KTH</t>
    <phoneticPr fontId="1" type="noConversion"/>
  </si>
  <si>
    <t>도연시스템즈</t>
    <phoneticPr fontId="1" type="noConversion"/>
  </si>
  <si>
    <t>HOME</t>
    <phoneticPr fontId="1" type="noConversion"/>
  </si>
  <si>
    <t>AICC 비용산정 목차</t>
    <phoneticPr fontId="1" type="noConversion"/>
  </si>
  <si>
    <t>1. 솔루션효과</t>
    <phoneticPr fontId="1" type="noConversion"/>
  </si>
  <si>
    <t>2. CPD</t>
    <phoneticPr fontId="1" type="noConversion"/>
  </si>
  <si>
    <t>■ 인건비 요약</t>
    <phoneticPr fontId="1" type="noConversion"/>
  </si>
  <si>
    <t>■ 구축비용 요약</t>
    <phoneticPr fontId="1" type="noConversion"/>
  </si>
  <si>
    <t>■ 수행비용 요약</t>
    <phoneticPr fontId="1" type="noConversion"/>
  </si>
  <si>
    <t>■ Baseline 정리</t>
    <phoneticPr fontId="1" type="noConversion"/>
  </si>
  <si>
    <t>■ 견적정리</t>
    <phoneticPr fontId="1" type="noConversion"/>
  </si>
  <si>
    <t>AIG</t>
    <phoneticPr fontId="1" type="noConversion"/>
  </si>
  <si>
    <t>IB</t>
  </si>
  <si>
    <t>OB</t>
  </si>
  <si>
    <t>QC</t>
  </si>
  <si>
    <t>현장대리인</t>
  </si>
  <si>
    <t>QA</t>
  </si>
  <si>
    <t>챗봇</t>
    <phoneticPr fontId="1" type="noConversion"/>
  </si>
  <si>
    <t>빅데이터</t>
    <phoneticPr fontId="1" type="noConversion"/>
  </si>
  <si>
    <t>IB</t>
    <phoneticPr fontId="1" type="noConversion"/>
  </si>
  <si>
    <t>OB</t>
    <phoneticPr fontId="1" type="noConversion"/>
  </si>
  <si>
    <t>QC</t>
    <phoneticPr fontId="1" type="noConversion"/>
  </si>
  <si>
    <t>QA</t>
    <phoneticPr fontId="1" type="noConversion"/>
  </si>
  <si>
    <t>Y2월인력
(평균)</t>
  </si>
  <si>
    <t>Y3월인력
(평균)</t>
  </si>
  <si>
    <t>Y4월인력
(평균)</t>
  </si>
  <si>
    <t>Y5월인력
(평균)</t>
  </si>
  <si>
    <t>Y6월인력
(평균)</t>
  </si>
  <si>
    <t>Y7월인력
(평균)</t>
  </si>
  <si>
    <t>Y8월인력
(평균)</t>
  </si>
  <si>
    <t>Y9월인력
(평균)</t>
  </si>
  <si>
    <t>Y10월인력
(평균)</t>
  </si>
  <si>
    <t>Y1월인력
(합계)</t>
    <phoneticPr fontId="1" type="noConversion"/>
  </si>
  <si>
    <t>Y2월인력
(합계)</t>
  </si>
  <si>
    <t>Y3월인력
(합계)</t>
  </si>
  <si>
    <t>Y4월인력
(합계)</t>
  </si>
  <si>
    <t>Y5월인력
(합계)</t>
  </si>
  <si>
    <t>Y6월인력
(합계)</t>
  </si>
  <si>
    <t>Y7월인력
(합계)</t>
  </si>
  <si>
    <t>Y8월인력
(합계)</t>
  </si>
  <si>
    <t>Y9월인력
(합계)</t>
  </si>
  <si>
    <t>Y10월인력
(합계)</t>
  </si>
  <si>
    <t>AIG</t>
  </si>
  <si>
    <t>DT고도화</t>
    <phoneticPr fontId="1" type="noConversion"/>
  </si>
  <si>
    <t>번호1</t>
    <phoneticPr fontId="1" type="noConversion"/>
  </si>
  <si>
    <t>번호2</t>
  </si>
  <si>
    <t>번호3</t>
  </si>
  <si>
    <t>번호4</t>
  </si>
  <si>
    <t>번호5</t>
  </si>
  <si>
    <t>번호6</t>
  </si>
  <si>
    <t>번호7</t>
  </si>
  <si>
    <t>번호8</t>
  </si>
  <si>
    <t>번호9</t>
  </si>
  <si>
    <t>번호10</t>
  </si>
  <si>
    <t>확인</t>
    <phoneticPr fontId="1" type="noConversion"/>
  </si>
  <si>
    <t>보험료</t>
  </si>
  <si>
    <t>Y1</t>
  </si>
  <si>
    <t>투자</t>
  </si>
  <si>
    <t>제안비용</t>
  </si>
  <si>
    <t>영업비용</t>
  </si>
  <si>
    <t>KT 인건비</t>
  </si>
  <si>
    <t>BM Cost</t>
  </si>
  <si>
    <t>C.Cost</t>
  </si>
  <si>
    <t>CC(투자효과반영)</t>
  </si>
  <si>
    <t>CC(솔루션구축-수행)</t>
  </si>
  <si>
    <t>(%)</t>
  </si>
  <si>
    <t>비용</t>
  </si>
  <si>
    <t>기존 증감율</t>
  </si>
  <si>
    <t>AIG AICC BPO Financial Projection Simulation</t>
  </si>
  <si>
    <t>매출 시나리오  →</t>
  </si>
  <si>
    <t>Simulaion</t>
  </si>
  <si>
    <t>BAU * 93%</t>
  </si>
  <si>
    <t>매출증가율=0</t>
  </si>
  <si>
    <t>매출</t>
  </si>
  <si>
    <t>변동비</t>
  </si>
  <si>
    <t>고정비</t>
  </si>
  <si>
    <t>이익</t>
  </si>
  <si>
    <t>NPV</t>
  </si>
  <si>
    <t>※ BAU변동에 의한 하도급비용은 실제 견적이 필요하나 편의상 매출 연동 비율로 추정함</t>
  </si>
  <si>
    <t>합 계</t>
  </si>
  <si>
    <t>CAGR</t>
  </si>
  <si>
    <t>매출 총계</t>
  </si>
  <si>
    <t>비용 총계</t>
  </si>
  <si>
    <t>운영인건비</t>
  </si>
  <si>
    <t>관리운용</t>
  </si>
  <si>
    <t>* 매출대비</t>
  </si>
  <si>
    <t>항 목</t>
  </si>
  <si>
    <t>기준 하도급 금액</t>
  </si>
  <si>
    <t>하도급 추가 절감율</t>
  </si>
  <si>
    <t>하도급 추가 절감액</t>
  </si>
  <si>
    <t>최종 타겟 하도급금액</t>
  </si>
  <si>
    <t>H</t>
    <phoneticPr fontId="1" type="noConversion"/>
  </si>
  <si>
    <t>비용 요약</t>
    <phoneticPr fontId="36" type="noConversion"/>
  </si>
  <si>
    <t>* 감가비는 투자Sheet에서 자동계산되므로 입력하지 말것</t>
    <phoneticPr fontId="36" type="noConversion"/>
  </si>
  <si>
    <t>(단위: 백만원)</t>
    <phoneticPr fontId="36" type="noConversion"/>
  </si>
  <si>
    <t>구분</t>
  </si>
  <si>
    <t>적요</t>
    <phoneticPr fontId="36" type="noConversion"/>
  </si>
  <si>
    <t>Y0</t>
    <phoneticPr fontId="36" type="noConversion"/>
  </si>
  <si>
    <t>비고</t>
    <phoneticPr fontId="36" type="noConversion"/>
  </si>
  <si>
    <t>인건비</t>
    <phoneticPr fontId="36" type="noConversion"/>
  </si>
  <si>
    <t>1. AICC운영비</t>
    <phoneticPr fontId="36" type="noConversion"/>
  </si>
  <si>
    <r>
      <t xml:space="preserve"> </t>
    </r>
    <r>
      <rPr>
        <sz val="10"/>
        <color indexed="10"/>
        <rFont val="맑은 고딕"/>
        <family val="3"/>
        <charset val="129"/>
      </rPr>
      <t>사업수행을 위해 인원 증원할 경우에만 산출
 기존 인력 활용은 SUNK COST로 간주하여 제외</t>
    </r>
    <r>
      <rPr>
        <sz val="10"/>
        <rFont val="맑은 고딕"/>
        <family val="3"/>
        <charset val="129"/>
      </rPr>
      <t xml:space="preserve">
 ※ 직원 1인당 평균인건비 62 백만원
  (2012년 사업보고서 기준)</t>
    </r>
    <phoneticPr fontId="36" type="noConversion"/>
  </si>
  <si>
    <t>2. 하도급 인건비(I/B, 관리운영비)</t>
    <phoneticPr fontId="36" type="noConversion"/>
  </si>
  <si>
    <t>3. 하도급 인건비(O/B, QC)</t>
    <phoneticPr fontId="36" type="noConversion"/>
  </si>
  <si>
    <t>4. KT 인건비</t>
    <phoneticPr fontId="36" type="noConversion"/>
  </si>
  <si>
    <t>5. MA</t>
    <phoneticPr fontId="36" type="noConversion"/>
  </si>
  <si>
    <t>소계</t>
    <phoneticPr fontId="36" type="noConversion"/>
  </si>
  <si>
    <t>서비스매출원가</t>
    <phoneticPr fontId="36" type="noConversion"/>
  </si>
  <si>
    <t>1. BM 책임비용</t>
    <phoneticPr fontId="36" type="noConversion"/>
  </si>
  <si>
    <t xml:space="preserve"> 서비스구입비, 상품(단말)구입비, 
 컨텐츠구입비, 접속비, 국제정산부담금
 등 서비스 제공을 위한 원가 </t>
    <phoneticPr fontId="36" type="noConversion"/>
  </si>
  <si>
    <t>2. 빅데이터 컨설팅 KTH</t>
    <phoneticPr fontId="36" type="noConversion"/>
  </si>
  <si>
    <t xml:space="preserve">4. …. </t>
    <phoneticPr fontId="36" type="noConversion"/>
  </si>
  <si>
    <t>판매비</t>
    <phoneticPr fontId="36" type="noConversion"/>
  </si>
  <si>
    <t>1. 판매촉진비</t>
    <phoneticPr fontId="36" type="noConversion"/>
  </si>
  <si>
    <t>판매촉진비 : 내부직원(RM, ITC, AM 판매비
 판매수수료 : 외부 유통채널 이용시 지급수수료</t>
    <phoneticPr fontId="36" type="noConversion"/>
  </si>
  <si>
    <t>2. 판매수수료</t>
    <phoneticPr fontId="36" type="noConversion"/>
  </si>
  <si>
    <t>소계</t>
  </si>
  <si>
    <t>사업경비</t>
    <phoneticPr fontId="36" type="noConversion"/>
  </si>
  <si>
    <t>Contingency Cost(매출액 전체)</t>
    <phoneticPr fontId="36" type="noConversion"/>
  </si>
  <si>
    <t xml:space="preserve"> 사업수행과 관련하여 직접적으로 발생하는 비용만 산출
 기존 배정된 기관의 사업경비는 의사결정과 무관한 비용이므로 제외</t>
    <phoneticPr fontId="36" type="noConversion"/>
  </si>
  <si>
    <t>2. 기타 수행/영업/제안 경비</t>
  </si>
  <si>
    <t>1-2. CC(투자효과반영)</t>
  </si>
  <si>
    <t>1-2. CC(솔루션구축-수행)</t>
  </si>
  <si>
    <t>감가비</t>
    <phoneticPr fontId="36" type="noConversion"/>
  </si>
  <si>
    <t>투자금액으로부터 자동계산</t>
    <phoneticPr fontId="36" type="noConversion"/>
  </si>
  <si>
    <t>자동계산되는 부분이므로 입력하지 말 것</t>
    <phoneticPr fontId="36" type="noConversion"/>
  </si>
  <si>
    <t>비용 합계</t>
  </si>
  <si>
    <t>유발비용</t>
    <phoneticPr fontId="36" type="noConversion"/>
  </si>
  <si>
    <t xml:space="preserve">1. …. </t>
    <phoneticPr fontId="36" type="noConversion"/>
  </si>
  <si>
    <t xml:space="preserve">2. …. </t>
    <phoneticPr fontId="36" type="noConversion"/>
  </si>
  <si>
    <t>3. 유발투자로 인한 감가비(투자금액으로부터 자동계산)</t>
    <phoneticPr fontId="36" type="noConversion"/>
  </si>
  <si>
    <t>유발비용 합계</t>
    <phoneticPr fontId="36" type="noConversion"/>
  </si>
  <si>
    <t>비용 총계</t>
    <phoneticPr fontId="36" type="noConversion"/>
  </si>
  <si>
    <t>Case 0</t>
  </si>
  <si>
    <t>NPV</t>
    <phoneticPr fontId="36" type="noConversion"/>
  </si>
  <si>
    <t xml:space="preserve">  : 5년간의 매출 추정</t>
    <phoneticPr fontId="36" type="noConversion"/>
  </si>
  <si>
    <t>구분</t>
    <phoneticPr fontId="36" type="noConversion"/>
  </si>
  <si>
    <t>Y1</t>
    <phoneticPr fontId="36" type="noConversion"/>
  </si>
  <si>
    <t>1. 매출</t>
    <phoneticPr fontId="36" type="noConversion"/>
  </si>
  <si>
    <t>3. …</t>
    <phoneticPr fontId="36" type="noConversion"/>
  </si>
  <si>
    <t>4. …</t>
    <phoneticPr fontId="36" type="noConversion"/>
  </si>
  <si>
    <t>5. 유발매출</t>
    <phoneticPr fontId="36" type="noConversion"/>
  </si>
  <si>
    <t>계</t>
    <phoneticPr fontId="36" type="noConversion"/>
  </si>
  <si>
    <t>* 투자는 초기에 일시 투입되는 경우가 대부분이어서 기존대로 연도별 전망</t>
    <phoneticPr fontId="36" type="noConversion"/>
  </si>
  <si>
    <t>Y0(당해년도)</t>
    <phoneticPr fontId="36" type="noConversion"/>
  </si>
  <si>
    <t>Y2</t>
    <phoneticPr fontId="36" type="noConversion"/>
  </si>
  <si>
    <t>상각방법</t>
    <phoneticPr fontId="36" type="noConversion"/>
  </si>
  <si>
    <t>내용연수</t>
    <phoneticPr fontId="36" type="noConversion"/>
  </si>
  <si>
    <t>직접투자</t>
    <phoneticPr fontId="36" type="noConversion"/>
  </si>
  <si>
    <t>1. AICC 구축</t>
    <phoneticPr fontId="36" type="noConversion"/>
  </si>
  <si>
    <t>정액</t>
    <phoneticPr fontId="36" type="noConversion"/>
  </si>
  <si>
    <t xml:space="preserve">2. HW 구입 </t>
    <phoneticPr fontId="36" type="noConversion"/>
  </si>
  <si>
    <t xml:space="preserve">3. …. </t>
    <phoneticPr fontId="36" type="noConversion"/>
  </si>
  <si>
    <t>유발투자</t>
    <phoneticPr fontId="36" type="noConversion"/>
  </si>
  <si>
    <t xml:space="preserve">2. … </t>
    <phoneticPr fontId="36" type="noConversion"/>
  </si>
  <si>
    <t>합계</t>
    <phoneticPr fontId="36" type="noConversion"/>
  </si>
  <si>
    <r>
      <rPr>
        <b/>
        <sz val="16"/>
        <rFont val="맑은 고딕"/>
        <family val="3"/>
        <charset val="129"/>
      </rPr>
      <t>5</t>
    </r>
    <r>
      <rPr>
        <b/>
        <sz val="12"/>
        <rFont val="맑은 고딕"/>
        <family val="3"/>
        <charset val="129"/>
      </rPr>
      <t>-</t>
    </r>
    <r>
      <rPr>
        <b/>
        <sz val="14"/>
        <rFont val="맑은 고딕"/>
        <family val="3"/>
        <charset val="129"/>
      </rPr>
      <t>1</t>
    </r>
    <phoneticPr fontId="36" type="noConversion"/>
  </si>
  <si>
    <t>항목별 투자비 산출 근거</t>
    <phoneticPr fontId="36" type="noConversion"/>
  </si>
  <si>
    <t>1. 직접투자</t>
    <phoneticPr fontId="36" type="noConversion"/>
  </si>
  <si>
    <t>2. 유발투자</t>
    <phoneticPr fontId="36" type="noConversion"/>
  </si>
  <si>
    <t>※ 간접투자(인프라투자)는 해당사업으로 인한 투자임이 명확하고 그 금액을 합리적으로 산출할 수 있을 경우 유발투자에 포함</t>
    <phoneticPr fontId="36" type="noConversion"/>
  </si>
  <si>
    <t xml:space="preserve">    </t>
    <phoneticPr fontId="36" type="noConversion"/>
  </si>
  <si>
    <r>
      <rPr>
        <b/>
        <sz val="16"/>
        <rFont val="맑은 고딕"/>
        <family val="3"/>
        <charset val="129"/>
      </rPr>
      <t>5</t>
    </r>
    <r>
      <rPr>
        <b/>
        <sz val="12"/>
        <rFont val="맑은 고딕"/>
        <family val="3"/>
        <charset val="129"/>
      </rPr>
      <t>-</t>
    </r>
    <r>
      <rPr>
        <b/>
        <sz val="14"/>
        <rFont val="맑은 고딕"/>
        <family val="3"/>
        <charset val="129"/>
      </rPr>
      <t>2</t>
    </r>
    <phoneticPr fontId="36" type="noConversion"/>
  </si>
  <si>
    <t xml:space="preserve">     : 타 서비스의 투자에 영향을 미치는 부문 검토하여 위의 양식에 기재</t>
    <phoneticPr fontId="36" type="noConversion"/>
  </si>
  <si>
    <t xml:space="preserve">     해당 사업과의 인과관계가 명확해야 함</t>
    <phoneticPr fontId="36" type="noConversion"/>
  </si>
  <si>
    <r>
      <rPr>
        <b/>
        <sz val="16"/>
        <rFont val="맑은 고딕"/>
        <family val="3"/>
        <charset val="129"/>
      </rPr>
      <t>5</t>
    </r>
    <r>
      <rPr>
        <b/>
        <sz val="12"/>
        <rFont val="맑은 고딕"/>
        <family val="3"/>
        <charset val="129"/>
      </rPr>
      <t>-</t>
    </r>
    <r>
      <rPr>
        <b/>
        <sz val="14"/>
        <rFont val="맑은 고딕"/>
        <family val="3"/>
        <charset val="129"/>
      </rPr>
      <t>3</t>
    </r>
    <phoneticPr fontId="36" type="noConversion"/>
  </si>
  <si>
    <t>감가상각비 계산</t>
    <phoneticPr fontId="36" type="noConversion"/>
  </si>
  <si>
    <t xml:space="preserve">     : 위 분홍색 칸에 투자항목별 상각방법과 내용연수만 입력하면 감가비 자동계산</t>
    <phoneticPr fontId="36" type="noConversion"/>
  </si>
  <si>
    <t>(아래 표는 자동계산되는 표이므로 아무것도 입력하지 마세요)</t>
    <phoneticPr fontId="36" type="noConversion"/>
  </si>
  <si>
    <t>(단위 : 백만원)</t>
    <phoneticPr fontId="36" type="noConversion"/>
  </si>
  <si>
    <t>직접 감가비</t>
    <phoneticPr fontId="36" type="noConversion"/>
  </si>
  <si>
    <t>유발 감가비</t>
    <phoneticPr fontId="36" type="noConversion"/>
  </si>
  <si>
    <t>연도</t>
    <phoneticPr fontId="36" type="noConversion"/>
  </si>
  <si>
    <t>투자금액</t>
    <phoneticPr fontId="36" type="noConversion"/>
  </si>
  <si>
    <t>상각률</t>
    <phoneticPr fontId="36" type="noConversion"/>
  </si>
  <si>
    <t>직접투자
1. SW개발</t>
    <phoneticPr fontId="36" type="noConversion"/>
  </si>
  <si>
    <t>Y3</t>
    <phoneticPr fontId="36" type="noConversion"/>
  </si>
  <si>
    <t>Y4</t>
    <phoneticPr fontId="36" type="noConversion"/>
  </si>
  <si>
    <t>직접투자
2. HW구입</t>
    <phoneticPr fontId="36" type="noConversion"/>
  </si>
  <si>
    <t>직접투자
3. ….</t>
    <phoneticPr fontId="36" type="noConversion"/>
  </si>
  <si>
    <t>직접투자
4. …..</t>
    <phoneticPr fontId="36" type="noConversion"/>
  </si>
  <si>
    <t>유발투자
1. ….</t>
    <phoneticPr fontId="36" type="noConversion"/>
  </si>
  <si>
    <t>유발투자
2. ….</t>
    <phoneticPr fontId="36" type="noConversion"/>
  </si>
  <si>
    <t>■ 전체 요약</t>
    <phoneticPr fontId="1" type="noConversion"/>
  </si>
  <si>
    <t>현장대리인</t>
    <phoneticPr fontId="1" type="noConversion"/>
  </si>
  <si>
    <t>세부사항</t>
    <phoneticPr fontId="1" type="noConversion"/>
  </si>
  <si>
    <t>VDC-C</t>
    <phoneticPr fontId="1" type="noConversion"/>
  </si>
  <si>
    <t>VDC-B</t>
    <phoneticPr fontId="1" type="noConversion"/>
  </si>
  <si>
    <t>최종금액</t>
    <phoneticPr fontId="1" type="noConversion"/>
  </si>
  <si>
    <t>GAP</t>
    <phoneticPr fontId="1" type="noConversion"/>
  </si>
  <si>
    <t>운영하도급</t>
    <phoneticPr fontId="1" type="noConversion"/>
  </si>
  <si>
    <t>항목</t>
    <phoneticPr fontId="1" type="noConversion"/>
  </si>
  <si>
    <t>투자</t>
    <phoneticPr fontId="1" type="noConversion"/>
  </si>
  <si>
    <t>직접경비</t>
    <phoneticPr fontId="1" type="noConversion"/>
  </si>
  <si>
    <t>일반경비</t>
    <phoneticPr fontId="1" type="noConversion"/>
  </si>
  <si>
    <t>제안비용</t>
    <phoneticPr fontId="1" type="noConversion"/>
  </si>
  <si>
    <t>영업비용</t>
    <phoneticPr fontId="1" type="noConversion"/>
  </si>
  <si>
    <t>KT인건비</t>
    <phoneticPr fontId="1" type="noConversion"/>
  </si>
  <si>
    <t>소분류1</t>
    <phoneticPr fontId="1" type="noConversion"/>
  </si>
  <si>
    <t>소분류2</t>
  </si>
  <si>
    <t>소분류3</t>
  </si>
  <si>
    <t>소분류4</t>
  </si>
  <si>
    <t>1. 매출</t>
    <phoneticPr fontId="1" type="noConversion"/>
  </si>
  <si>
    <t>2. 비용</t>
    <phoneticPr fontId="1" type="noConversion"/>
  </si>
  <si>
    <t>3. 수익분석</t>
    <phoneticPr fontId="1" type="noConversion"/>
  </si>
  <si>
    <t>이익</t>
    <phoneticPr fontId="1" type="noConversion"/>
  </si>
  <si>
    <t>금액</t>
    <phoneticPr fontId="1" type="noConversion"/>
  </si>
  <si>
    <t>비율</t>
    <phoneticPr fontId="1" type="noConversion"/>
  </si>
  <si>
    <t>NPV</t>
    <phoneticPr fontId="1" type="noConversion"/>
  </si>
  <si>
    <t>WACC 10.33%</t>
    <phoneticPr fontId="1" type="noConversion"/>
  </si>
  <si>
    <t>STT</t>
    <phoneticPr fontId="1" type="noConversion"/>
  </si>
  <si>
    <t>STT 설계 및 모델링</t>
  </si>
  <si>
    <t>STT 커스터마이징</t>
  </si>
  <si>
    <t>STT 운용관리시스템</t>
  </si>
  <si>
    <t>STT 설치 셋팅</t>
  </si>
  <si>
    <t>표제어/마스킹처리</t>
  </si>
  <si>
    <t>TSAPI연동</t>
  </si>
  <si>
    <t>IVR 및 녹취</t>
  </si>
  <si>
    <t xml:space="preserve">녹취플레이어 연동 개발/설치 </t>
  </si>
  <si>
    <t>400시간(2020년)</t>
  </si>
  <si>
    <t>자료입력원</t>
  </si>
  <si>
    <t>인바운드 인프라 분석,설계</t>
  </si>
  <si>
    <t>아웃바운드 인프라 분석, 설계</t>
  </si>
  <si>
    <t>초급기술자</t>
  </si>
  <si>
    <t>TA</t>
  </si>
  <si>
    <t>화면기획</t>
  </si>
  <si>
    <t>텍스트 분석 및 설계</t>
  </si>
  <si>
    <t>키워드/사전관리/지식구축</t>
  </si>
  <si>
    <t>데이터 연동 개발</t>
  </si>
  <si>
    <t>웹 개발</t>
  </si>
  <si>
    <t>프로젝트 관리/산출물 관리/업무협의</t>
  </si>
  <si>
    <t>시나리오 개발 / 통합테스트</t>
  </si>
  <si>
    <t>챗봇 서비스 기획 및 동적 대화 개발
시나리오 튜닝</t>
  </si>
  <si>
    <t>시나리오 구축 / 사전 데이터 구축</t>
  </si>
  <si>
    <t>개인화 제공 Legacy 연동 및 관리
CMS 수정 개발 / API 개발</t>
  </si>
  <si>
    <t>대화엔진 구축 /시스템 환경설정 및 포팅</t>
  </si>
  <si>
    <t>CMS UI 디자인</t>
  </si>
  <si>
    <t>퍼블리싱</t>
  </si>
  <si>
    <t>간편인증 연동</t>
  </si>
  <si>
    <t>해피콜 제공</t>
  </si>
  <si>
    <t>챗봇</t>
  </si>
  <si>
    <t>챗봇연계구축(분석설계)</t>
  </si>
  <si>
    <t>요구사항 분석 및 설계, 프로젝트 관리</t>
  </si>
  <si>
    <t>특급기술자</t>
  </si>
  <si>
    <t>챗봇연계구축(개발)</t>
  </si>
  <si>
    <t>솔루션 구축 및 커스터마이징</t>
  </si>
  <si>
    <t>챗봇연계 Front 웹 기획/개발</t>
  </si>
  <si>
    <t>챗봇연계구축(기획)</t>
  </si>
  <si>
    <t>챗봇 Front 기획</t>
  </si>
  <si>
    <t>챗봇연계구축(디자인</t>
  </si>
  <si>
    <t>챗봇 Front 디자인(비상주)</t>
  </si>
  <si>
    <t>챗봇연계구축(퍼블리싱</t>
  </si>
  <si>
    <t>챗봇 Front 퍼블리싱(비상주)</t>
  </si>
  <si>
    <t>빅데이터</t>
  </si>
  <si>
    <t>구축</t>
    <phoneticPr fontId="1" type="noConversion"/>
  </si>
  <si>
    <t>개발</t>
  </si>
  <si>
    <t>컨설팅</t>
  </si>
  <si>
    <t>VoC 분석 컨설팅</t>
  </si>
  <si>
    <t>STT</t>
  </si>
  <si>
    <t>STT</t>
    <phoneticPr fontId="1" type="noConversion"/>
  </si>
  <si>
    <t>개발</t>
    <phoneticPr fontId="1" type="noConversion"/>
  </si>
  <si>
    <t>구축PM</t>
  </si>
  <si>
    <t>KTH</t>
  </si>
  <si>
    <t>aig01</t>
    <phoneticPr fontId="1" type="noConversion"/>
  </si>
  <si>
    <t>aig02</t>
  </si>
  <si>
    <t>aig03</t>
  </si>
  <si>
    <t>aig04</t>
  </si>
  <si>
    <t>aig05</t>
  </si>
  <si>
    <t>aig06</t>
  </si>
  <si>
    <t>aig07</t>
  </si>
  <si>
    <t>aig08</t>
  </si>
  <si>
    <t>aig09</t>
  </si>
  <si>
    <t>aig10</t>
  </si>
  <si>
    <t>aig11</t>
  </si>
  <si>
    <t>aig12</t>
  </si>
  <si>
    <t>aig13</t>
  </si>
  <si>
    <t>aig14</t>
  </si>
  <si>
    <t>aig15</t>
  </si>
  <si>
    <t>aig16</t>
  </si>
  <si>
    <t>aig17</t>
  </si>
  <si>
    <t>aig18</t>
  </si>
  <si>
    <t>aig19</t>
  </si>
  <si>
    <t>aig20</t>
  </si>
  <si>
    <t>aig21</t>
  </si>
  <si>
    <t>aig22</t>
  </si>
  <si>
    <t>aig23</t>
  </si>
  <si>
    <t>aig24</t>
  </si>
  <si>
    <t>aig25</t>
  </si>
  <si>
    <t>aig26</t>
  </si>
  <si>
    <t>aig27</t>
  </si>
  <si>
    <t>aig28</t>
  </si>
  <si>
    <t>aig29</t>
  </si>
  <si>
    <t>aig30</t>
  </si>
  <si>
    <t>aig31</t>
  </si>
  <si>
    <t>aig32</t>
  </si>
  <si>
    <t>aig33</t>
  </si>
  <si>
    <t>aig34</t>
  </si>
  <si>
    <t>aig35</t>
  </si>
  <si>
    <t>aig36</t>
  </si>
  <si>
    <t>aig37</t>
  </si>
  <si>
    <t>1. 패킷 수집 SW : 
PFS 2.X Runtime License</t>
  </si>
  <si>
    <t>2. 스트리밍 연계 SW: VAS 2.X Runtime License</t>
  </si>
  <si>
    <t>2. 스트리밍 연계 SW: VAS 2.X Cold Backup License</t>
  </si>
  <si>
    <t>3. CTI 연계 SW: SCS 2.X Runtime License</t>
  </si>
  <si>
    <t>3. CTI 연계 SW: SCS 2.X Hot Backup License</t>
  </si>
  <si>
    <t>화자 분리용 Avaya TSAPI 라이선스</t>
  </si>
  <si>
    <t>녹취 변환 모듈 (1600시간)</t>
  </si>
  <si>
    <t>Realtime Packet analysis / Source or Destination IP Filtering
Server License (Server 당 2,000 Uaser 수용 가능)</t>
  </si>
  <si>
    <t>RTP Realtime Transport &amp; RX, TX separation
Server License (Server 당 300 Uaser 수용 가능)</t>
  </si>
  <si>
    <t>VAS Software의 Active-Standby License</t>
  </si>
  <si>
    <t>CTI Event Transport,- CTI User Data Update 
Server License (Server 당 2,000 Uaser 수용 가능)</t>
  </si>
  <si>
    <t>SCS Software의 Active-Standby License</t>
  </si>
  <si>
    <t>1차 : 700시간, 2차 : 300시간, 3차 : 300시간, 4차 : 300시간</t>
  </si>
  <si>
    <t>식</t>
  </si>
  <si>
    <t>copy</t>
  </si>
  <si>
    <t>구축</t>
    <phoneticPr fontId="1" type="noConversion"/>
  </si>
  <si>
    <t>라이선스</t>
    <phoneticPr fontId="1" type="noConversion"/>
  </si>
  <si>
    <t>aig38</t>
  </si>
  <si>
    <t>aig39</t>
  </si>
  <si>
    <t>aig40</t>
  </si>
  <si>
    <t>aig41</t>
  </si>
  <si>
    <t>aig42</t>
  </si>
  <si>
    <t>aig43</t>
  </si>
  <si>
    <t>aig44</t>
  </si>
  <si>
    <t>MA</t>
    <phoneticPr fontId="1" type="noConversion"/>
  </si>
  <si>
    <t>개월</t>
    <phoneticPr fontId="1" type="noConversion"/>
  </si>
  <si>
    <t>aig45</t>
  </si>
  <si>
    <t>aig46</t>
  </si>
  <si>
    <t>eNomix(Engine)</t>
  </si>
  <si>
    <t>EER Premium Engine(통합 플랫폼 엔진)</t>
  </si>
  <si>
    <t>eNomix(Service)</t>
  </si>
  <si>
    <t>CS Talk(채팅상담 솔루션)</t>
  </si>
  <si>
    <t>Bot Connector(챗봇연계 관리)</t>
  </si>
  <si>
    <t>eNomix(Front)</t>
  </si>
  <si>
    <t>Front API_Bot Connector(챗봇연계 프론트 연계 API)</t>
  </si>
  <si>
    <t>Kakao Front Adaptor_Bot Connector(챗봇연계 카카오 연계 API)</t>
  </si>
  <si>
    <t>aig47</t>
  </si>
  <si>
    <t>스펙트라 Renewal license</t>
  </si>
  <si>
    <t>채팅솔루션</t>
    <phoneticPr fontId="1" type="noConversion"/>
  </si>
  <si>
    <t>채팅솔루션</t>
    <phoneticPr fontId="1" type="noConversion"/>
  </si>
  <si>
    <t>채팅솔루션</t>
    <phoneticPr fontId="1" type="noConversion"/>
  </si>
  <si>
    <t>DB암호화</t>
  </si>
  <si>
    <t>예스피치 Engine Renewal license</t>
  </si>
  <si>
    <t>한솔Avaya TSAPI Renewal license</t>
  </si>
  <si>
    <t>AP용 암호화 모듈</t>
  </si>
  <si>
    <t>D'Amo bA-SCP(A)</t>
  </si>
  <si>
    <t>D'Amo bA-SCP(S)</t>
  </si>
  <si>
    <t>폴더암호화 모듈</t>
  </si>
  <si>
    <t>KE-LNX(32Core)</t>
  </si>
  <si>
    <t>키관리시스템</t>
  </si>
  <si>
    <t>D'Amo SG-KMS 1400(어플라이언스 장비포함)</t>
  </si>
  <si>
    <t>SW</t>
    <phoneticPr fontId="1" type="noConversion"/>
  </si>
  <si>
    <t>DB 암호화 유지보수</t>
  </si>
  <si>
    <t>SW</t>
    <phoneticPr fontId="1" type="noConversion"/>
  </si>
  <si>
    <t>STT운영</t>
    <phoneticPr fontId="1" type="noConversion"/>
  </si>
  <si>
    <t>TA운영</t>
    <phoneticPr fontId="1" type="noConversion"/>
  </si>
  <si>
    <t>챗봇운영</t>
    <phoneticPr fontId="1" type="noConversion"/>
  </si>
  <si>
    <t>운영</t>
    <phoneticPr fontId="1" type="noConversion"/>
  </si>
  <si>
    <t>운영</t>
    <phoneticPr fontId="1" type="noConversion"/>
  </si>
  <si>
    <t>TA</t>
    <phoneticPr fontId="1" type="noConversion"/>
  </si>
  <si>
    <t>운영</t>
    <phoneticPr fontId="1" type="noConversion"/>
  </si>
  <si>
    <t>챗봇</t>
    <phoneticPr fontId="1" type="noConversion"/>
  </si>
  <si>
    <t>aig48</t>
  </si>
  <si>
    <t>aig49</t>
  </si>
  <si>
    <t>aig50</t>
  </si>
  <si>
    <t>aig51</t>
  </si>
  <si>
    <t>aig52</t>
  </si>
  <si>
    <t>aig53</t>
  </si>
  <si>
    <t>aig54</t>
  </si>
  <si>
    <t>aig55</t>
  </si>
  <si>
    <t>aig56</t>
  </si>
  <si>
    <t>aig57</t>
  </si>
  <si>
    <t>aig58</t>
  </si>
  <si>
    <t>aig59</t>
  </si>
  <si>
    <t>aig60</t>
  </si>
  <si>
    <t>aig61</t>
  </si>
  <si>
    <t>추가전사</t>
    <phoneticPr fontId="1" type="noConversion"/>
  </si>
  <si>
    <t>300시간(21년 부터)</t>
  </si>
  <si>
    <t>MM</t>
    <phoneticPr fontId="1" type="noConversion"/>
  </si>
  <si>
    <t>분석/구축</t>
  </si>
  <si>
    <t>시스템 분석 및 설계/구축</t>
  </si>
  <si>
    <t>KMS 일반 기능 수정 개발</t>
  </si>
  <si>
    <t>컨텐츠 생성 및 공유 기능</t>
  </si>
  <si>
    <t>시스템 통계 및 관리 기능 수정 개발</t>
  </si>
  <si>
    <t>KMS 연동 I/F 모듈 개발</t>
  </si>
  <si>
    <t>디자인</t>
  </si>
  <si>
    <t>웹 페이지 및 UI 디자인</t>
  </si>
  <si>
    <t>웹 페이지 및 UI 퍼블리싱</t>
  </si>
  <si>
    <t>aig62</t>
  </si>
  <si>
    <t>aig63</t>
  </si>
  <si>
    <t>aig64</t>
  </si>
  <si>
    <t>aig65</t>
  </si>
  <si>
    <t>aig66</t>
  </si>
  <si>
    <t>aig67</t>
  </si>
  <si>
    <t>aig68</t>
  </si>
  <si>
    <t>지어소프트</t>
    <phoneticPr fontId="1" type="noConversion"/>
  </si>
  <si>
    <t>KMS</t>
    <phoneticPr fontId="1" type="noConversion"/>
  </si>
  <si>
    <t>KMS운영</t>
    <phoneticPr fontId="1" type="noConversion"/>
  </si>
  <si>
    <t>솔루션</t>
    <phoneticPr fontId="1" type="noConversion"/>
  </si>
  <si>
    <t xml:space="preserve">STT / Gateway </t>
  </si>
  <si>
    <t xml:space="preserve">Dell R740 </t>
  </si>
  <si>
    <t>Xeon Gold 6126 2.6Ghz 2P 24core, 128GB, 300GB SAS 15k *2, 1G 4P Onboard NIC, 1G 4P NIC *2, 10G 2P NIC(TX) *2,
750W AC PS *2</t>
  </si>
  <si>
    <t>STT / OMU</t>
  </si>
  <si>
    <t>Xeon Gold 6126 2.6Ghz 2P 24core, 128GB, 300GB SAS 15k *2, 1G 4P Onboard NIC, 1G 4P NIC *2, 750W AC PS *2</t>
  </si>
  <si>
    <t>STT / SCU</t>
  </si>
  <si>
    <t>Xeon Gold 6150 2.7Ghz 2P 36core, 128GB, 300GB SAS 15k *2, 1G 4P Onboard NIC, 1G 2P NIC *2, 10G 2P NIC(TX) *2, 
750W AC PS *2</t>
  </si>
  <si>
    <t>STT / SRU</t>
  </si>
  <si>
    <t>Xeon Gold 6150 2.7Ghz 2P 36core, 128GB, 300GB SAS 15k *2, 1G 4P Onboard NIC, 1G 2P NIC *2, 10G 2P NIC(TX) *2, NVIDIA Quadro RTX 6000 GPU *1, 1600W AC PS *2</t>
  </si>
  <si>
    <t>TA / 수집</t>
  </si>
  <si>
    <t>Xeon Gold 6130 2.1Ghz 2P 32core, 256GB, 300GB SAS 15k *2, 1.2TB SAS 10K *2, 1G 4P Onboard NIC, 1G 2P NIC *2, 
750W AC PS *2</t>
  </si>
  <si>
    <t>TA / 분석</t>
  </si>
  <si>
    <t>해피콜 서버</t>
  </si>
  <si>
    <t xml:space="preserve">Dell R640 </t>
  </si>
  <si>
    <t>Xeon Silver 4112 2.6Ghz 2P 8core, 64GB, 300GB SAS 15k *2, 1G 4P Onboard NIC, 1G 2P NIC *2, 495W AC PS *2</t>
  </si>
  <si>
    <t>챗봇  / CMS</t>
  </si>
  <si>
    <t>챗봇 / 챗봇 엔진</t>
  </si>
  <si>
    <t>Xeon Gold 6134 3.2Ghz 2P 16core, 128GB, 300GB SAS 15k *2, 1G 4P Onboard NIC, 1G 2P NIC *2, 750W AC PS *2</t>
  </si>
  <si>
    <t>챗봇 / 챗봇 API</t>
  </si>
  <si>
    <t xml:space="preserve">녹취 </t>
  </si>
  <si>
    <t>Xeon Silver 4112 2.6Ghz 2P 8core, 64GB, 300GB SAS 15k *2, 1G 4P Onboard NIC, 1G 2P NIC *2,
495W AC PS *2, MS Win SVR 5Cal</t>
  </si>
  <si>
    <t>KMS / WEB</t>
  </si>
  <si>
    <t>공통  / 통합 DB</t>
  </si>
  <si>
    <t>Xeon Gold 6126 2.6Ghz 2P 24core, 256GB, 300GB SAS 15k *2, 1G 4P Onboard NIC, 1G 2P NIC *2, 16G 2P HBA *2, 
750W AC PS *2</t>
  </si>
  <si>
    <t>공통 / 백업</t>
  </si>
  <si>
    <t>Xeon Gold 6126 2.6Ghz 2P 24core, 64GB, 300GB SAS 15k *2, 1G 4P Onboard NIC, 10G 2P NIC, 16G 2P HBA *2, 
MS Win SVR, 750W AC PS *2</t>
  </si>
  <si>
    <t>공통 / 통합 스토리지</t>
  </si>
  <si>
    <t>EMC UNITY 380</t>
  </si>
  <si>
    <t>380 DPE 25 X 2.5 DELL FLD RCK, 2X4 PORT IO 10GBASET,  
2X4 PORT IO 16GB FC, D4  1.8TB 10K SAS 25X2.5 DRIVEX17, D4  SYSPACK 4X1.8TGB 10K SAS 25X2.5</t>
  </si>
  <si>
    <t>공통 / 백업 스토리지</t>
  </si>
  <si>
    <t>380 DPE 25 X 2.5 DELL FLD RCK, 2X4 PORT IO 10GBE OPT, 
2X4 PORT IO 16GB FC,D4  6TB NLSAS 15X3.5 DRIVE, 
D4  SYSPACK 4X600GB 10K SAS 25X2.5</t>
  </si>
  <si>
    <t>공통  / Rack &amp; KVM</t>
  </si>
  <si>
    <t xml:space="preserve">Dell NETSHELTER SX </t>
  </si>
  <si>
    <t>42U RACK 및 16Port KVM Switch 및 18.5" Console</t>
  </si>
  <si>
    <t>공통  / SAN Switch</t>
  </si>
  <si>
    <t>DS-6505R-B</t>
  </si>
  <si>
    <t>DS-6505R-B 12P/24P 16GB RTF BASE SWITCH, DS-6505R ADD ON PWR SUPPLY</t>
  </si>
  <si>
    <t>공통  / L4 Switch</t>
  </si>
  <si>
    <t>BIP IP i2800</t>
  </si>
  <si>
    <t>1G 4Port &amp; 10G 2Port L4 switch</t>
  </si>
  <si>
    <t>공통 / L3 Switch</t>
  </si>
  <si>
    <t>C9300-48UXM-A</t>
  </si>
  <si>
    <t>Catalyst 9300 48-port(12 mGig&amp;36 2.5Gbps) Network Advantage, Dual Power, C9300 DNA Advantage License 3Y</t>
  </si>
  <si>
    <t>공통 / L2 Switch</t>
  </si>
  <si>
    <t>C9300-48U-A</t>
  </si>
  <si>
    <t>Catalyst 9300 48-port UPOE, Network Advantage, Dual Power, C9300 DNA Advantage License 3Y</t>
  </si>
  <si>
    <t>공통 / Infrastructure Support</t>
  </si>
  <si>
    <t>DYS_Infra</t>
  </si>
  <si>
    <t>Premium Support for Infrastructure 
(Included Network Cable Implement)</t>
  </si>
  <si>
    <t>공통 / DB 기술 지원</t>
  </si>
  <si>
    <t>DYS_DBMS</t>
  </si>
  <si>
    <t>년간 10회 DBMS 기술 지원</t>
  </si>
  <si>
    <t>공통 / OS 설치 지원</t>
  </si>
  <si>
    <t>DYS_OS</t>
  </si>
  <si>
    <t>CentOS 7.5 설치 지원</t>
  </si>
  <si>
    <t>공통  / 순천 센터 설치</t>
  </si>
  <si>
    <t>DYS-REM</t>
  </si>
  <si>
    <t>순천 지역센터 서버 설치 지원</t>
  </si>
  <si>
    <t>set</t>
  </si>
  <si>
    <t>HW</t>
    <phoneticPr fontId="1" type="noConversion"/>
  </si>
  <si>
    <t>aig69</t>
  </si>
  <si>
    <t>aig70</t>
  </si>
  <si>
    <t>aig71</t>
  </si>
  <si>
    <t>aig72</t>
  </si>
  <si>
    <t>aig73</t>
  </si>
  <si>
    <t>aig74</t>
  </si>
  <si>
    <t>aig75</t>
  </si>
  <si>
    <t>aig76</t>
  </si>
  <si>
    <t>aig77</t>
  </si>
  <si>
    <t>aig78</t>
  </si>
  <si>
    <t>aig79</t>
  </si>
  <si>
    <t>aig80</t>
  </si>
  <si>
    <t>aig81</t>
  </si>
  <si>
    <t>aig82</t>
  </si>
  <si>
    <t>aig83</t>
  </si>
  <si>
    <t>aig84</t>
  </si>
  <si>
    <t>aig85</t>
  </si>
  <si>
    <t>aig86</t>
  </si>
  <si>
    <t>aig87</t>
  </si>
  <si>
    <t>aig88</t>
  </si>
  <si>
    <t>aig89</t>
  </si>
  <si>
    <t>aig90</t>
  </si>
  <si>
    <t>aig91</t>
  </si>
  <si>
    <t>aig92</t>
  </si>
  <si>
    <t>STT / STT 개발</t>
  </si>
  <si>
    <t>KMS / WAS</t>
  </si>
  <si>
    <t>C9300-24U-A</t>
  </si>
  <si>
    <t>Catalyst 9300 24-port UPOE, Network Advantage, Dual Power</t>
  </si>
  <si>
    <t>도연시스템즈</t>
    <phoneticPr fontId="1" type="noConversion"/>
  </si>
  <si>
    <t>aig93</t>
  </si>
  <si>
    <t>aig94</t>
  </si>
  <si>
    <t>aig95</t>
  </si>
  <si>
    <t>aig96</t>
  </si>
  <si>
    <t>aig97</t>
  </si>
  <si>
    <t>aig98</t>
  </si>
  <si>
    <t>APM</t>
  </si>
  <si>
    <t>JENNIFER</t>
  </si>
  <si>
    <t>STT 2P 24Core Server 2식, KMS WEB 2P 8Core Server 2식</t>
  </si>
  <si>
    <t>DB 접근제어</t>
  </si>
  <si>
    <t>ChakraMax</t>
  </si>
  <si>
    <t>ChakraMax S/W V3.0 License for Core</t>
  </si>
  <si>
    <t>System Monitoring</t>
  </si>
  <si>
    <t>OnTune</t>
  </si>
  <si>
    <t>OnTune Enterprise Edition License for System mgmt &amp; analysis for Socket</t>
  </si>
  <si>
    <t>HA Solution</t>
  </si>
  <si>
    <t>MCCS-LD</t>
  </si>
  <si>
    <t>Mantech Continuous Cluster Server</t>
  </si>
  <si>
    <t>서버 보안</t>
  </si>
  <si>
    <t>DHCM</t>
  </si>
  <si>
    <t>서버 보안 중앙관리 도구</t>
  </si>
  <si>
    <t>Backup</t>
  </si>
  <si>
    <t>VBR</t>
  </si>
  <si>
    <t>Veeam  Backup &amp; Replication Enterprise &amp; Veeam One (Monthly Charge)</t>
  </si>
  <si>
    <t>Lic</t>
  </si>
  <si>
    <t>aig99</t>
  </si>
  <si>
    <t>aig100</t>
  </si>
  <si>
    <t>aig101</t>
  </si>
  <si>
    <t>aig102</t>
  </si>
  <si>
    <t>aig103</t>
  </si>
  <si>
    <t>aig104</t>
  </si>
  <si>
    <t>상주 운영</t>
  </si>
  <si>
    <t>시스템 운영</t>
  </si>
  <si>
    <t>AICC 솔루션 및 IT 인프라 전체 운영</t>
  </si>
  <si>
    <t>인프라</t>
    <phoneticPr fontId="1" type="noConversion"/>
  </si>
  <si>
    <t>공통</t>
    <phoneticPr fontId="1" type="noConversion"/>
  </si>
  <si>
    <t>공통</t>
    <phoneticPr fontId="1" type="noConversion"/>
  </si>
  <si>
    <t>공통</t>
    <phoneticPr fontId="1" type="noConversion"/>
  </si>
  <si>
    <t>KMS</t>
    <phoneticPr fontId="1" type="noConversion"/>
  </si>
  <si>
    <t>1.인건비_요약 시트 참조</t>
    <phoneticPr fontId="1" type="noConversion"/>
  </si>
  <si>
    <t>2. 구축비_요약 시트 참조 (10행)</t>
    <phoneticPr fontId="1" type="noConversion"/>
  </si>
  <si>
    <t>2. 구축비_요약 시트 참조 (16행)</t>
    <phoneticPr fontId="1" type="noConversion"/>
  </si>
  <si>
    <t>2. 구축비_요약 시트 참조 (22행)</t>
    <phoneticPr fontId="1" type="noConversion"/>
  </si>
  <si>
    <t>2. 구축비_요약 시트 참조 (33행)</t>
    <phoneticPr fontId="1" type="noConversion"/>
  </si>
  <si>
    <t>2. 구축비_요약 시트 참조 (39행)</t>
    <phoneticPr fontId="1" type="noConversion"/>
  </si>
  <si>
    <t>2. 구축비_요약 시트 참조 (45행)</t>
    <phoneticPr fontId="1" type="noConversion"/>
  </si>
  <si>
    <t>2. 구축비_요약 시트 참조 (56행)</t>
    <phoneticPr fontId="1" type="noConversion"/>
  </si>
  <si>
    <t>2. 구축비_요약 시트 참조 (62행)</t>
    <phoneticPr fontId="1" type="noConversion"/>
  </si>
  <si>
    <t>2. 구축비_요약 시트 참조 (68행)</t>
    <phoneticPr fontId="1" type="noConversion"/>
  </si>
  <si>
    <t>2. 구축비_요약 시트 참조 (79행)</t>
    <phoneticPr fontId="1" type="noConversion"/>
  </si>
  <si>
    <t>2. 구축비_요약 시트 참조 (85행)</t>
    <phoneticPr fontId="1" type="noConversion"/>
  </si>
  <si>
    <t>2. 구축비_요약 시트 참조 (91행)</t>
    <phoneticPr fontId="1" type="noConversion"/>
  </si>
  <si>
    <t>2. 구축비_요약 시트 참조 (102행)</t>
    <phoneticPr fontId="1" type="noConversion"/>
  </si>
  <si>
    <t>2. 구축비_요약 시트 참조 (108행)</t>
    <phoneticPr fontId="1" type="noConversion"/>
  </si>
  <si>
    <t>2. 구축비_요약 시트 참조 (114행)</t>
    <phoneticPr fontId="1" type="noConversion"/>
  </si>
  <si>
    <t>구축_운영</t>
  </si>
  <si>
    <t>구축_운영</t>
    <phoneticPr fontId="1" type="noConversion"/>
  </si>
  <si>
    <t>KT인건비</t>
  </si>
  <si>
    <t>제안</t>
  </si>
  <si>
    <t>제안</t>
    <phoneticPr fontId="1" type="noConversion"/>
  </si>
  <si>
    <t>기타</t>
  </si>
  <si>
    <t>기타</t>
    <phoneticPr fontId="1" type="noConversion"/>
  </si>
  <si>
    <t>3. 수행비_요약 시트 참조 (5행)</t>
    <phoneticPr fontId="1" type="noConversion"/>
  </si>
  <si>
    <t>3. 수행비_요약 시트 참조 (6행)</t>
  </si>
  <si>
    <t>3. 수행비_요약 시트 참조 (7행)</t>
  </si>
  <si>
    <t>3. 수행비_요약 시트 참조 (8행)</t>
  </si>
  <si>
    <t>3. 수행비_요약 시트 참조 (9행)</t>
  </si>
  <si>
    <t>3. 수행비_요약 시트 참조 (10행)</t>
  </si>
  <si>
    <t>3. 수행비_요약 시트 참조 (11행)</t>
  </si>
  <si>
    <t>3. 수행비_요약 시트 참조 (12행)</t>
  </si>
  <si>
    <t>3. 수행비_요약 시트 참조 (13행)</t>
  </si>
  <si>
    <t>3. 수행비_요약 시트 참조 (14행)</t>
  </si>
  <si>
    <t>3. 수행비_요약 시트 참조 (15행)</t>
  </si>
  <si>
    <t>에이피위즈덤</t>
    <phoneticPr fontId="1" type="noConversion"/>
  </si>
  <si>
    <t>2. 재인입율</t>
    <phoneticPr fontId="1" type="noConversion"/>
  </si>
  <si>
    <t>1.인건비_요약 시트 참조 (17행)</t>
    <phoneticPr fontId="1" type="noConversion"/>
  </si>
  <si>
    <t>1.인건비_요약 시트 참조 (18, 19행의 합)</t>
    <phoneticPr fontId="1" type="noConversion"/>
  </si>
  <si>
    <t>BAU</t>
    <phoneticPr fontId="1" type="noConversion"/>
  </si>
  <si>
    <t>임의입력</t>
    <phoneticPr fontId="1" type="noConversion"/>
  </si>
  <si>
    <t>1.인건비_요약 시트 참조 (20행)</t>
    <phoneticPr fontId="1" type="noConversion"/>
  </si>
  <si>
    <t>매출항목</t>
    <phoneticPr fontId="1" type="noConversion"/>
  </si>
  <si>
    <t>2명</t>
    <phoneticPr fontId="1" type="noConversion"/>
  </si>
  <si>
    <t>금액</t>
  </si>
  <si>
    <t>비고</t>
  </si>
  <si>
    <t>매출액</t>
  </si>
  <si>
    <t>사업기간 :</t>
  </si>
  <si>
    <t>로부터</t>
  </si>
  <si>
    <t>개월</t>
  </si>
  <si>
    <t>(준공일기준)</t>
  </si>
  <si>
    <t>매출 계</t>
  </si>
  <si>
    <t>      69,570,048,694</t>
  </si>
  <si>
    <t>BM</t>
  </si>
  <si>
    <t>직접비</t>
  </si>
  <si>
    <t>하도급원가</t>
  </si>
  <si>
    <t>하도급(물자)</t>
  </si>
  <si>
    <t>"물자(물품의 공급 및 셋팅)"에 해당하는 업체명, 과업 작성</t>
  </si>
  <si>
    <t>지어소프트</t>
  </si>
  <si>
    <t>도연시스템</t>
  </si>
  <si>
    <t>하도급(용역)</t>
  </si>
  <si>
    <t>에이피위즈덤</t>
  </si>
  <si>
    <t>"용역(컨설팅, 설계, SW 개발 등)"에 해당하는 업체명, 과업 작성</t>
  </si>
  <si>
    <t>메타넷</t>
  </si>
  <si>
    <t>하도급(공사)</t>
  </si>
  <si>
    <t>"공사(통신, 전기, 실내건축, 기계설비 등)"에 해당하는 업체명, 과업 작성</t>
  </si>
  <si>
    <t>하도급 원가 계</t>
  </si>
  <si>
    <t>하도급원가율 :</t>
  </si>
  <si>
    <t>프로젝트 계약직</t>
  </si>
  <si>
    <t>계약직 직원 인건비</t>
  </si>
  <si>
    <t>                          -</t>
  </si>
  <si>
    <t>4대보험 회사부담금 : 임금 x 0.11</t>
  </si>
  <si>
    <t>퇴직금(12개월 이상 시) : 월급여x30일x(근무년수+1년미만근무일수/365)</t>
  </si>
  <si>
    <t>수행원가</t>
  </si>
  <si>
    <t>건물 임차료</t>
  </si>
  <si>
    <t>프로젝트 수행을 위한 상면 임대료, 관리비, 중개 수수료 등</t>
  </si>
  <si>
    <t>수행룸 구축비</t>
  </si>
  <si>
    <t>수행룸 구축 공사비 (전기, 통신 등)</t>
  </si>
  <si>
    <t>물품 구매 및 렌탈비</t>
  </si>
  <si>
    <t>사무집기 구매/렌탈 비용</t>
  </si>
  <si>
    <t>워크샵/보고회</t>
  </si>
  <si>
    <t>프로젝트 수행단계 워크샵/보고회 진행을 위한 비용</t>
  </si>
  <si>
    <t>교육비</t>
  </si>
  <si>
    <t>과업에 포함된 교육/BMT 등 진행을 위한 비용</t>
  </si>
  <si>
    <t>인쇄비</t>
  </si>
  <si>
    <t>프로젝트 수행단계 산출물 생산을 위한 비용 (인쇄, 디자인 등 관련 비용 포함)</t>
  </si>
  <si>
    <t>해외출장비 (수행)</t>
  </si>
  <si>
    <t>수주 후, 사업 수행을 위한 해외출장비 (영업/제안/수행 포함)</t>
  </si>
  <si>
    <t>기타 수행비용</t>
  </si>
  <si>
    <t>기타 수행비용 발생 시, 사유 작성 (예비비 포함)</t>
  </si>
  <si>
    <t>직접경비 합계</t>
  </si>
  <si>
    <t>          207,350,000</t>
  </si>
  <si>
    <t>판매비</t>
  </si>
  <si>
    <t>투입인력</t>
  </si>
  <si>
    <t>PM</t>
  </si>
  <si>
    <t>94 M/M</t>
  </si>
  <si>
    <t>명</t>
  </si>
  <si>
    <t>차장 1, 10개월 / 차장 1, 84개월</t>
  </si>
  <si>
    <t>PL</t>
  </si>
  <si>
    <t>12 M/M</t>
  </si>
  <si>
    <t>부장 1, 10개월 / 부장 1, 2개월</t>
  </si>
  <si>
    <t>10 M/M</t>
  </si>
  <si>
    <t>차장 1, 10개월</t>
  </si>
  <si>
    <t>24 M/M</t>
  </si>
  <si>
    <t>차장 1, 24개월</t>
  </si>
  <si>
    <t>72 M/M</t>
  </si>
  <si>
    <t>과장 1, 72개월</t>
  </si>
  <si>
    <t>국내여비 기입된 항목???</t>
  </si>
  <si>
    <t>판매활동비</t>
  </si>
  <si>
    <t>제안/수행 활동비</t>
  </si>
  <si>
    <t>제안 및 수행 활동비 (투입인력 규모에 따라 자동으로 책정/입력)</t>
  </si>
  <si>
    <t>여비교통비</t>
  </si>
  <si>
    <t>국내여비</t>
  </si>
  <si>
    <t>시내출장</t>
  </si>
  <si>
    <t>월</t>
  </si>
  <si>
    <t>시외출장</t>
  </si>
  <si>
    <t>해외여비</t>
  </si>
  <si>
    <t>수주 전, 제안단계 해외출장비 (영업/제안/수행 포함)</t>
  </si>
  <si>
    <t>기타 비용</t>
  </si>
  <si>
    <t>제안인쇄비</t>
  </si>
  <si>
    <t>수주 전, 제안단계 인쇄비 (인쇄, 디자인 등 관련 비용 포함)</t>
  </si>
  <si>
    <t>원</t>
  </si>
  <si>
    <t>컨설팅/자문료</t>
  </si>
  <si>
    <t>회계/법무/노무 등 외부에 지급하는 자문료</t>
  </si>
  <si>
    <t>기타 판매비</t>
  </si>
  <si>
    <t>BM직접성 비용</t>
  </si>
  <si>
    <t>판매비 합계</t>
  </si>
  <si>
    <t>이자 비용</t>
  </si>
  <si>
    <t>선지급이자비용</t>
  </si>
  <si>
    <t>어음이자비용</t>
  </si>
  <si>
    <t>PJT 예비비용</t>
  </si>
  <si>
    <t>Contingency Cost</t>
  </si>
  <si>
    <t>Contingency Rate 하단 참조</t>
  </si>
  <si>
    <t>BM 직접비 계</t>
  </si>
  <si>
    <t>프로젝트 직접이익</t>
  </si>
  <si>
    <t>프로젝트 직접이익률</t>
  </si>
  <si>
    <t>간접비</t>
  </si>
  <si>
    <t>영업 등</t>
  </si>
  <si>
    <t>인프라활동</t>
  </si>
  <si>
    <t>영업활동비</t>
  </si>
  <si>
    <t>사업경비 (BM간접성 비용)</t>
  </si>
  <si>
    <t>BM 간접비 계</t>
  </si>
  <si>
    <t>      58,799,509,442</t>
  </si>
  <si>
    <t>프로젝트 영업이익</t>
  </si>
  <si>
    <t>-     48,639,901,775</t>
  </si>
  <si>
    <t>프로젝트 영업이익률</t>
  </si>
  <si>
    <t>수익성 가이드라인</t>
  </si>
  <si>
    <t>PASS</t>
  </si>
  <si>
    <t>■ 사업유형 및 위험도에 따른 Contingency Cost</t>
  </si>
  <si>
    <t>대상사업</t>
  </si>
  <si>
    <t>설정기준(매출액)</t>
  </si>
  <si>
    <t>해당여부</t>
  </si>
  <si>
    <t>일반사업</t>
  </si>
  <si>
    <t>ㆍ정보통신공사용역, 컨설팅용역, 커스터마이징/연계솔루션, 유지보수 등</t>
  </si>
  <si>
    <t>해당없음</t>
  </si>
  <si>
    <t>위험사업</t>
  </si>
  <si>
    <t>ㆍSW개발 및 유지보수 포함 사업, 전국단위사업 등</t>
  </si>
  <si>
    <t>해당</t>
  </si>
  <si>
    <t>개별산정</t>
  </si>
  <si>
    <t>ㆍ과업범위 불명확, 지급보증, 효율보증, 책임준공 등</t>
  </si>
  <si>
    <t>필요시 직접입력</t>
  </si>
  <si>
    <t>최종 Contingency Rate</t>
  </si>
  <si>
    <t>[국공채매입 수수료] 없으면 0 / 물품 1 / 시설·용역 2</t>
  </si>
  <si>
    <t>[입찰보증] 불필요시 0 / 필요시 1</t>
  </si>
  <si>
    <t>[계약이행보증] 계약기간</t>
  </si>
  <si>
    <t>[하자보증] 하자보증기간</t>
  </si>
  <si>
    <t>[선급금보증] 선급금액</t>
  </si>
  <si>
    <t>[하도사 지급보증] 계약기간</t>
  </si>
  <si>
    <t>3. 매출 요약</t>
    <phoneticPr fontId="36" type="noConversion"/>
  </si>
  <si>
    <t>5. 투자 요약</t>
    <phoneticPr fontId="36" type="noConversion"/>
  </si>
  <si>
    <t>이익율 맞추기위한 조정으로 보임</t>
    <phoneticPr fontId="1" type="noConversion"/>
  </si>
  <si>
    <t>견적 확인불가</t>
    <phoneticPr fontId="1" type="noConversion"/>
  </si>
  <si>
    <t>라이선스</t>
  </si>
  <si>
    <t>MA</t>
  </si>
  <si>
    <t>SW</t>
  </si>
  <si>
    <t>KMS</t>
  </si>
  <si>
    <t>HW</t>
  </si>
  <si>
    <t>MM</t>
  </si>
  <si>
    <t>보고회</t>
  </si>
  <si>
    <t>인건비_01</t>
  </si>
  <si>
    <t>인건비_02</t>
  </si>
  <si>
    <t>인건비_03</t>
  </si>
  <si>
    <t>인건비_04</t>
  </si>
  <si>
    <t>인건비_05</t>
  </si>
  <si>
    <t>인건비_06</t>
  </si>
  <si>
    <t>인건비_07</t>
  </si>
  <si>
    <t>인건비_08</t>
  </si>
  <si>
    <t>인건비_09</t>
  </si>
  <si>
    <t>인건비_10</t>
  </si>
  <si>
    <t>인건비_11</t>
  </si>
  <si>
    <t>인건비_12</t>
  </si>
  <si>
    <t>인건비_13</t>
  </si>
  <si>
    <t>인건비_14</t>
  </si>
  <si>
    <t>인건비_15</t>
  </si>
  <si>
    <t>인건비_16</t>
  </si>
  <si>
    <t>인건비_17</t>
  </si>
  <si>
    <t>인건비_18</t>
  </si>
  <si>
    <t>인건비_19</t>
  </si>
  <si>
    <t>인건비_20</t>
  </si>
  <si>
    <t>인건비_21</t>
  </si>
  <si>
    <t>인건비_22</t>
  </si>
  <si>
    <t>인건비_23</t>
  </si>
  <si>
    <t>인건비_24</t>
  </si>
  <si>
    <t>인건비_25</t>
  </si>
  <si>
    <t>인건비_26</t>
  </si>
  <si>
    <t>인건비_27</t>
  </si>
  <si>
    <t>인건비_28</t>
  </si>
  <si>
    <t>인건비_29</t>
  </si>
  <si>
    <t>인건비_30</t>
  </si>
  <si>
    <t>수행비_01</t>
  </si>
  <si>
    <t>수행비_01</t>
    <phoneticPr fontId="1" type="noConversion"/>
  </si>
  <si>
    <t>수행비_02</t>
  </si>
  <si>
    <t>수행비_03</t>
  </si>
  <si>
    <t>수행비_04</t>
  </si>
  <si>
    <t>수행비_05</t>
  </si>
  <si>
    <t>수행비_06</t>
  </si>
  <si>
    <t>수행비_07</t>
  </si>
  <si>
    <t>수행비_08</t>
  </si>
  <si>
    <t>수행비_09</t>
  </si>
  <si>
    <t>수행비_10</t>
  </si>
  <si>
    <t>수행비_11</t>
  </si>
  <si>
    <t>수행비_12</t>
  </si>
  <si>
    <t>수행비_13</t>
  </si>
  <si>
    <t>수행비_14</t>
  </si>
  <si>
    <t>수행비_15</t>
  </si>
  <si>
    <t>수행비_16</t>
  </si>
  <si>
    <t>수행비_17</t>
  </si>
  <si>
    <t>수행비_18</t>
  </si>
  <si>
    <t>수행비_19</t>
  </si>
  <si>
    <t>수행비_20</t>
  </si>
  <si>
    <t>수행비_21</t>
  </si>
  <si>
    <t>수행비_22</t>
  </si>
  <si>
    <t>수행비_23</t>
  </si>
  <si>
    <t>수행비_24</t>
  </si>
  <si>
    <t>수행비_25</t>
  </si>
  <si>
    <t>수행비_26</t>
  </si>
  <si>
    <t>수행비_27</t>
  </si>
  <si>
    <t>수행비_28</t>
  </si>
  <si>
    <t>수행비_29</t>
  </si>
  <si>
    <t>수행비_30</t>
  </si>
  <si>
    <t>수행비_31</t>
  </si>
  <si>
    <t>수행비_32</t>
  </si>
  <si>
    <t>수행비_33</t>
  </si>
  <si>
    <t>수행비_34</t>
  </si>
  <si>
    <t>수행비_35</t>
  </si>
  <si>
    <t>수행비_36</t>
  </si>
  <si>
    <t>수행비_37</t>
  </si>
  <si>
    <t>구축비_01</t>
  </si>
  <si>
    <t>구축비_02</t>
  </si>
  <si>
    <t>구축비_03</t>
  </si>
  <si>
    <t>구축비_04</t>
  </si>
  <si>
    <t>구축비_05</t>
  </si>
  <si>
    <t>구축비_06</t>
  </si>
  <si>
    <t>구축비_07</t>
  </si>
  <si>
    <t>구축비_08</t>
  </si>
  <si>
    <t>구축비_09</t>
  </si>
  <si>
    <t>구축비_10</t>
  </si>
  <si>
    <t>구축비_11</t>
  </si>
  <si>
    <t>구축비_12</t>
  </si>
  <si>
    <t>구축비_13</t>
  </si>
  <si>
    <t>구축비_14</t>
  </si>
  <si>
    <t>구축비_15</t>
  </si>
  <si>
    <t>구축비_16</t>
  </si>
  <si>
    <t>구축비_17</t>
  </si>
  <si>
    <t>구축비_18</t>
  </si>
  <si>
    <t>구축비_19</t>
  </si>
  <si>
    <t>구축비_20</t>
  </si>
  <si>
    <t>구축비_21</t>
  </si>
  <si>
    <t>구축비_22</t>
  </si>
  <si>
    <t>구축비_23</t>
  </si>
  <si>
    <t>구축비_24</t>
  </si>
  <si>
    <t>구축비_25</t>
  </si>
  <si>
    <t>구축비_26</t>
  </si>
  <si>
    <t>구축비_27</t>
  </si>
  <si>
    <t>구축비_28</t>
  </si>
  <si>
    <t>구축비_29</t>
  </si>
  <si>
    <t>구축비_30</t>
  </si>
  <si>
    <t>구축비_31</t>
  </si>
  <si>
    <t>구축비_32</t>
  </si>
  <si>
    <t>구축비_33</t>
  </si>
  <si>
    <t>유형</t>
    <phoneticPr fontId="1" type="noConversion"/>
  </si>
  <si>
    <t>도연시스템즈</t>
  </si>
  <si>
    <t>KT</t>
  </si>
  <si>
    <t>대분류</t>
    <phoneticPr fontId="1" type="noConversion"/>
  </si>
  <si>
    <t>소분류</t>
    <phoneticPr fontId="1" type="noConversion"/>
  </si>
  <si>
    <t>구축합계</t>
    <phoneticPr fontId="1" type="noConversion"/>
  </si>
  <si>
    <t>Y1</t>
    <phoneticPr fontId="1" type="noConversion"/>
  </si>
  <si>
    <t>구축</t>
    <phoneticPr fontId="1" type="noConversion"/>
  </si>
  <si>
    <t>AIG</t>
    <phoneticPr fontId="1" type="noConversion"/>
  </si>
  <si>
    <t>소분류</t>
    <phoneticPr fontId="1" type="noConversion"/>
  </si>
  <si>
    <t>구축합계</t>
    <phoneticPr fontId="1" type="noConversion"/>
  </si>
  <si>
    <t>Y1</t>
    <phoneticPr fontId="1" type="noConversion"/>
  </si>
  <si>
    <t>라이선스</t>
    <phoneticPr fontId="1" type="noConversion"/>
  </si>
  <si>
    <t>HW</t>
    <phoneticPr fontId="1" type="noConversion"/>
  </si>
  <si>
    <t>공란</t>
    <phoneticPr fontId="1" type="noConversion"/>
  </si>
  <si>
    <t>운영</t>
    <phoneticPr fontId="1" type="noConversion"/>
  </si>
  <si>
    <t>운영</t>
    <phoneticPr fontId="1" type="noConversion"/>
  </si>
  <si>
    <t>공란</t>
    <phoneticPr fontId="1" type="noConversion"/>
  </si>
  <si>
    <t>MA</t>
    <phoneticPr fontId="1" type="noConversion"/>
  </si>
  <si>
    <t>SW</t>
    <phoneticPr fontId="1" type="noConversion"/>
  </si>
  <si>
    <t>MA</t>
    <phoneticPr fontId="1" type="noConversion"/>
  </si>
  <si>
    <t>공란</t>
    <phoneticPr fontId="1" type="noConversion"/>
  </si>
  <si>
    <t>고객사</t>
    <phoneticPr fontId="1" type="noConversion"/>
  </si>
  <si>
    <t>대분류</t>
    <phoneticPr fontId="1" type="noConversion"/>
  </si>
  <si>
    <t>중분류</t>
    <phoneticPr fontId="1" type="noConversion"/>
  </si>
  <si>
    <t>소분류</t>
    <phoneticPr fontId="1" type="noConversion"/>
  </si>
  <si>
    <t>총계</t>
    <phoneticPr fontId="1" type="noConversion"/>
  </si>
  <si>
    <t>구축합계</t>
    <phoneticPr fontId="1" type="noConversion"/>
  </si>
  <si>
    <t>MA합계</t>
    <phoneticPr fontId="1" type="noConversion"/>
  </si>
  <si>
    <t>Y1</t>
    <phoneticPr fontId="1" type="noConversion"/>
  </si>
  <si>
    <t>AIG</t>
    <phoneticPr fontId="1" type="noConversion"/>
  </si>
  <si>
    <t>구축</t>
    <phoneticPr fontId="1" type="noConversion"/>
  </si>
  <si>
    <t>개발</t>
    <phoneticPr fontId="1" type="noConversion"/>
  </si>
  <si>
    <t>구축</t>
    <phoneticPr fontId="1" type="noConversion"/>
  </si>
  <si>
    <t>라이선스</t>
    <phoneticPr fontId="1" type="noConversion"/>
  </si>
  <si>
    <t>AIG</t>
    <phoneticPr fontId="1" type="noConversion"/>
  </si>
  <si>
    <t>구축</t>
    <phoneticPr fontId="1" type="noConversion"/>
  </si>
  <si>
    <t>HW</t>
    <phoneticPr fontId="1" type="noConversion"/>
  </si>
  <si>
    <t>AIG</t>
    <phoneticPr fontId="1" type="noConversion"/>
  </si>
  <si>
    <t>구축 소계</t>
    <phoneticPr fontId="1" type="noConversion"/>
  </si>
  <si>
    <t>운영</t>
    <phoneticPr fontId="1" type="noConversion"/>
  </si>
  <si>
    <t>운영 소계</t>
    <phoneticPr fontId="1" type="noConversion"/>
  </si>
  <si>
    <t>MA</t>
    <phoneticPr fontId="1" type="noConversion"/>
  </si>
  <si>
    <t>MA</t>
    <phoneticPr fontId="1" type="noConversion"/>
  </si>
  <si>
    <t>SW</t>
    <phoneticPr fontId="1" type="noConversion"/>
  </si>
  <si>
    <t>공란</t>
    <phoneticPr fontId="1" type="noConversion"/>
  </si>
  <si>
    <t>MA 소계</t>
    <phoneticPr fontId="1" type="noConversion"/>
  </si>
  <si>
    <t>대분류</t>
    <phoneticPr fontId="1" type="noConversion"/>
  </si>
  <si>
    <t>중분류</t>
    <phoneticPr fontId="1" type="noConversion"/>
  </si>
  <si>
    <t>총계</t>
    <phoneticPr fontId="1" type="noConversion"/>
  </si>
  <si>
    <t>구축합계</t>
    <phoneticPr fontId="1" type="noConversion"/>
  </si>
  <si>
    <t>개발</t>
    <phoneticPr fontId="1" type="noConversion"/>
  </si>
  <si>
    <t>HW</t>
    <phoneticPr fontId="1" type="noConversion"/>
  </si>
  <si>
    <t>합계</t>
    <phoneticPr fontId="1" type="noConversion"/>
  </si>
  <si>
    <t>개발</t>
    <phoneticPr fontId="1" type="noConversion"/>
  </si>
  <si>
    <t>구축</t>
    <phoneticPr fontId="1" type="noConversion"/>
  </si>
  <si>
    <t>합계</t>
    <phoneticPr fontId="1" type="noConversion"/>
  </si>
  <si>
    <t>라이선스</t>
    <phoneticPr fontId="1" type="noConversion"/>
  </si>
  <si>
    <t>AIG</t>
    <phoneticPr fontId="1" type="noConversion"/>
  </si>
  <si>
    <t>MA</t>
    <phoneticPr fontId="1" type="noConversion"/>
  </si>
  <si>
    <t>공란</t>
    <phoneticPr fontId="1" type="noConversion"/>
  </si>
  <si>
    <t>협력사</t>
    <phoneticPr fontId="1" type="noConversion"/>
  </si>
  <si>
    <t>대분류</t>
    <phoneticPr fontId="1" type="noConversion"/>
  </si>
  <si>
    <t>중분류</t>
    <phoneticPr fontId="1" type="noConversion"/>
  </si>
  <si>
    <t>소분류</t>
    <phoneticPr fontId="1" type="noConversion"/>
  </si>
  <si>
    <t>총계</t>
    <phoneticPr fontId="1" type="noConversion"/>
  </si>
  <si>
    <t>구축합계</t>
    <phoneticPr fontId="1" type="noConversion"/>
  </si>
  <si>
    <t>MA합계</t>
    <phoneticPr fontId="1" type="noConversion"/>
  </si>
  <si>
    <t>Y1</t>
    <phoneticPr fontId="1" type="noConversion"/>
  </si>
  <si>
    <t>AIG</t>
    <phoneticPr fontId="1" type="noConversion"/>
  </si>
  <si>
    <t>구축</t>
    <phoneticPr fontId="1" type="noConversion"/>
  </si>
  <si>
    <t>개발</t>
    <phoneticPr fontId="1" type="noConversion"/>
  </si>
  <si>
    <t>라이선스</t>
    <phoneticPr fontId="1" type="noConversion"/>
  </si>
  <si>
    <t>HW</t>
    <phoneticPr fontId="1" type="noConversion"/>
  </si>
  <si>
    <t>SW</t>
    <phoneticPr fontId="1" type="noConversion"/>
  </si>
  <si>
    <t>공란</t>
    <phoneticPr fontId="1" type="noConversion"/>
  </si>
  <si>
    <t>합계</t>
    <phoneticPr fontId="1" type="noConversion"/>
  </si>
  <si>
    <t>운영</t>
    <phoneticPr fontId="1" type="noConversion"/>
  </si>
  <si>
    <t>인프라</t>
    <phoneticPr fontId="1" type="noConversion"/>
  </si>
  <si>
    <t>HW</t>
    <phoneticPr fontId="1" type="noConversion"/>
  </si>
  <si>
    <t>MA</t>
    <phoneticPr fontId="1" type="noConversion"/>
  </si>
  <si>
    <t>소분류</t>
    <phoneticPr fontId="1" type="noConversion"/>
  </si>
  <si>
    <t>Y1</t>
    <phoneticPr fontId="1" type="noConversion"/>
  </si>
  <si>
    <t>라이선스</t>
    <phoneticPr fontId="1" type="noConversion"/>
  </si>
  <si>
    <t>SW</t>
    <phoneticPr fontId="1" type="noConversion"/>
  </si>
  <si>
    <t>운영</t>
    <phoneticPr fontId="1" type="noConversion"/>
  </si>
  <si>
    <t>공란</t>
    <phoneticPr fontId="1" type="noConversion"/>
  </si>
  <si>
    <t>MA</t>
    <phoneticPr fontId="1" type="noConversion"/>
  </si>
  <si>
    <t>AIG</t>
    <phoneticPr fontId="1" type="noConversion"/>
  </si>
  <si>
    <t>합계</t>
    <phoneticPr fontId="1" type="noConversion"/>
  </si>
  <si>
    <t>대분류</t>
    <phoneticPr fontId="1" type="noConversion"/>
  </si>
  <si>
    <t>구축합계</t>
    <phoneticPr fontId="1" type="noConversion"/>
  </si>
  <si>
    <t>합계</t>
    <phoneticPr fontId="1" type="noConversion"/>
  </si>
  <si>
    <t>인프라</t>
    <phoneticPr fontId="1" type="noConversion"/>
  </si>
  <si>
    <t>Web Voice 화면 기획/개발 PL</t>
  </si>
  <si>
    <t>화면 UI 개발</t>
  </si>
  <si>
    <t>화면 디자인 및 퍼블리싱</t>
  </si>
  <si>
    <t>기간계 시스템 연동 개발</t>
  </si>
  <si>
    <t>보이는 ARS 시스템 연동 개발</t>
  </si>
  <si>
    <t>시나리오 개발</t>
  </si>
  <si>
    <t>보이는ARS</t>
  </si>
  <si>
    <t>그린카</t>
  </si>
  <si>
    <t>롯데렌탈</t>
  </si>
  <si>
    <t>Web Voice 계정 가입비</t>
  </si>
  <si>
    <t>Web Voice License</t>
  </si>
  <si>
    <t>Voice Data Link License</t>
  </si>
  <si>
    <t>보이는ARS Renewal license</t>
  </si>
  <si>
    <t>Web Voice 계정 가입비(최초 1회 영구)</t>
  </si>
  <si>
    <t>보이는 ARS / VPN</t>
  </si>
  <si>
    <t>FortiGate 200E</t>
  </si>
  <si>
    <t>threat : 1.2Gbps, SSL Thrioughput Inspection : 1Gbps</t>
  </si>
  <si>
    <t xml:space="preserve">DB 접근제어 </t>
  </si>
  <si>
    <t xml:space="preserve">Petra V4.1 </t>
  </si>
  <si>
    <t>공란</t>
    <phoneticPr fontId="1" type="noConversion"/>
  </si>
  <si>
    <t>공통</t>
    <phoneticPr fontId="1" type="noConversion"/>
  </si>
  <si>
    <t>보이는ARS</t>
    <phoneticPr fontId="1" type="noConversion"/>
  </si>
  <si>
    <t>오토케어</t>
  </si>
  <si>
    <t>일반렌탈</t>
  </si>
  <si>
    <t>전문 기술상담사</t>
  </si>
  <si>
    <t>해피콜</t>
  </si>
  <si>
    <t>고객상담</t>
  </si>
  <si>
    <t>영어상담 주임</t>
  </si>
  <si>
    <t>영어 상담사</t>
  </si>
  <si>
    <t>장기대여</t>
  </si>
  <si>
    <t>지원</t>
  </si>
  <si>
    <t>VOC 파트장</t>
  </si>
  <si>
    <t>QA/교육강사</t>
  </si>
  <si>
    <t>팀장(파트장)</t>
  </si>
  <si>
    <t>CS리더</t>
  </si>
  <si>
    <t>일반차량</t>
  </si>
  <si>
    <t>업무지원</t>
  </si>
  <si>
    <t>야간상담</t>
  </si>
  <si>
    <t>파트타임</t>
  </si>
  <si>
    <t>정규주간</t>
  </si>
  <si>
    <t>게시판</t>
  </si>
  <si>
    <t>정규주간파트</t>
  </si>
  <si>
    <t>정규야간</t>
  </si>
  <si>
    <t>정규심야</t>
  </si>
  <si>
    <t>정규야간파트</t>
  </si>
  <si>
    <t>QA/QC</t>
  </si>
  <si>
    <t>DA</t>
  </si>
  <si>
    <t>주간SVR</t>
  </si>
  <si>
    <t>야간SVR</t>
  </si>
  <si>
    <t>일반차량 - 성수기</t>
  </si>
  <si>
    <t>성수기 관리자</t>
  </si>
  <si>
    <t>성수기 상담사</t>
  </si>
  <si>
    <t>인건비_31</t>
  </si>
  <si>
    <t>인건비_32</t>
  </si>
  <si>
    <t>인건비_33</t>
  </si>
  <si>
    <t>인건비_34</t>
  </si>
  <si>
    <t>인건비_35</t>
  </si>
  <si>
    <t>인건비_36</t>
  </si>
  <si>
    <t>인건비_37</t>
  </si>
  <si>
    <t>인건비_38</t>
  </si>
  <si>
    <t>KTIS</t>
    <phoneticPr fontId="1" type="noConversion"/>
  </si>
  <si>
    <t>인건비_01</t>
    <phoneticPr fontId="1" type="noConversion"/>
  </si>
  <si>
    <t>Y11월단가</t>
    <phoneticPr fontId="1" type="noConversion"/>
  </si>
  <si>
    <t>Y11월인력
(평균)</t>
    <phoneticPr fontId="1" type="noConversion"/>
  </si>
  <si>
    <t>Y11월인력
(합계)</t>
    <phoneticPr fontId="1" type="noConversion"/>
  </si>
  <si>
    <t>ID</t>
    <phoneticPr fontId="1" type="noConversion"/>
  </si>
  <si>
    <t>고객사</t>
    <phoneticPr fontId="1" type="noConversion"/>
  </si>
  <si>
    <t>대분류</t>
    <phoneticPr fontId="1" type="noConversion"/>
  </si>
  <si>
    <t>소분류</t>
    <phoneticPr fontId="1" type="noConversion"/>
  </si>
  <si>
    <t>과업1</t>
    <phoneticPr fontId="1" type="noConversion"/>
  </si>
  <si>
    <t>과업2</t>
    <phoneticPr fontId="1" type="noConversion"/>
  </si>
  <si>
    <t>과업3</t>
    <phoneticPr fontId="1" type="noConversion"/>
  </si>
  <si>
    <t>단위</t>
    <phoneticPr fontId="1" type="noConversion"/>
  </si>
  <si>
    <t>Y1월인력</t>
    <phoneticPr fontId="1" type="noConversion"/>
  </si>
  <si>
    <t>Y2월인력</t>
    <phoneticPr fontId="1" type="noConversion"/>
  </si>
  <si>
    <t>Y3월인력</t>
    <phoneticPr fontId="1" type="noConversion"/>
  </si>
  <si>
    <t>Y4월인력</t>
    <phoneticPr fontId="1" type="noConversion"/>
  </si>
  <si>
    <t>Y5월인력</t>
    <phoneticPr fontId="1" type="noConversion"/>
  </si>
  <si>
    <t>Y6월인력</t>
    <phoneticPr fontId="1" type="noConversion"/>
  </si>
  <si>
    <t>Y7월인력</t>
    <phoneticPr fontId="1" type="noConversion"/>
  </si>
  <si>
    <t>Y8월인력</t>
    <phoneticPr fontId="1" type="noConversion"/>
  </si>
  <si>
    <t>Y9월인력</t>
    <phoneticPr fontId="1" type="noConversion"/>
  </si>
  <si>
    <t>Y10월인력</t>
    <phoneticPr fontId="1" type="noConversion"/>
  </si>
  <si>
    <t>Y11월인력</t>
    <phoneticPr fontId="1" type="noConversion"/>
  </si>
  <si>
    <t>Y2월단가</t>
    <phoneticPr fontId="1" type="noConversion"/>
  </si>
  <si>
    <t>Y3월단가</t>
    <phoneticPr fontId="1" type="noConversion"/>
  </si>
  <si>
    <t>Y4월단가</t>
    <phoneticPr fontId="1" type="noConversion"/>
  </si>
  <si>
    <t>Y5월단가</t>
    <phoneticPr fontId="1" type="noConversion"/>
  </si>
  <si>
    <t>Y6월단가</t>
    <phoneticPr fontId="1" type="noConversion"/>
  </si>
  <si>
    <t>Y7월단가</t>
    <phoneticPr fontId="1" type="noConversion"/>
  </si>
  <si>
    <t>Y8월단가</t>
    <phoneticPr fontId="1" type="noConversion"/>
  </si>
  <si>
    <t>Y9월단가</t>
    <phoneticPr fontId="1" type="noConversion"/>
  </si>
  <si>
    <t>Y10월단가</t>
    <phoneticPr fontId="1" type="noConversion"/>
  </si>
  <si>
    <t>Y2기간</t>
    <phoneticPr fontId="1" type="noConversion"/>
  </si>
  <si>
    <t>Y3기간</t>
    <phoneticPr fontId="1" type="noConversion"/>
  </si>
  <si>
    <t>Y4기간</t>
    <phoneticPr fontId="1" type="noConversion"/>
  </si>
  <si>
    <t>Y5기간</t>
    <phoneticPr fontId="1" type="noConversion"/>
  </si>
  <si>
    <t>Y6기간</t>
    <phoneticPr fontId="1" type="noConversion"/>
  </si>
  <si>
    <t>Y7기간</t>
    <phoneticPr fontId="1" type="noConversion"/>
  </si>
  <si>
    <t>Y8기간</t>
    <phoneticPr fontId="1" type="noConversion"/>
  </si>
  <si>
    <t>Y9기간</t>
    <phoneticPr fontId="1" type="noConversion"/>
  </si>
  <si>
    <t>Y10기간</t>
    <phoneticPr fontId="1" type="noConversion"/>
  </si>
  <si>
    <t>Y11기간</t>
    <phoneticPr fontId="1" type="noConversion"/>
  </si>
  <si>
    <t>인건비 총액</t>
    <phoneticPr fontId="1" type="noConversion"/>
  </si>
  <si>
    <t>Y5</t>
    <phoneticPr fontId="1" type="noConversion"/>
  </si>
  <si>
    <t>Y6</t>
    <phoneticPr fontId="1" type="noConversion"/>
  </si>
  <si>
    <t>Y7</t>
    <phoneticPr fontId="1" type="noConversion"/>
  </si>
  <si>
    <t>Y9</t>
    <phoneticPr fontId="1" type="noConversion"/>
  </si>
  <si>
    <t>Y10</t>
    <phoneticPr fontId="1" type="noConversion"/>
  </si>
  <si>
    <t>Y1_M2</t>
    <phoneticPr fontId="1" type="noConversion"/>
  </si>
  <si>
    <t>Y1_M3</t>
    <phoneticPr fontId="1" type="noConversion"/>
  </si>
  <si>
    <t>Y1_M4</t>
    <phoneticPr fontId="1" type="noConversion"/>
  </si>
  <si>
    <t>Y1_M5</t>
    <phoneticPr fontId="1" type="noConversion"/>
  </si>
  <si>
    <t>Y1_M6</t>
    <phoneticPr fontId="1" type="noConversion"/>
  </si>
  <si>
    <t>Y1_M7</t>
    <phoneticPr fontId="1" type="noConversion"/>
  </si>
  <si>
    <t>Y1_M8</t>
    <phoneticPr fontId="1" type="noConversion"/>
  </si>
  <si>
    <t>Y1_M9</t>
    <phoneticPr fontId="1" type="noConversion"/>
  </si>
  <si>
    <t>Y1_M10</t>
    <phoneticPr fontId="1" type="noConversion"/>
  </si>
  <si>
    <t>Y1_M11</t>
    <phoneticPr fontId="1" type="noConversion"/>
  </si>
  <si>
    <t>Y1_M12</t>
    <phoneticPr fontId="1" type="noConversion"/>
  </si>
  <si>
    <t>Y2_M1</t>
    <phoneticPr fontId="1" type="noConversion"/>
  </si>
  <si>
    <t>Y2_M2</t>
    <phoneticPr fontId="1" type="noConversion"/>
  </si>
  <si>
    <t>Y2_M3</t>
    <phoneticPr fontId="1" type="noConversion"/>
  </si>
  <si>
    <t>Y2_M4</t>
    <phoneticPr fontId="1" type="noConversion"/>
  </si>
  <si>
    <t>Y2_M5</t>
    <phoneticPr fontId="1" type="noConversion"/>
  </si>
  <si>
    <t>Y2_M6</t>
    <phoneticPr fontId="1" type="noConversion"/>
  </si>
  <si>
    <t>Y2_M7</t>
    <phoneticPr fontId="1" type="noConversion"/>
  </si>
  <si>
    <t>Y2_M8</t>
    <phoneticPr fontId="1" type="noConversion"/>
  </si>
  <si>
    <t>Y2_M9</t>
    <phoneticPr fontId="1" type="noConversion"/>
  </si>
  <si>
    <t>Y2_M10</t>
    <phoneticPr fontId="1" type="noConversion"/>
  </si>
  <si>
    <t>Y2_M11</t>
    <phoneticPr fontId="1" type="noConversion"/>
  </si>
  <si>
    <t>Y2_M12</t>
    <phoneticPr fontId="1" type="noConversion"/>
  </si>
  <si>
    <t>Y3_M1</t>
    <phoneticPr fontId="1" type="noConversion"/>
  </si>
  <si>
    <t>Y3_M2</t>
    <phoneticPr fontId="1" type="noConversion"/>
  </si>
  <si>
    <t>Y3_M3</t>
    <phoneticPr fontId="1" type="noConversion"/>
  </si>
  <si>
    <t>Y3_M4</t>
    <phoneticPr fontId="1" type="noConversion"/>
  </si>
  <si>
    <t>Y3_M5</t>
    <phoneticPr fontId="1" type="noConversion"/>
  </si>
  <si>
    <t>Y3_M6</t>
    <phoneticPr fontId="1" type="noConversion"/>
  </si>
  <si>
    <t>Y3_M7</t>
    <phoneticPr fontId="1" type="noConversion"/>
  </si>
  <si>
    <t>Y3_M8</t>
    <phoneticPr fontId="1" type="noConversion"/>
  </si>
  <si>
    <t>Y3_M9</t>
    <phoneticPr fontId="1" type="noConversion"/>
  </si>
  <si>
    <t>Y3_M10</t>
    <phoneticPr fontId="1" type="noConversion"/>
  </si>
  <si>
    <t>Y3_M11</t>
    <phoneticPr fontId="1" type="noConversion"/>
  </si>
  <si>
    <t>Y3_M12</t>
    <phoneticPr fontId="1" type="noConversion"/>
  </si>
  <si>
    <t>Y4_M1</t>
    <phoneticPr fontId="1" type="noConversion"/>
  </si>
  <si>
    <t>Y4_M2</t>
    <phoneticPr fontId="1" type="noConversion"/>
  </si>
  <si>
    <t>Y4_M3</t>
    <phoneticPr fontId="1" type="noConversion"/>
  </si>
  <si>
    <t>Y4_M4</t>
    <phoneticPr fontId="1" type="noConversion"/>
  </si>
  <si>
    <t>Y4_M5</t>
    <phoneticPr fontId="1" type="noConversion"/>
  </si>
  <si>
    <t>Y4_M6</t>
    <phoneticPr fontId="1" type="noConversion"/>
  </si>
  <si>
    <t>Y4_M7</t>
    <phoneticPr fontId="1" type="noConversion"/>
  </si>
  <si>
    <t>Y4_M8</t>
    <phoneticPr fontId="1" type="noConversion"/>
  </si>
  <si>
    <t>Y4_M9</t>
    <phoneticPr fontId="1" type="noConversion"/>
  </si>
  <si>
    <t>Y4_M10</t>
    <phoneticPr fontId="1" type="noConversion"/>
  </si>
  <si>
    <t>Y4_M11</t>
    <phoneticPr fontId="1" type="noConversion"/>
  </si>
  <si>
    <t>Y4_M12</t>
    <phoneticPr fontId="1" type="noConversion"/>
  </si>
  <si>
    <t>Y5_M1</t>
    <phoneticPr fontId="1" type="noConversion"/>
  </si>
  <si>
    <t>Y5_M2</t>
    <phoneticPr fontId="1" type="noConversion"/>
  </si>
  <si>
    <t>Y5_M3</t>
    <phoneticPr fontId="1" type="noConversion"/>
  </si>
  <si>
    <t>Y5_M4</t>
    <phoneticPr fontId="1" type="noConversion"/>
  </si>
  <si>
    <t>Y5_M5</t>
    <phoneticPr fontId="1" type="noConversion"/>
  </si>
  <si>
    <t>Y5_M6</t>
    <phoneticPr fontId="1" type="noConversion"/>
  </si>
  <si>
    <t>Y5_M7</t>
    <phoneticPr fontId="1" type="noConversion"/>
  </si>
  <si>
    <t>Y5_M8</t>
    <phoneticPr fontId="1" type="noConversion"/>
  </si>
  <si>
    <t>Y5_M9</t>
    <phoneticPr fontId="1" type="noConversion"/>
  </si>
  <si>
    <t>Y5_M10</t>
    <phoneticPr fontId="1" type="noConversion"/>
  </si>
  <si>
    <t>Y5_M11</t>
    <phoneticPr fontId="1" type="noConversion"/>
  </si>
  <si>
    <t>Y5_M12</t>
    <phoneticPr fontId="1" type="noConversion"/>
  </si>
  <si>
    <t>Y6_M1</t>
    <phoneticPr fontId="1" type="noConversion"/>
  </si>
  <si>
    <t>Y6_M2</t>
    <phoneticPr fontId="1" type="noConversion"/>
  </si>
  <si>
    <t>Y6_M3</t>
    <phoneticPr fontId="1" type="noConversion"/>
  </si>
  <si>
    <t>Y6_M4</t>
    <phoneticPr fontId="1" type="noConversion"/>
  </si>
  <si>
    <t>Y6_M5</t>
    <phoneticPr fontId="1" type="noConversion"/>
  </si>
  <si>
    <t>Y6_M6</t>
    <phoneticPr fontId="1" type="noConversion"/>
  </si>
  <si>
    <t>Y6_M7</t>
    <phoneticPr fontId="1" type="noConversion"/>
  </si>
  <si>
    <t>Y6_M8</t>
    <phoneticPr fontId="1" type="noConversion"/>
  </si>
  <si>
    <t>Y6_M9</t>
    <phoneticPr fontId="1" type="noConversion"/>
  </si>
  <si>
    <t>Y6_M10</t>
    <phoneticPr fontId="1" type="noConversion"/>
  </si>
  <si>
    <t>Y6_M11</t>
    <phoneticPr fontId="1" type="noConversion"/>
  </si>
  <si>
    <t>Y6_M12</t>
    <phoneticPr fontId="1" type="noConversion"/>
  </si>
  <si>
    <t>Y7_M1</t>
    <phoneticPr fontId="1" type="noConversion"/>
  </si>
  <si>
    <t>Y7_M2</t>
    <phoneticPr fontId="1" type="noConversion"/>
  </si>
  <si>
    <t>Y7_M3</t>
    <phoneticPr fontId="1" type="noConversion"/>
  </si>
  <si>
    <t>Y7_M4</t>
    <phoneticPr fontId="1" type="noConversion"/>
  </si>
  <si>
    <t>Y7_M5</t>
    <phoneticPr fontId="1" type="noConversion"/>
  </si>
  <si>
    <t>Y7_M6</t>
    <phoneticPr fontId="1" type="noConversion"/>
  </si>
  <si>
    <t>Y7_M7</t>
    <phoneticPr fontId="1" type="noConversion"/>
  </si>
  <si>
    <t>Y7_M8</t>
    <phoneticPr fontId="1" type="noConversion"/>
  </si>
  <si>
    <t>Y7_M9</t>
    <phoneticPr fontId="1" type="noConversion"/>
  </si>
  <si>
    <t>Y7_M10</t>
    <phoneticPr fontId="1" type="noConversion"/>
  </si>
  <si>
    <t>Y7_M11</t>
    <phoneticPr fontId="1" type="noConversion"/>
  </si>
  <si>
    <t>Y7_M12</t>
    <phoneticPr fontId="1" type="noConversion"/>
  </si>
  <si>
    <t>Y8_M1</t>
    <phoneticPr fontId="1" type="noConversion"/>
  </si>
  <si>
    <t>Y8_M2</t>
    <phoneticPr fontId="1" type="noConversion"/>
  </si>
  <si>
    <t>Y8_M3</t>
    <phoneticPr fontId="1" type="noConversion"/>
  </si>
  <si>
    <t>Y8_M4</t>
    <phoneticPr fontId="1" type="noConversion"/>
  </si>
  <si>
    <t>Y8_M5</t>
    <phoneticPr fontId="1" type="noConversion"/>
  </si>
  <si>
    <t>Y8_M6</t>
    <phoneticPr fontId="1" type="noConversion"/>
  </si>
  <si>
    <t>Y8_M7</t>
    <phoneticPr fontId="1" type="noConversion"/>
  </si>
  <si>
    <t>Y8_M8</t>
    <phoneticPr fontId="1" type="noConversion"/>
  </si>
  <si>
    <t>Y8_M9</t>
    <phoneticPr fontId="1" type="noConversion"/>
  </si>
  <si>
    <t>Y8_M10</t>
    <phoneticPr fontId="1" type="noConversion"/>
  </si>
  <si>
    <t>Y8_M11</t>
    <phoneticPr fontId="1" type="noConversion"/>
  </si>
  <si>
    <t>Y8_M12</t>
    <phoneticPr fontId="1" type="noConversion"/>
  </si>
  <si>
    <t>Y9_M1</t>
    <phoneticPr fontId="1" type="noConversion"/>
  </si>
  <si>
    <t>Y9_M2</t>
    <phoneticPr fontId="1" type="noConversion"/>
  </si>
  <si>
    <t>Y9_M3</t>
    <phoneticPr fontId="1" type="noConversion"/>
  </si>
  <si>
    <t>Y9_M4</t>
    <phoneticPr fontId="1" type="noConversion"/>
  </si>
  <si>
    <t>Y9_M5</t>
    <phoneticPr fontId="1" type="noConversion"/>
  </si>
  <si>
    <t>Y9_M6</t>
    <phoneticPr fontId="1" type="noConversion"/>
  </si>
  <si>
    <t>Y9_M7</t>
    <phoneticPr fontId="1" type="noConversion"/>
  </si>
  <si>
    <t>Y9_M8</t>
    <phoneticPr fontId="1" type="noConversion"/>
  </si>
  <si>
    <t>Y9_M9</t>
    <phoneticPr fontId="1" type="noConversion"/>
  </si>
  <si>
    <t>Y9_M10</t>
    <phoneticPr fontId="1" type="noConversion"/>
  </si>
  <si>
    <t>Y9_M11</t>
    <phoneticPr fontId="1" type="noConversion"/>
  </si>
  <si>
    <t>Y9_M12</t>
    <phoneticPr fontId="1" type="noConversion"/>
  </si>
  <si>
    <t>Y10_M1</t>
    <phoneticPr fontId="1" type="noConversion"/>
  </si>
  <si>
    <t>Y10_M2</t>
    <phoneticPr fontId="1" type="noConversion"/>
  </si>
  <si>
    <t>Y10_M3</t>
    <phoneticPr fontId="1" type="noConversion"/>
  </si>
  <si>
    <t>Y10_M4</t>
    <phoneticPr fontId="1" type="noConversion"/>
  </si>
  <si>
    <t>Y10_M5</t>
    <phoneticPr fontId="1" type="noConversion"/>
  </si>
  <si>
    <t>Y10_M6</t>
    <phoneticPr fontId="1" type="noConversion"/>
  </si>
  <si>
    <t>Y10_M7</t>
    <phoneticPr fontId="1" type="noConversion"/>
  </si>
  <si>
    <t>Y10_M8</t>
    <phoneticPr fontId="1" type="noConversion"/>
  </si>
  <si>
    <t>Y10_M9</t>
    <phoneticPr fontId="1" type="noConversion"/>
  </si>
  <si>
    <t>Y10_M10</t>
    <phoneticPr fontId="1" type="noConversion"/>
  </si>
  <si>
    <t>Y10_M11</t>
    <phoneticPr fontId="1" type="noConversion"/>
  </si>
  <si>
    <t>Y10_M12</t>
    <phoneticPr fontId="1" type="noConversion"/>
  </si>
  <si>
    <t>Y11_M1</t>
    <phoneticPr fontId="1" type="noConversion"/>
  </si>
  <si>
    <t>Y11_M2</t>
    <phoneticPr fontId="1" type="noConversion"/>
  </si>
  <si>
    <t>Y11_M3</t>
    <phoneticPr fontId="1" type="noConversion"/>
  </si>
  <si>
    <t>Y11_M4</t>
    <phoneticPr fontId="1" type="noConversion"/>
  </si>
  <si>
    <t>Y11_M5</t>
    <phoneticPr fontId="1" type="noConversion"/>
  </si>
  <si>
    <t>Y11_M6</t>
    <phoneticPr fontId="1" type="noConversion"/>
  </si>
  <si>
    <t>Y11_M7</t>
    <phoneticPr fontId="1" type="noConversion"/>
  </si>
  <si>
    <t>Y11_M8</t>
    <phoneticPr fontId="1" type="noConversion"/>
  </si>
  <si>
    <t>Y11_M9</t>
    <phoneticPr fontId="1" type="noConversion"/>
  </si>
  <si>
    <t>Y11_M10</t>
    <phoneticPr fontId="1" type="noConversion"/>
  </si>
  <si>
    <t>Y11_M11</t>
    <phoneticPr fontId="1" type="noConversion"/>
  </si>
  <si>
    <t>Y11_M12</t>
    <phoneticPr fontId="1" type="noConversion"/>
  </si>
  <si>
    <t>KTIS</t>
  </si>
  <si>
    <t>구분</t>
    <phoneticPr fontId="1" type="noConversion"/>
  </si>
  <si>
    <t>분야</t>
    <phoneticPr fontId="1" type="noConversion"/>
  </si>
  <si>
    <t>Y1월단가</t>
    <phoneticPr fontId="1" type="noConversion"/>
  </si>
  <si>
    <t>Y11월단가</t>
    <phoneticPr fontId="1" type="noConversion"/>
  </si>
  <si>
    <t>인건비_01</t>
    <phoneticPr fontId="1" type="noConversion"/>
  </si>
  <si>
    <t>롯데렌탈</t>
    <phoneticPr fontId="1" type="noConversion"/>
  </si>
  <si>
    <t>롯데렌탈</t>
    <phoneticPr fontId="1" type="noConversion"/>
  </si>
  <si>
    <t>Y1월인력
(평균)</t>
    <phoneticPr fontId="1" type="noConversion"/>
  </si>
  <si>
    <t>T4</t>
  </si>
  <si>
    <t>T5</t>
  </si>
  <si>
    <t>주간</t>
  </si>
  <si>
    <t>주간</t>
    <phoneticPr fontId="1" type="noConversion"/>
  </si>
  <si>
    <t>야간</t>
  </si>
  <si>
    <t>야간</t>
    <phoneticPr fontId="1" type="noConversion"/>
  </si>
  <si>
    <t>상담+일반 업무(주간)</t>
  </si>
  <si>
    <t>주간 관리자</t>
  </si>
  <si>
    <t>오버콜 환산 인력</t>
  </si>
  <si>
    <t>오토케어</t>
    <phoneticPr fontId="1" type="noConversion"/>
  </si>
  <si>
    <t>상담사</t>
    <phoneticPr fontId="1" type="noConversion"/>
  </si>
  <si>
    <t>관리자</t>
    <phoneticPr fontId="1" type="noConversion"/>
  </si>
  <si>
    <t>관리자</t>
    <phoneticPr fontId="1" type="noConversion"/>
  </si>
  <si>
    <t>QA&amp;QC</t>
  </si>
  <si>
    <t>상담사</t>
    <phoneticPr fontId="1" type="noConversion"/>
  </si>
  <si>
    <t>성수기 추가 인력</t>
  </si>
  <si>
    <t>그린카</t>
    <phoneticPr fontId="1" type="noConversion"/>
  </si>
  <si>
    <t>롯데렌탈</t>
    <phoneticPr fontId="1" type="noConversion"/>
  </si>
  <si>
    <t>관리자</t>
    <phoneticPr fontId="1" type="noConversion"/>
  </si>
  <si>
    <t>상담사</t>
    <phoneticPr fontId="1" type="noConversion"/>
  </si>
  <si>
    <t>오토케어</t>
    <phoneticPr fontId="1" type="noConversion"/>
  </si>
  <si>
    <t>오토케어</t>
    <phoneticPr fontId="1" type="noConversion"/>
  </si>
  <si>
    <t>그린카</t>
    <phoneticPr fontId="1" type="noConversion"/>
  </si>
  <si>
    <t>구축비_01</t>
    <phoneticPr fontId="1" type="noConversion"/>
  </si>
  <si>
    <t>Voice Data Link License (채널덩 라이선스 영구)</t>
  </si>
  <si>
    <t>Voice GW Link License</t>
  </si>
  <si>
    <t>SDK 포팅</t>
  </si>
  <si>
    <t>보이는 ARS SDK 포팅 라이선스</t>
  </si>
  <si>
    <t>IVR 라이선스</t>
  </si>
  <si>
    <t>SE Server License</t>
  </si>
  <si>
    <t xml:space="preserve">Phone App Interface Server License </t>
  </si>
  <si>
    <t>IVR Interface Server License</t>
  </si>
  <si>
    <t>IVR Interface Channel License(multi channel)</t>
  </si>
  <si>
    <t>Report License</t>
  </si>
  <si>
    <t>Monitoring License (for Server)</t>
  </si>
  <si>
    <t>보이는 ARS Renewal license</t>
  </si>
  <si>
    <t>AICC 솔루션운영</t>
  </si>
  <si>
    <t>ARS 운영</t>
  </si>
  <si>
    <t>WEBGW</t>
  </si>
  <si>
    <t>Xeon Gold 6134 3.2Ghz 1P 8core, 64GB, 300GB SAS 15k *2, 1G 4P Onboard NIC, 1G 2P NIC *2, 495W AC PS *2</t>
  </si>
  <si>
    <t>DellEMC</t>
  </si>
  <si>
    <t>WAS</t>
  </si>
  <si>
    <t>DB</t>
  </si>
  <si>
    <t>Xeon Gold 6134 3.2Ghz 1P 8core, 64GB, 300GB SAS 15k *2, 1G 4P Onboard NIC, 1G 2P NIC *2, 16G 2P HBA*2, 495W AC PS *2</t>
  </si>
  <si>
    <t>Usable 2TB</t>
  </si>
  <si>
    <t>공통  / OS</t>
  </si>
  <si>
    <t>RH00004</t>
  </si>
  <si>
    <t>Red Hat Enterprise Linux Server, Standard (Physical or Virtual Nodes) 1year</t>
  </si>
  <si>
    <t>Redhat</t>
  </si>
  <si>
    <t>Linux 설치 비용</t>
  </si>
  <si>
    <t>Fortinet</t>
  </si>
  <si>
    <t>TEST Server</t>
  </si>
  <si>
    <t>Xeon Silver 4208 2.1Ghz 1P 8core, 16GB, 300GB SAS 15k *2, 1G 4P Onboard NIC, 495W AC PS *2</t>
  </si>
  <si>
    <t>Mantech</t>
  </si>
  <si>
    <t>Cube-one</t>
  </si>
  <si>
    <t>펜타시큐리티</t>
  </si>
  <si>
    <t>DONGHOON Itech</t>
  </si>
  <si>
    <t>DBMS Server #1, #2 _ 보안서버 별도</t>
  </si>
  <si>
    <t>Sinsiway</t>
  </si>
  <si>
    <t>2. KTIS 견적</t>
    <phoneticPr fontId="1" type="noConversion"/>
  </si>
  <si>
    <t>3. 솔루션효과</t>
    <phoneticPr fontId="1" type="noConversion"/>
  </si>
  <si>
    <t>보이스봇</t>
    <phoneticPr fontId="1" type="noConversion"/>
  </si>
  <si>
    <t>1. 솔루션효과(오토케어)</t>
    <phoneticPr fontId="1" type="noConversion"/>
  </si>
  <si>
    <t>1. 솔루션효과(그린카)</t>
    <phoneticPr fontId="1" type="noConversion"/>
  </si>
  <si>
    <t>ASP</t>
  </si>
  <si>
    <t>ASP</t>
    <phoneticPr fontId="1" type="noConversion"/>
  </si>
  <si>
    <t>ASP</t>
    <phoneticPr fontId="1" type="noConversion"/>
  </si>
  <si>
    <t>오토케어</t>
    <phoneticPr fontId="1" type="noConversion"/>
  </si>
  <si>
    <t>ASP</t>
    <phoneticPr fontId="1" type="noConversion"/>
  </si>
  <si>
    <t>운영</t>
    <phoneticPr fontId="1" type="noConversion"/>
  </si>
  <si>
    <t>ASP</t>
    <phoneticPr fontId="1" type="noConversion"/>
  </si>
  <si>
    <t>상면</t>
  </si>
  <si>
    <t>상면</t>
    <phoneticPr fontId="1" type="noConversion"/>
  </si>
  <si>
    <t>ASP_02</t>
  </si>
  <si>
    <t>상면</t>
    <phoneticPr fontId="1" type="noConversion"/>
  </si>
  <si>
    <t>식</t>
    <phoneticPr fontId="1" type="noConversion"/>
  </si>
  <si>
    <t>APS_01</t>
  </si>
  <si>
    <t>APS_01</t>
    <phoneticPr fontId="1" type="noConversion"/>
  </si>
  <si>
    <t>ASP_02</t>
    <phoneticPr fontId="1" type="noConversion"/>
  </si>
  <si>
    <t>ASP</t>
    <phoneticPr fontId="1" type="noConversion"/>
  </si>
  <si>
    <t>상면</t>
    <phoneticPr fontId="1" type="noConversion"/>
  </si>
  <si>
    <t>ASP</t>
    <phoneticPr fontId="1" type="noConversion"/>
  </si>
  <si>
    <t>그린카</t>
    <phoneticPr fontId="1" type="noConversion"/>
  </si>
  <si>
    <t>ASP</t>
    <phoneticPr fontId="1" type="noConversion"/>
  </si>
  <si>
    <t>ASP</t>
    <phoneticPr fontId="1" type="noConversion"/>
  </si>
  <si>
    <t>ASP</t>
    <phoneticPr fontId="1" type="noConversion"/>
  </si>
  <si>
    <t>ASP</t>
    <phoneticPr fontId="1" type="noConversion"/>
  </si>
  <si>
    <t>ASP</t>
    <phoneticPr fontId="1" type="noConversion"/>
  </si>
  <si>
    <t>롯데렌탈 합계</t>
    <phoneticPr fontId="1" type="noConversion"/>
  </si>
  <si>
    <t>오토케어 합계</t>
    <phoneticPr fontId="1" type="noConversion"/>
  </si>
  <si>
    <t>그린카 합계</t>
    <phoneticPr fontId="1" type="noConversion"/>
  </si>
  <si>
    <t>롯데렌탈 합계</t>
    <phoneticPr fontId="1" type="noConversion"/>
  </si>
  <si>
    <t>그린카 합계</t>
    <phoneticPr fontId="1" type="noConversion"/>
  </si>
  <si>
    <t>인력 총계</t>
    <phoneticPr fontId="1" type="noConversion"/>
  </si>
  <si>
    <t>인건비 합계</t>
    <phoneticPr fontId="1" type="noConversion"/>
  </si>
  <si>
    <t>인력 합계</t>
    <phoneticPr fontId="1" type="noConversion"/>
  </si>
  <si>
    <t>롯데렌탈</t>
    <phoneticPr fontId="1" type="noConversion"/>
  </si>
  <si>
    <t>롯데렌탈</t>
    <phoneticPr fontId="1" type="noConversion"/>
  </si>
  <si>
    <t>인건비 합계</t>
    <phoneticPr fontId="1" type="noConversion"/>
  </si>
  <si>
    <t>합계</t>
    <phoneticPr fontId="1" type="noConversion"/>
  </si>
  <si>
    <t>솔루션</t>
    <phoneticPr fontId="1" type="noConversion"/>
  </si>
  <si>
    <t>오토케어</t>
    <phoneticPr fontId="1" type="noConversion"/>
  </si>
  <si>
    <t>상담사</t>
    <phoneticPr fontId="1" type="noConversion"/>
  </si>
  <si>
    <t>Y1</t>
    <phoneticPr fontId="1" type="noConversion"/>
  </si>
  <si>
    <t>BPR</t>
    <phoneticPr fontId="1" type="noConversion"/>
  </si>
  <si>
    <t>1. 솔루션효과(롯데렌탈)</t>
    <phoneticPr fontId="1" type="noConversion"/>
  </si>
  <si>
    <t>솔루션</t>
    <phoneticPr fontId="1" type="noConversion"/>
  </si>
  <si>
    <t>합계</t>
    <phoneticPr fontId="1" type="noConversion"/>
  </si>
  <si>
    <t>Y1</t>
    <phoneticPr fontId="1" type="noConversion"/>
  </si>
  <si>
    <t>보이는ARS</t>
    <phoneticPr fontId="1" type="noConversion"/>
  </si>
  <si>
    <t>BPR</t>
    <phoneticPr fontId="1" type="noConversion"/>
  </si>
  <si>
    <t>보이스봇</t>
    <phoneticPr fontId="1" type="noConversion"/>
  </si>
  <si>
    <t>2. 절감액(상담원 월 급여대상)</t>
    <phoneticPr fontId="1" type="noConversion"/>
  </si>
  <si>
    <t>Y1</t>
    <phoneticPr fontId="1" type="noConversion"/>
  </si>
  <si>
    <t>롯데렌탈</t>
    <phoneticPr fontId="1" type="noConversion"/>
  </si>
  <si>
    <t>3 절감인원</t>
    <phoneticPr fontId="1" type="noConversion"/>
  </si>
  <si>
    <t>고객사</t>
    <phoneticPr fontId="1" type="noConversion"/>
  </si>
  <si>
    <t>구분</t>
    <phoneticPr fontId="1" type="noConversion"/>
  </si>
  <si>
    <t>인력유형</t>
    <phoneticPr fontId="1" type="noConversion"/>
  </si>
  <si>
    <t>그린카</t>
    <phoneticPr fontId="1" type="noConversion"/>
  </si>
  <si>
    <t>컨설팅(BPR)</t>
  </si>
  <si>
    <t>보이스봇</t>
  </si>
  <si>
    <t>보이스봇</t>
    <phoneticPr fontId="1" type="noConversion"/>
  </si>
  <si>
    <t>롯데렌탈</t>
    <phoneticPr fontId="1" type="noConversion"/>
  </si>
  <si>
    <t>렌탈비</t>
  </si>
  <si>
    <t xml:space="preserve">노트북(구축인력 1명 X 10개월) </t>
  </si>
  <si>
    <t>구축 보고회(착수, 중간, 완료)</t>
  </si>
  <si>
    <t>구축 완료 후 고객담당자 대상(완료 전 2회)</t>
  </si>
  <si>
    <t>구축기간 중 소요비용</t>
  </si>
  <si>
    <t>노트북(BPO인력 1명 * 120개월)</t>
  </si>
  <si>
    <t>BPO 보고회(연 2회 + 운영종료보고 = 총 20회,)</t>
  </si>
  <si>
    <t>운영기간 중 솔루션 교육비(연 1회)</t>
  </si>
  <si>
    <t>BPO 인쇄비</t>
  </si>
  <si>
    <t>주 2회</t>
  </si>
  <si>
    <t>오토케어</t>
    <phoneticPr fontId="1" type="noConversion"/>
  </si>
  <si>
    <t>오토케어</t>
    <phoneticPr fontId="1" type="noConversion"/>
  </si>
  <si>
    <t>그린카</t>
    <phoneticPr fontId="1" type="noConversion"/>
  </si>
  <si>
    <t>식</t>
    <phoneticPr fontId="1" type="noConversion"/>
  </si>
  <si>
    <t>식</t>
    <phoneticPr fontId="1" type="noConversion"/>
  </si>
  <si>
    <t>식</t>
    <phoneticPr fontId="1" type="noConversion"/>
  </si>
  <si>
    <t>C.Cost</t>
    <phoneticPr fontId="1" type="noConversion"/>
  </si>
  <si>
    <t>롯데렌탈</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</si>
</sst>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 #,##0_-;_-* &quot;-&quot;_-;_-@_-"/>
    <numFmt numFmtId="43" formatCode="_-* #,##0.00_-;\-* #,##0.00_-;_-* &quot;-&quot;??_-;_-@_-"/>
    <numFmt numFmtId="176" formatCode="#,##0_);[Red]\(#,##0\)"/>
    <numFmt numFmtId="177" formatCode="#,##0.0_);[Red]\(#,##0.0\)"/>
    <numFmt numFmtId="178" formatCode="#,##0.0"/>
    <numFmt numFmtId="179" formatCode="0.0%"/>
    <numFmt numFmtId="180" formatCode="_-* #,##0_-;\-* #,##0_-;_-* &quot;-&quot;??_-;_-@_-"/>
    <numFmt numFmtId="181" formatCode="_-* #,##0.00_-;\-* #,##0.00_-;_-* &quot;-&quot;_-;_-@_-"/>
    <numFmt numFmtId="182" formatCode="#,##0_ "/>
    <numFmt numFmtId="183" formatCode="0_);[Red]\(0\)"/>
    <numFmt numFmtId="184" formatCode="_-* #,##0.000_-;\-* #,##0.000_-;_-* &quot;-&quot;_-;_-@_-"/>
    <numFmt numFmtId="185" formatCode="0_ "/>
    <numFmt numFmtId="186" formatCode="0.0000"/>
    <numFmt numFmtId="187" formatCode="#,##0.000"/>
  </numFmts>
  <fonts count="71">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sz val="11"/>
      <color theme="1"/>
      <name val="맑은 고딕"/>
      <family val="2"/>
      <charset val="129"/>
      <scheme val="minor"/>
    </font>
    <font>
      <b/>
      <sz val="10"/>
      <name val="맑은 고딕"/>
      <family val="3"/>
      <charset val="129"/>
      <scheme val="minor"/>
    </font>
    <font>
      <sz val="11"/>
      <name val="맑은 고딕"/>
      <family val="3"/>
      <charset val="129"/>
      <scheme val="minor"/>
    </font>
    <font>
      <sz val="11"/>
      <color theme="1"/>
      <name val="맑은 고딕"/>
      <family val="3"/>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b/>
      <sz val="11"/>
      <color theme="1"/>
      <name val="맑은 고딕"/>
      <family val="3"/>
      <charset val="129"/>
      <scheme val="minor"/>
    </font>
    <font>
      <sz val="9"/>
      <color rgb="FFFF0000"/>
      <name val="맑은 고딕"/>
      <family val="2"/>
      <charset val="129"/>
      <scheme val="minor"/>
    </font>
    <font>
      <sz val="10"/>
      <color theme="1"/>
      <name val="맑은 고딕"/>
      <family val="2"/>
      <charset val="129"/>
      <scheme val="minor"/>
    </font>
    <font>
      <b/>
      <sz val="22"/>
      <color theme="1"/>
      <name val="맑은 고딕"/>
      <family val="3"/>
      <charset val="129"/>
      <scheme val="minor"/>
    </font>
    <font>
      <sz val="9"/>
      <color theme="0" tint="-0.14999847407452621"/>
      <name val="맑은 고딕"/>
      <family val="3"/>
      <charset val="129"/>
      <scheme val="minor"/>
    </font>
    <font>
      <b/>
      <sz val="24"/>
      <color theme="1"/>
      <name val="맑은 고딕"/>
      <family val="3"/>
      <charset val="129"/>
      <scheme val="minor"/>
    </font>
    <font>
      <b/>
      <sz val="20"/>
      <color theme="1"/>
      <name val="맑은 고딕"/>
      <family val="3"/>
      <charset val="129"/>
      <scheme val="minor"/>
    </font>
    <font>
      <b/>
      <sz val="14"/>
      <color rgb="FFC00000"/>
      <name val="맑은 고딕"/>
      <family val="3"/>
      <charset val="129"/>
      <scheme val="minor"/>
    </font>
    <font>
      <u/>
      <sz val="11"/>
      <color theme="10"/>
      <name val="맑은 고딕"/>
      <family val="2"/>
      <charset val="129"/>
      <scheme val="minor"/>
    </font>
    <font>
      <u/>
      <sz val="11"/>
      <color theme="0"/>
      <name val="맑은 고딕"/>
      <family val="2"/>
      <charset val="129"/>
      <scheme val="minor"/>
    </font>
    <font>
      <b/>
      <sz val="14"/>
      <color theme="1"/>
      <name val="맑은 고딕"/>
      <family val="3"/>
      <charset val="129"/>
      <scheme val="minor"/>
    </font>
    <font>
      <b/>
      <sz val="9"/>
      <color rgb="FFFF0000"/>
      <name val="맑은 고딕"/>
      <family val="3"/>
      <charset val="129"/>
      <scheme val="minor"/>
    </font>
    <font>
      <sz val="9"/>
      <color rgb="FFFF0000"/>
      <name val="맑은 고딕"/>
      <family val="3"/>
      <charset val="129"/>
      <scheme val="minor"/>
    </font>
    <font>
      <sz val="11"/>
      <color theme="0"/>
      <name val="맑은 고딕"/>
      <family val="3"/>
      <charset val="129"/>
      <scheme val="minor"/>
    </font>
    <font>
      <b/>
      <sz val="14"/>
      <name val="맑은 고딕"/>
      <family val="3"/>
      <charset val="129"/>
      <scheme val="minor"/>
    </font>
    <font>
      <sz val="14"/>
      <color theme="1"/>
      <name val="맑은 고딕"/>
      <family val="3"/>
      <charset val="129"/>
      <scheme val="minor"/>
    </font>
    <font>
      <b/>
      <sz val="11"/>
      <color rgb="FFFF0000"/>
      <name val="맑은 고딕"/>
      <family val="3"/>
      <charset val="129"/>
      <scheme val="minor"/>
    </font>
    <font>
      <b/>
      <sz val="11"/>
      <color theme="0"/>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9"/>
      <color indexed="81"/>
      <name val="돋움"/>
      <family val="3"/>
      <charset val="129"/>
    </font>
    <font>
      <b/>
      <sz val="16"/>
      <color theme="1"/>
      <name val="맑은 고딕"/>
      <family val="3"/>
      <charset val="129"/>
      <scheme val="minor"/>
    </font>
    <font>
      <b/>
      <u/>
      <sz val="11"/>
      <color theme="10"/>
      <name val="맑은 고딕"/>
      <family val="3"/>
      <charset val="129"/>
      <scheme val="minor"/>
    </font>
    <font>
      <sz val="10"/>
      <name val="맑은 고딕"/>
      <family val="3"/>
      <charset val="129"/>
      <scheme val="minor"/>
    </font>
    <font>
      <b/>
      <sz val="16"/>
      <name val="맑은 고딕"/>
      <family val="3"/>
      <charset val="129"/>
      <scheme val="minor"/>
    </font>
    <font>
      <sz val="8"/>
      <name val="돋움"/>
      <family val="3"/>
      <charset val="129"/>
    </font>
    <font>
      <sz val="18"/>
      <name val="맑은 고딕"/>
      <family val="3"/>
      <charset val="129"/>
      <scheme val="minor"/>
    </font>
    <font>
      <sz val="11"/>
      <color rgb="FFFF0000"/>
      <name val="맑은 고딕"/>
      <family val="3"/>
      <charset val="129"/>
      <scheme val="minor"/>
    </font>
    <font>
      <sz val="18"/>
      <color rgb="FFFF0000"/>
      <name val="맑은 고딕"/>
      <family val="3"/>
      <charset val="129"/>
      <scheme val="minor"/>
    </font>
    <font>
      <sz val="14"/>
      <name val="맑은 고딕"/>
      <family val="3"/>
      <charset val="129"/>
      <scheme val="minor"/>
    </font>
    <font>
      <sz val="12"/>
      <name val="맑은 고딕"/>
      <family val="3"/>
      <charset val="129"/>
      <scheme val="minor"/>
    </font>
    <font>
      <b/>
      <sz val="11"/>
      <name val="맑은 고딕"/>
      <family val="3"/>
      <charset val="129"/>
      <scheme val="minor"/>
    </font>
    <font>
      <sz val="11"/>
      <name val="돋움"/>
      <family val="3"/>
      <charset val="129"/>
    </font>
    <font>
      <sz val="10"/>
      <color indexed="10"/>
      <name val="맑은 고딕"/>
      <family val="3"/>
      <charset val="129"/>
    </font>
    <font>
      <sz val="10"/>
      <name val="맑은 고딕"/>
      <family val="3"/>
      <charset val="129"/>
    </font>
    <font>
      <sz val="10"/>
      <color rgb="FFFF0000"/>
      <name val="맑은 고딕"/>
      <family val="3"/>
      <charset val="129"/>
      <scheme val="minor"/>
    </font>
    <font>
      <b/>
      <i/>
      <sz val="10"/>
      <name val="맑은 고딕"/>
      <family val="3"/>
      <charset val="129"/>
      <scheme val="minor"/>
    </font>
    <font>
      <b/>
      <i/>
      <sz val="10"/>
      <color rgb="FFFF0000"/>
      <name val="맑은 고딕"/>
      <family val="3"/>
      <charset val="129"/>
      <scheme val="minor"/>
    </font>
    <font>
      <b/>
      <sz val="12"/>
      <name val="맑은 고딕"/>
      <family val="3"/>
      <charset val="129"/>
      <scheme val="minor"/>
    </font>
    <font>
      <sz val="10"/>
      <name val="Helv"/>
      <family val="2"/>
    </font>
    <font>
      <b/>
      <sz val="11"/>
      <color indexed="10"/>
      <name val="맑은 고딕"/>
      <family val="3"/>
      <charset val="129"/>
      <scheme val="minor"/>
    </font>
    <font>
      <b/>
      <sz val="16"/>
      <name val="맑은 고딕"/>
      <family val="3"/>
      <charset val="129"/>
    </font>
    <font>
      <b/>
      <sz val="12"/>
      <name val="맑은 고딕"/>
      <family val="3"/>
      <charset val="129"/>
    </font>
    <font>
      <b/>
      <sz val="14"/>
      <name val="맑은 고딕"/>
      <family val="3"/>
      <charset val="129"/>
    </font>
    <font>
      <sz val="11"/>
      <color indexed="10"/>
      <name val="맑은 고딕"/>
      <family val="3"/>
      <charset val="129"/>
      <scheme val="minor"/>
    </font>
    <font>
      <b/>
      <sz val="12"/>
      <color theme="1"/>
      <name val="맑은 고딕"/>
      <family val="3"/>
      <charset val="129"/>
      <scheme val="minor"/>
    </font>
    <font>
      <i/>
      <sz val="11"/>
      <color rgb="FFFF0000"/>
      <name val="맑은 고딕"/>
      <family val="3"/>
      <charset val="129"/>
      <scheme val="minor"/>
    </font>
    <font>
      <b/>
      <sz val="10"/>
      <color theme="1"/>
      <name val="맑은 고딕"/>
      <family val="3"/>
      <charset val="129"/>
      <scheme val="minor"/>
    </font>
    <font>
      <u/>
      <sz val="10"/>
      <color theme="0"/>
      <name val="맑은 고딕"/>
      <family val="2"/>
      <charset val="129"/>
      <scheme val="minor"/>
    </font>
    <font>
      <sz val="10"/>
      <color rgb="FF000000"/>
      <name val="맑은 고딕"/>
      <family val="3"/>
      <charset val="129"/>
    </font>
    <font>
      <b/>
      <sz val="10"/>
      <color rgb="FFFF0000"/>
      <name val="맑은 고딕"/>
      <family val="3"/>
      <charset val="129"/>
      <scheme val="minor"/>
    </font>
    <font>
      <sz val="10"/>
      <color theme="0"/>
      <name val="맑은 고딕"/>
      <family val="3"/>
      <charset val="129"/>
      <scheme val="minor"/>
    </font>
    <font>
      <b/>
      <sz val="10"/>
      <color theme="0"/>
      <name val="맑은 고딕"/>
      <family val="3"/>
      <charset val="129"/>
      <scheme val="minor"/>
    </font>
    <font>
      <sz val="10"/>
      <color rgb="FF201F1E"/>
      <name val="맑은 고딕"/>
      <family val="3"/>
      <charset val="129"/>
      <scheme val="minor"/>
    </font>
    <font>
      <sz val="10"/>
      <color rgb="FF000000"/>
      <name val="맑은 고딕"/>
      <family val="3"/>
      <charset val="129"/>
      <scheme val="minor"/>
    </font>
    <font>
      <sz val="10"/>
      <color rgb="FF333300"/>
      <name val="맑은 고딕"/>
      <family val="3"/>
      <charset val="129"/>
      <scheme val="minor"/>
    </font>
    <font>
      <u/>
      <sz val="10"/>
      <color rgb="FF000000"/>
      <name val="맑은 고딕"/>
      <family val="3"/>
      <charset val="129"/>
      <scheme val="minor"/>
    </font>
    <font>
      <sz val="11"/>
      <color rgb="FF000000"/>
      <name val="맑은 고딕"/>
      <family val="3"/>
      <charset val="129"/>
    </font>
    <font>
      <b/>
      <sz val="12"/>
      <color rgb="FFFF0000"/>
      <name val="맑은 고딕"/>
      <family val="3"/>
      <charset val="129"/>
      <scheme val="minor"/>
    </font>
    <font>
      <b/>
      <sz val="10"/>
      <color rgb="FFFF0000"/>
      <name val="맑은 고딕"/>
      <family val="2"/>
      <charset val="129"/>
      <scheme val="minor"/>
    </font>
  </fonts>
  <fills count="43">
    <fill>
      <patternFill patternType="none"/>
    </fill>
    <fill>
      <patternFill patternType="gray125"/>
    </fill>
    <fill>
      <patternFill patternType="solid">
        <fgColor theme="2" tint="-9.9978637043366805E-2"/>
        <bgColor indexed="64"/>
      </patternFill>
    </fill>
    <fill>
      <patternFill patternType="solid">
        <fgColor rgb="FFFFFF00"/>
        <bgColor indexed="64"/>
      </patternFill>
    </fill>
    <fill>
      <patternFill patternType="solid">
        <fgColor indexed="26"/>
        <bgColor indexed="64"/>
      </patternFill>
    </fill>
    <fill>
      <patternFill patternType="solid">
        <fgColor theme="9" tint="0.59999389629810485"/>
        <bgColor indexed="64"/>
      </patternFill>
    </fill>
    <fill>
      <patternFill patternType="solid">
        <fgColor indexed="27"/>
        <bgColor indexed="64"/>
      </patternFill>
    </fill>
    <fill>
      <patternFill patternType="solid">
        <fgColor theme="1" tint="0.3499862666707357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2" tint="-0.749992370372631"/>
        <bgColor indexed="64"/>
      </patternFill>
    </fill>
    <fill>
      <patternFill patternType="solid">
        <fgColor theme="5" tint="0.39997558519241921"/>
        <bgColor indexed="64"/>
      </patternFill>
    </fill>
    <fill>
      <patternFill patternType="solid">
        <fgColor rgb="FFFF000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rgb="FFFFCCCC"/>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indexed="55"/>
        <bgColor indexed="64"/>
      </patternFill>
    </fill>
    <fill>
      <patternFill patternType="solid">
        <fgColor indexed="22"/>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rgb="FFC00000"/>
        <bgColor indexed="64"/>
      </patternFill>
    </fill>
    <fill>
      <patternFill patternType="solid">
        <fgColor rgb="FFFFFFFF"/>
        <bgColor indexed="64"/>
      </patternFill>
    </fill>
    <fill>
      <patternFill patternType="solid">
        <fgColor rgb="FFE4E4E4"/>
        <bgColor indexed="64"/>
      </patternFill>
    </fill>
    <fill>
      <patternFill patternType="solid">
        <fgColor rgb="FFFDE9D9"/>
        <bgColor indexed="64"/>
      </patternFill>
    </fill>
    <fill>
      <patternFill patternType="solid">
        <fgColor rgb="FFD9D9D9"/>
        <bgColor indexed="64"/>
      </patternFill>
    </fill>
    <fill>
      <patternFill patternType="solid">
        <fgColor rgb="FFFEF3D8"/>
        <bgColor indexed="64"/>
      </patternFill>
    </fill>
    <fill>
      <patternFill patternType="solid">
        <fgColor rgb="FFFCD5B4"/>
        <bgColor indexed="64"/>
      </patternFill>
    </fill>
    <fill>
      <patternFill patternType="solid">
        <fgColor rgb="FFFFCC99"/>
        <bgColor indexed="64"/>
      </patternFill>
    </fill>
    <fill>
      <patternFill patternType="solid">
        <fgColor theme="0" tint="-0.499984740745262"/>
        <bgColor indexed="64"/>
      </patternFill>
    </fill>
    <fill>
      <patternFill patternType="solid">
        <fgColor theme="4" tint="0.79998168889431442"/>
        <bgColor theme="4" tint="0.79998168889431442"/>
      </patternFill>
    </fill>
  </fills>
  <borders count="108">
    <border>
      <left/>
      <right/>
      <top/>
      <bottom/>
      <diagonal/>
    </border>
    <border>
      <left style="dotted">
        <color auto="1"/>
      </left>
      <right style="medium">
        <color indexed="64"/>
      </right>
      <top style="medium">
        <color indexed="64"/>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auto="1"/>
      </left>
      <right style="thin">
        <color auto="1"/>
      </right>
      <top style="thin">
        <color auto="1"/>
      </top>
      <bottom style="thin">
        <color auto="1"/>
      </bottom>
      <diagonal/>
    </border>
    <border>
      <left style="dotted">
        <color indexed="64"/>
      </left>
      <right style="medium">
        <color indexed="64"/>
      </right>
      <top style="dotted">
        <color auto="1"/>
      </top>
      <bottom style="medium">
        <color indexed="64"/>
      </bottom>
      <diagonal/>
    </border>
    <border>
      <left style="dotted">
        <color auto="1"/>
      </left>
      <right style="medium">
        <color indexed="64"/>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style="dotted">
        <color indexed="64"/>
      </left>
      <right style="dotted">
        <color auto="1"/>
      </right>
      <top style="medium">
        <color indexed="64"/>
      </top>
      <bottom style="thin">
        <color indexed="64"/>
      </bottom>
      <diagonal/>
    </border>
    <border>
      <left style="dotted">
        <color indexed="64"/>
      </left>
      <right style="medium">
        <color indexed="64"/>
      </right>
      <top/>
      <bottom style="dotted">
        <color indexed="64"/>
      </bottom>
      <diagonal/>
    </border>
    <border>
      <left/>
      <right/>
      <top style="thin">
        <color auto="1"/>
      </top>
      <bottom style="thin">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dotted">
        <color auto="1"/>
      </right>
      <top style="medium">
        <color indexed="64"/>
      </top>
      <bottom style="thin">
        <color indexed="64"/>
      </bottom>
      <diagonal/>
    </border>
    <border>
      <left style="dotted">
        <color indexed="64"/>
      </left>
      <right style="dotted">
        <color auto="1"/>
      </right>
      <top style="medium">
        <color indexed="64"/>
      </top>
      <bottom style="thin">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dotted">
        <color indexed="64"/>
      </bottom>
      <diagonal/>
    </border>
    <border>
      <left style="dotted">
        <color indexed="64"/>
      </left>
      <right style="dotted">
        <color auto="1"/>
      </right>
      <top/>
      <bottom style="dotted">
        <color indexed="64"/>
      </bottom>
      <diagonal/>
    </border>
    <border>
      <left style="medium">
        <color indexed="64"/>
      </left>
      <right style="dotted">
        <color auto="1"/>
      </right>
      <top/>
      <bottom style="dotted">
        <color indexed="64"/>
      </bottom>
      <diagonal/>
    </border>
    <border>
      <left style="medium">
        <color indexed="64"/>
      </left>
      <right style="dotted">
        <color auto="1"/>
      </right>
      <top style="dotted">
        <color indexed="64"/>
      </top>
      <bottom style="dotted">
        <color indexed="64"/>
      </bottom>
      <diagonal/>
    </border>
    <border>
      <left/>
      <right/>
      <top style="medium">
        <color indexed="64"/>
      </top>
      <bottom/>
      <diagonal/>
    </border>
    <border>
      <left/>
      <right/>
      <top/>
      <bottom style="double">
        <color indexed="64"/>
      </bottom>
      <diagonal/>
    </border>
    <border>
      <left/>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top style="medium">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diagonal/>
    </border>
    <border>
      <left/>
      <right style="thin">
        <color theme="0" tint="-0.499984740745262"/>
      </right>
      <top/>
      <bottom/>
      <diagonal/>
    </border>
    <border>
      <left/>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medium">
        <color theme="0" tint="-0.499984740745262"/>
      </bottom>
      <diagonal/>
    </border>
    <border>
      <left/>
      <right/>
      <top/>
      <bottom style="medium">
        <color theme="0" tint="-0.499984740745262"/>
      </bottom>
      <diagonal/>
    </border>
    <border>
      <left style="thin">
        <color theme="0" tint="-0.499984740745262"/>
      </left>
      <right/>
      <top/>
      <bottom style="medium">
        <color theme="0" tint="-0.499984740745262"/>
      </bottom>
      <diagonal/>
    </border>
    <border>
      <left/>
      <right/>
      <top style="medium">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theme="0" tint="-0.499984740745262"/>
      </left>
      <right style="thin">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double">
        <color rgb="FFFF0000"/>
      </left>
      <right style="double">
        <color rgb="FFFF0000"/>
      </right>
      <top style="double">
        <color rgb="FFFF0000"/>
      </top>
      <bottom style="double">
        <color rgb="FFFF0000"/>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dotted">
        <color indexed="64"/>
      </left>
      <right style="dotted">
        <color auto="1"/>
      </right>
      <top/>
      <bottom/>
      <diagonal/>
    </border>
    <border>
      <left style="dotted">
        <color indexed="64"/>
      </left>
      <right style="dotted">
        <color auto="1"/>
      </right>
      <top style="medium">
        <color indexed="64"/>
      </top>
      <bottom style="dotted">
        <color auto="1"/>
      </bottom>
      <diagonal/>
    </border>
    <border>
      <left style="medium">
        <color indexed="64"/>
      </left>
      <right style="thin">
        <color indexed="64"/>
      </right>
      <top/>
      <bottom style="medium">
        <color indexed="64"/>
      </bottom>
      <diagonal/>
    </border>
    <border>
      <left/>
      <right/>
      <top/>
      <bottom style="thin">
        <color auto="1"/>
      </bottom>
      <diagonal/>
    </border>
    <border>
      <left style="medium">
        <color indexed="64"/>
      </left>
      <right/>
      <top style="thin">
        <color theme="4" tint="0.39997558519241921"/>
      </top>
      <bottom/>
      <diagonal/>
    </border>
    <border>
      <left/>
      <right/>
      <top style="thin">
        <color theme="4" tint="0.39997558519241921"/>
      </top>
      <bottom/>
      <diagonal/>
    </border>
    <border>
      <left/>
      <right style="medium">
        <color indexed="64"/>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dotted">
        <color indexed="64"/>
      </left>
      <right style="dotted">
        <color auto="1"/>
      </right>
      <top style="dotted">
        <color indexed="64"/>
      </top>
      <bottom style="dotted">
        <color indexed="64"/>
      </bottom>
      <diagonal/>
    </border>
    <border>
      <left style="medium">
        <color indexed="64"/>
      </left>
      <right style="dotted">
        <color auto="1"/>
      </right>
      <top style="medium">
        <color indexed="64"/>
      </top>
      <bottom style="dotted">
        <color indexed="64"/>
      </bottom>
      <diagonal/>
    </border>
    <border>
      <left style="dotted">
        <color indexed="64"/>
      </left>
      <right style="dotted">
        <color auto="1"/>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auto="1"/>
      </right>
      <top style="dotted">
        <color indexed="64"/>
      </top>
      <bottom style="dotted">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8">
    <xf numFmtId="0" fontId="0" fillId="0" borderId="0">
      <alignment vertical="center"/>
    </xf>
    <xf numFmtId="41" fontId="3" fillId="0" borderId="0" applyFont="0" applyFill="0" applyBorder="0" applyAlignment="0" applyProtection="0">
      <alignment vertical="center"/>
    </xf>
    <xf numFmtId="9" fontId="3" fillId="0" borderId="0" applyFont="0" applyFill="0" applyBorder="0" applyAlignment="0" applyProtection="0">
      <alignment vertical="center"/>
    </xf>
    <xf numFmtId="0" fontId="18" fillId="0" borderId="0" applyNumberFormat="0" applyFill="0" applyBorder="0" applyAlignment="0" applyProtection="0">
      <alignment vertical="center"/>
    </xf>
    <xf numFmtId="41" fontId="43" fillId="0" borderId="0" applyFont="0" applyFill="0" applyBorder="0" applyAlignment="0" applyProtection="0">
      <alignment vertical="center"/>
    </xf>
    <xf numFmtId="0" fontId="50" fillId="0" borderId="0"/>
    <xf numFmtId="0" fontId="43" fillId="0" borderId="0">
      <alignment vertical="center"/>
    </xf>
    <xf numFmtId="0" fontId="43" fillId="0" borderId="0">
      <alignment vertical="center"/>
    </xf>
  </cellStyleXfs>
  <cellXfs count="760">
    <xf numFmtId="0" fontId="0" fillId="0" borderId="0" xfId="0">
      <alignment vertical="center"/>
    </xf>
    <xf numFmtId="0" fontId="5" fillId="0" borderId="0" xfId="0" applyFont="1">
      <alignment vertical="center"/>
    </xf>
    <xf numFmtId="0" fontId="7" fillId="0" borderId="0" xfId="0" applyFont="1">
      <alignment vertical="center"/>
    </xf>
    <xf numFmtId="0" fontId="7" fillId="0" borderId="0" xfId="0" applyFont="1" applyAlignment="1">
      <alignment horizontal="center" vertical="center"/>
    </xf>
    <xf numFmtId="41" fontId="0" fillId="0" borderId="0" xfId="1" applyFont="1">
      <alignment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lignment vertical="center"/>
    </xf>
    <xf numFmtId="0" fontId="2" fillId="0" borderId="2" xfId="0" quotePrefix="1" applyFont="1" applyBorder="1" applyAlignment="1">
      <alignment horizontal="left" vertical="center"/>
    </xf>
    <xf numFmtId="0" fontId="2" fillId="8" borderId="2" xfId="0" applyFont="1" applyFill="1" applyBorder="1">
      <alignment vertical="center"/>
    </xf>
    <xf numFmtId="176" fontId="2" fillId="0" borderId="2" xfId="0" applyNumberFormat="1" applyFont="1" applyBorder="1" applyAlignment="1">
      <alignment vertical="center" shrinkToFit="1"/>
    </xf>
    <xf numFmtId="41" fontId="7" fillId="0" borderId="4" xfId="1" applyFont="1" applyBorder="1">
      <alignment vertical="center"/>
    </xf>
    <xf numFmtId="9" fontId="7" fillId="0" borderId="4" xfId="0" applyNumberFormat="1" applyFont="1" applyBorder="1">
      <alignment vertical="center"/>
    </xf>
    <xf numFmtId="43" fontId="7" fillId="0" borderId="4" xfId="0" applyNumberFormat="1" applyFont="1" applyBorder="1">
      <alignment vertical="center"/>
    </xf>
    <xf numFmtId="0" fontId="7" fillId="0" borderId="4" xfId="0" applyFont="1" applyBorder="1">
      <alignment vertical="center"/>
    </xf>
    <xf numFmtId="0" fontId="7" fillId="5" borderId="4" xfId="0" applyFont="1" applyFill="1" applyBorder="1" applyAlignment="1">
      <alignment horizontal="center" vertical="center"/>
    </xf>
    <xf numFmtId="43" fontId="7" fillId="0" borderId="0" xfId="0" applyNumberFormat="1" applyFont="1" applyAlignment="1">
      <alignment horizontal="center" vertical="center"/>
    </xf>
    <xf numFmtId="179" fontId="7" fillId="0" borderId="4" xfId="2" applyNumberFormat="1" applyFont="1" applyBorder="1">
      <alignment vertical="center"/>
    </xf>
    <xf numFmtId="180" fontId="7" fillId="0" borderId="4" xfId="0" applyNumberFormat="1" applyFont="1" applyBorder="1">
      <alignment vertical="center"/>
    </xf>
    <xf numFmtId="41" fontId="7" fillId="0" borderId="0" xfId="1" applyFont="1" applyBorder="1">
      <alignment vertical="center"/>
    </xf>
    <xf numFmtId="9" fontId="7" fillId="0" borderId="0" xfId="0" applyNumberFormat="1" applyFont="1" applyBorder="1">
      <alignment vertical="center"/>
    </xf>
    <xf numFmtId="43" fontId="7" fillId="0" borderId="0" xfId="0" applyNumberFormat="1" applyFont="1" applyBorder="1">
      <alignment vertical="center"/>
    </xf>
    <xf numFmtId="179" fontId="7" fillId="0" borderId="0" xfId="2" applyNumberFormat="1" applyFont="1" applyBorder="1">
      <alignment vertical="center"/>
    </xf>
    <xf numFmtId="0" fontId="7" fillId="0" borderId="0" xfId="0" applyFont="1" applyBorder="1">
      <alignment vertical="center"/>
    </xf>
    <xf numFmtId="179" fontId="7" fillId="3" borderId="4" xfId="2" applyNumberFormat="1" applyFont="1" applyFill="1" applyBorder="1">
      <alignment vertical="center"/>
    </xf>
    <xf numFmtId="10" fontId="7" fillId="3" borderId="4" xfId="0" applyNumberFormat="1" applyFont="1" applyFill="1" applyBorder="1">
      <alignment vertical="center"/>
    </xf>
    <xf numFmtId="3" fontId="0" fillId="0" borderId="0" xfId="0" applyNumberFormat="1">
      <alignment vertical="center"/>
    </xf>
    <xf numFmtId="179" fontId="7" fillId="0" borderId="0" xfId="2" applyNumberFormat="1" applyFont="1">
      <alignment vertical="center"/>
    </xf>
    <xf numFmtId="0" fontId="4" fillId="5" borderId="1" xfId="0" applyFont="1" applyFill="1" applyBorder="1" applyAlignment="1">
      <alignment horizontal="center" vertical="center"/>
    </xf>
    <xf numFmtId="0" fontId="9" fillId="9" borderId="4" xfId="0" applyFont="1" applyFill="1" applyBorder="1" applyAlignment="1">
      <alignment horizontal="center" vertical="center"/>
    </xf>
    <xf numFmtId="3" fontId="0" fillId="0" borderId="5" xfId="0" applyNumberFormat="1" applyBorder="1">
      <alignment vertical="center"/>
    </xf>
    <xf numFmtId="3" fontId="0" fillId="0" borderId="9" xfId="0" applyNumberFormat="1" applyBorder="1">
      <alignment vertical="center"/>
    </xf>
    <xf numFmtId="3" fontId="0" fillId="0" borderId="6" xfId="0" applyNumberFormat="1" applyBorder="1">
      <alignment vertical="center"/>
    </xf>
    <xf numFmtId="3" fontId="4" fillId="6" borderId="7" xfId="1" applyNumberFormat="1" applyFont="1" applyFill="1" applyBorder="1" applyAlignment="1">
      <alignment horizontal="center" vertical="center"/>
    </xf>
    <xf numFmtId="3" fontId="4" fillId="2" borderId="12" xfId="1" applyNumberFormat="1" applyFont="1" applyFill="1" applyBorder="1" applyAlignment="1">
      <alignment horizontal="center" vertical="center"/>
    </xf>
    <xf numFmtId="3" fontId="4" fillId="5" borderId="12" xfId="1" applyNumberFormat="1" applyFont="1" applyFill="1" applyBorder="1" applyAlignment="1">
      <alignment horizontal="center" vertical="center"/>
    </xf>
    <xf numFmtId="3" fontId="4" fillId="5" borderId="13" xfId="1" applyNumberFormat="1" applyFont="1" applyFill="1" applyBorder="1" applyAlignment="1">
      <alignment horizontal="center" vertical="center"/>
    </xf>
    <xf numFmtId="179" fontId="7" fillId="0" borderId="4" xfId="2" applyNumberFormat="1" applyFont="1" applyBorder="1" applyAlignment="1">
      <alignment horizontal="center" vertical="center"/>
    </xf>
    <xf numFmtId="179" fontId="7" fillId="0" borderId="4" xfId="0" applyNumberFormat="1" applyFont="1" applyBorder="1" applyAlignment="1">
      <alignment horizontal="center" vertical="center"/>
    </xf>
    <xf numFmtId="0" fontId="8" fillId="0" borderId="0" xfId="0" applyFont="1">
      <alignment vertical="center"/>
    </xf>
    <xf numFmtId="0" fontId="10" fillId="0" borderId="0" xfId="0" applyFont="1">
      <alignment vertical="center"/>
    </xf>
    <xf numFmtId="0" fontId="0" fillId="0" borderId="0" xfId="0" applyAlignment="1">
      <alignment horizontal="center" vertical="center"/>
    </xf>
    <xf numFmtId="0" fontId="0" fillId="11" borderId="0" xfId="0" applyFill="1">
      <alignment vertical="center"/>
    </xf>
    <xf numFmtId="3" fontId="2" fillId="0" borderId="9" xfId="0" applyNumberFormat="1" applyFont="1" applyBorder="1">
      <alignment vertical="center"/>
    </xf>
    <xf numFmtId="3" fontId="2" fillId="0" borderId="6" xfId="0" applyNumberFormat="1" applyFont="1" applyBorder="1">
      <alignment vertical="center"/>
    </xf>
    <xf numFmtId="3" fontId="2" fillId="0" borderId="5" xfId="0" applyNumberFormat="1" applyFont="1" applyBorder="1">
      <alignment vertical="center"/>
    </xf>
    <xf numFmtId="0" fontId="2" fillId="0" borderId="0" xfId="0" applyFont="1">
      <alignment vertical="center"/>
    </xf>
    <xf numFmtId="41" fontId="9" fillId="9" borderId="8" xfId="1" applyFont="1" applyFill="1" applyBorder="1" applyAlignment="1">
      <alignment horizontal="center" vertical="center"/>
    </xf>
    <xf numFmtId="41" fontId="9" fillId="9" borderId="1" xfId="1" applyFont="1" applyFill="1" applyBorder="1" applyAlignment="1">
      <alignment horizontal="center" vertical="center"/>
    </xf>
    <xf numFmtId="41" fontId="11" fillId="9" borderId="8" xfId="1" applyFont="1" applyFill="1" applyBorder="1" applyAlignment="1">
      <alignment horizontal="center" vertical="center"/>
    </xf>
    <xf numFmtId="0" fontId="7" fillId="0" borderId="0" xfId="0" applyFont="1" applyFill="1" applyBorder="1" applyAlignment="1">
      <alignment horizontal="centerContinuous" vertical="center"/>
    </xf>
    <xf numFmtId="41" fontId="2" fillId="0" borderId="0" xfId="0" applyNumberFormat="1" applyFont="1" applyFill="1" applyBorder="1">
      <alignment vertical="center"/>
    </xf>
    <xf numFmtId="0" fontId="0" fillId="0" borderId="0" xfId="0" applyFill="1">
      <alignment vertical="center"/>
    </xf>
    <xf numFmtId="0" fontId="7" fillId="12" borderId="0" xfId="0" applyFont="1" applyFill="1" applyBorder="1" applyAlignment="1">
      <alignment horizontal="centerContinuous" vertical="center"/>
    </xf>
    <xf numFmtId="41" fontId="2" fillId="12" borderId="0" xfId="0" applyNumberFormat="1" applyFont="1" applyFill="1" applyBorder="1">
      <alignment vertical="center"/>
    </xf>
    <xf numFmtId="0" fontId="12" fillId="0" borderId="0" xfId="0" applyFont="1">
      <alignment vertical="center"/>
    </xf>
    <xf numFmtId="0" fontId="0" fillId="0" borderId="0" xfId="0" applyBorder="1">
      <alignment vertical="center"/>
    </xf>
    <xf numFmtId="0" fontId="0" fillId="0" borderId="0" xfId="0" applyFill="1" applyBorder="1">
      <alignment vertical="center"/>
    </xf>
    <xf numFmtId="3" fontId="2" fillId="0" borderId="19" xfId="0" applyNumberFormat="1" applyFont="1" applyBorder="1">
      <alignment vertical="center"/>
    </xf>
    <xf numFmtId="0" fontId="2" fillId="0" borderId="19" xfId="0" applyFont="1" applyBorder="1">
      <alignment vertical="center"/>
    </xf>
    <xf numFmtId="3" fontId="2" fillId="0" borderId="18" xfId="0" applyNumberFormat="1" applyFont="1" applyBorder="1">
      <alignment vertical="center"/>
    </xf>
    <xf numFmtId="0" fontId="2" fillId="0" borderId="18" xfId="0" applyFont="1" applyBorder="1">
      <alignment vertical="center"/>
    </xf>
    <xf numFmtId="0" fontId="7" fillId="0" borderId="22" xfId="0" applyFont="1" applyFill="1" applyBorder="1" applyAlignment="1">
      <alignment horizontal="centerContinuous" vertical="center"/>
    </xf>
    <xf numFmtId="41" fontId="2" fillId="0" borderId="22" xfId="0" applyNumberFormat="1" applyFont="1" applyFill="1" applyBorder="1">
      <alignment vertical="center"/>
    </xf>
    <xf numFmtId="0" fontId="0" fillId="13" borderId="0" xfId="0" applyFill="1">
      <alignment vertical="center"/>
    </xf>
    <xf numFmtId="0" fontId="13" fillId="0" borderId="23" xfId="0" applyFont="1" applyBorder="1">
      <alignment vertical="center"/>
    </xf>
    <xf numFmtId="0" fontId="0" fillId="0" borderId="23" xfId="0" applyBorder="1">
      <alignment vertical="center"/>
    </xf>
    <xf numFmtId="0" fontId="16" fillId="0" borderId="0" xfId="0" applyFont="1" applyAlignment="1">
      <alignment horizontal="center" vertical="center"/>
    </xf>
    <xf numFmtId="0" fontId="17" fillId="0" borderId="0" xfId="0" applyFont="1">
      <alignment vertical="center"/>
    </xf>
    <xf numFmtId="0" fontId="19" fillId="13" borderId="0" xfId="3" applyFont="1" applyFill="1" applyAlignment="1">
      <alignment horizontal="center" vertical="center"/>
    </xf>
    <xf numFmtId="0" fontId="20" fillId="0" borderId="0" xfId="0" applyFont="1">
      <alignment vertical="center"/>
    </xf>
    <xf numFmtId="0" fontId="7" fillId="0" borderId="0" xfId="0" applyFont="1" applyAlignment="1">
      <alignment horizontal="left" vertical="center"/>
    </xf>
    <xf numFmtId="0" fontId="9" fillId="9" borderId="4" xfId="0" applyFont="1" applyFill="1" applyBorder="1" applyAlignment="1">
      <alignment horizontal="left" vertical="center"/>
    </xf>
    <xf numFmtId="0" fontId="7" fillId="0" borderId="4" xfId="0" applyFont="1" applyBorder="1" applyAlignment="1">
      <alignment horizontal="left" vertical="center"/>
    </xf>
    <xf numFmtId="0" fontId="7" fillId="5" borderId="4" xfId="0" applyFont="1" applyFill="1" applyBorder="1" applyAlignment="1">
      <alignment horizontal="left" vertical="center"/>
    </xf>
    <xf numFmtId="0" fontId="7" fillId="0" borderId="0" xfId="0" applyFont="1" applyBorder="1" applyAlignment="1">
      <alignment horizontal="left" vertical="center"/>
    </xf>
    <xf numFmtId="0" fontId="21" fillId="0" borderId="0" xfId="0" applyFont="1">
      <alignment vertical="center"/>
    </xf>
    <xf numFmtId="0" fontId="22" fillId="0" borderId="0" xfId="0" applyFont="1">
      <alignment vertical="center"/>
    </xf>
    <xf numFmtId="0" fontId="9" fillId="14" borderId="4" xfId="0" applyFont="1" applyFill="1" applyBorder="1" applyAlignment="1">
      <alignment horizontal="center" vertical="center"/>
    </xf>
    <xf numFmtId="0" fontId="20" fillId="0" borderId="23" xfId="0" applyFont="1" applyBorder="1">
      <alignment vertical="center"/>
    </xf>
    <xf numFmtId="0" fontId="25" fillId="0" borderId="0" xfId="0" applyFont="1">
      <alignment vertical="center"/>
    </xf>
    <xf numFmtId="0" fontId="25" fillId="0" borderId="0" xfId="0" applyFont="1" applyAlignment="1">
      <alignment horizontal="center" vertical="center"/>
    </xf>
    <xf numFmtId="0" fontId="2" fillId="0" borderId="2" xfId="0" applyFont="1" applyFill="1" applyBorder="1">
      <alignment vertical="center"/>
    </xf>
    <xf numFmtId="176" fontId="2" fillId="0" borderId="2" xfId="0" applyNumberFormat="1" applyFont="1" applyFill="1" applyBorder="1" applyAlignment="1">
      <alignment vertical="center" shrinkToFit="1"/>
    </xf>
    <xf numFmtId="177" fontId="6" fillId="0" borderId="2" xfId="0" quotePrefix="1" applyNumberFormat="1" applyFont="1" applyFill="1" applyBorder="1" applyAlignment="1">
      <alignment vertical="center" shrinkToFit="1"/>
    </xf>
    <xf numFmtId="177" fontId="0" fillId="0" borderId="2" xfId="0" applyNumberFormat="1" applyFill="1" applyBorder="1" applyAlignment="1">
      <alignment vertical="center" shrinkToFit="1"/>
    </xf>
    <xf numFmtId="177" fontId="2" fillId="0" borderId="2" xfId="0" applyNumberFormat="1" applyFont="1" applyFill="1" applyBorder="1" applyAlignment="1">
      <alignment vertical="center" shrinkToFit="1"/>
    </xf>
    <xf numFmtId="176" fontId="2" fillId="0" borderId="0" xfId="0" applyNumberFormat="1" applyFont="1" applyFill="1" applyBorder="1" applyAlignment="1">
      <alignment vertical="center" shrinkToFit="1"/>
    </xf>
    <xf numFmtId="0" fontId="0" fillId="0" borderId="19" xfId="0" applyFont="1" applyFill="1" applyBorder="1">
      <alignment vertical="center"/>
    </xf>
    <xf numFmtId="3" fontId="0" fillId="0" borderId="19" xfId="0" applyNumberFormat="1" applyFont="1" applyFill="1" applyBorder="1">
      <alignment vertical="center"/>
    </xf>
    <xf numFmtId="9" fontId="0" fillId="0" borderId="19" xfId="0" applyNumberFormat="1" applyFont="1" applyFill="1" applyBorder="1">
      <alignment vertical="center"/>
    </xf>
    <xf numFmtId="41" fontId="0" fillId="0" borderId="19" xfId="1" applyNumberFormat="1" applyFont="1" applyFill="1" applyBorder="1">
      <alignment vertical="center"/>
    </xf>
    <xf numFmtId="3" fontId="0" fillId="0" borderId="19" xfId="0" applyNumberFormat="1" applyBorder="1">
      <alignment vertical="center"/>
    </xf>
    <xf numFmtId="0" fontId="0" fillId="0" borderId="19" xfId="0" applyBorder="1">
      <alignment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2" borderId="15" xfId="0" applyFont="1" applyFill="1" applyBorder="1" applyAlignment="1">
      <alignment horizontal="center" vertical="center"/>
    </xf>
    <xf numFmtId="0" fontId="4" fillId="5" borderId="15" xfId="0" applyFont="1" applyFill="1" applyBorder="1" applyAlignment="1">
      <alignment horizontal="center" vertical="center"/>
    </xf>
    <xf numFmtId="0" fontId="0" fillId="0" borderId="20" xfId="0" applyFont="1" applyFill="1" applyBorder="1">
      <alignment vertical="center"/>
    </xf>
    <xf numFmtId="0" fontId="0" fillId="0" borderId="23" xfId="0" applyBorder="1" applyAlignment="1">
      <alignment horizontal="center" vertical="center"/>
    </xf>
    <xf numFmtId="0" fontId="7" fillId="0" borderId="4" xfId="0" applyFont="1" applyBorder="1" applyAlignment="1">
      <alignment horizontal="center" vertical="center"/>
    </xf>
    <xf numFmtId="0" fontId="22" fillId="0" borderId="0" xfId="0" applyFont="1" applyAlignment="1">
      <alignment horizontal="center" vertical="center"/>
    </xf>
    <xf numFmtId="0" fontId="0" fillId="3" borderId="2" xfId="0" applyFill="1" applyBorder="1" applyAlignment="1">
      <alignment horizontal="center" vertical="center" wrapText="1"/>
    </xf>
    <xf numFmtId="41" fontId="2" fillId="0" borderId="2" xfId="1" applyFont="1" applyBorder="1" applyAlignment="1">
      <alignment vertical="center" shrinkToFit="1"/>
    </xf>
    <xf numFmtId="0" fontId="2" fillId="0" borderId="2" xfId="0" quotePrefix="1" applyFont="1" applyBorder="1" applyAlignment="1">
      <alignment horizontal="center" vertical="center"/>
    </xf>
    <xf numFmtId="0" fontId="2" fillId="0" borderId="2" xfId="0" quotePrefix="1" applyFont="1" applyFill="1" applyBorder="1" applyAlignment="1">
      <alignment horizontal="center" vertical="center"/>
    </xf>
    <xf numFmtId="0" fontId="0" fillId="15" borderId="0" xfId="0" applyFill="1">
      <alignment vertical="center"/>
    </xf>
    <xf numFmtId="0" fontId="0" fillId="0" borderId="19" xfId="0" applyFont="1" applyFill="1" applyBorder="1" applyAlignment="1">
      <alignment horizontal="left" vertical="center"/>
    </xf>
    <xf numFmtId="0" fontId="0" fillId="0" borderId="0" xfId="0" quotePrefix="1" applyAlignment="1">
      <alignment horizontal="left" vertical="center"/>
    </xf>
    <xf numFmtId="176" fontId="0" fillId="0" borderId="0" xfId="0" applyNumberFormat="1">
      <alignment vertical="center"/>
    </xf>
    <xf numFmtId="176" fontId="10" fillId="0" borderId="28" xfId="0" applyNumberFormat="1" applyFont="1" applyBorder="1">
      <alignment vertical="center"/>
    </xf>
    <xf numFmtId="176" fontId="10" fillId="0" borderId="31" xfId="0" applyNumberFormat="1" applyFont="1" applyBorder="1">
      <alignment vertical="center"/>
    </xf>
    <xf numFmtId="176" fontId="0" fillId="0" borderId="31" xfId="0" applyNumberFormat="1" applyBorder="1">
      <alignment vertical="center"/>
    </xf>
    <xf numFmtId="176" fontId="10" fillId="0" borderId="0" xfId="0" applyNumberFormat="1" applyFont="1">
      <alignment vertical="center"/>
    </xf>
    <xf numFmtId="176" fontId="10" fillId="0" borderId="32" xfId="0" applyNumberFormat="1" applyFont="1" applyBorder="1">
      <alignment vertical="center"/>
    </xf>
    <xf numFmtId="179" fontId="0" fillId="0" borderId="0" xfId="0" applyNumberFormat="1">
      <alignment vertical="center"/>
    </xf>
    <xf numFmtId="0" fontId="10" fillId="0" borderId="0" xfId="0" quotePrefix="1" applyFont="1" applyAlignment="1">
      <alignment horizontal="left" vertical="center"/>
    </xf>
    <xf numFmtId="0" fontId="32" fillId="0" borderId="0" xfId="0" quotePrefix="1" applyFont="1" applyAlignment="1">
      <alignment horizontal="left" vertical="center"/>
    </xf>
    <xf numFmtId="176" fontId="10" fillId="20" borderId="53" xfId="0" applyNumberFormat="1" applyFont="1" applyFill="1" applyBorder="1" applyAlignment="1">
      <alignment horizontal="center" vertical="center"/>
    </xf>
    <xf numFmtId="0" fontId="10" fillId="16" borderId="24" xfId="0" applyFont="1" applyFill="1" applyBorder="1" applyAlignment="1">
      <alignment horizontal="center" vertical="center"/>
    </xf>
    <xf numFmtId="0" fontId="10" fillId="16" borderId="25" xfId="0" applyFont="1" applyFill="1" applyBorder="1" applyAlignment="1">
      <alignment horizontal="center" vertical="center"/>
    </xf>
    <xf numFmtId="0" fontId="10" fillId="16" borderId="24" xfId="0" quotePrefix="1" applyFont="1" applyFill="1" applyBorder="1" applyAlignment="1">
      <alignment horizontal="center" vertical="center"/>
    </xf>
    <xf numFmtId="176" fontId="0" fillId="0" borderId="0" xfId="0" applyNumberFormat="1" applyAlignment="1">
      <alignment horizontal="left" vertical="center" indent="1"/>
    </xf>
    <xf numFmtId="179" fontId="0" fillId="0" borderId="31" xfId="0" applyNumberFormat="1" applyBorder="1">
      <alignment vertical="center"/>
    </xf>
    <xf numFmtId="176" fontId="0" fillId="0" borderId="40" xfId="0" applyNumberFormat="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9" fontId="10" fillId="16" borderId="26" xfId="0" applyNumberFormat="1" applyFont="1" applyFill="1" applyBorder="1" applyAlignment="1">
      <alignment horizontal="center" vertical="center"/>
    </xf>
    <xf numFmtId="179" fontId="10" fillId="0" borderId="26" xfId="0" applyNumberFormat="1" applyFont="1" applyBorder="1">
      <alignment vertical="center"/>
    </xf>
    <xf numFmtId="0" fontId="0" fillId="0" borderId="0" xfId="0" applyAlignment="1">
      <alignment horizontal="left" vertical="center" indent="1"/>
    </xf>
    <xf numFmtId="179" fontId="0" fillId="0" borderId="3" xfId="0" applyNumberFormat="1" applyBorder="1">
      <alignment vertical="center"/>
    </xf>
    <xf numFmtId="179" fontId="10" fillId="0" borderId="38" xfId="0" applyNumberFormat="1" applyFont="1" applyBorder="1">
      <alignment vertical="center"/>
    </xf>
    <xf numFmtId="176" fontId="0" fillId="3" borderId="31" xfId="0" applyNumberFormat="1" applyFill="1" applyBorder="1">
      <alignment vertical="center"/>
    </xf>
    <xf numFmtId="179" fontId="10" fillId="0" borderId="3" xfId="0" applyNumberFormat="1" applyFont="1" applyBorder="1">
      <alignment vertical="center"/>
    </xf>
    <xf numFmtId="0" fontId="10" fillId="0" borderId="27" xfId="0" applyFont="1" applyBorder="1">
      <alignment vertical="center"/>
    </xf>
    <xf numFmtId="176" fontId="10" fillId="0" borderId="27" xfId="0" applyNumberFormat="1" applyFont="1" applyBorder="1">
      <alignment vertical="center"/>
    </xf>
    <xf numFmtId="179" fontId="10" fillId="0" borderId="30" xfId="0" applyNumberFormat="1" applyFont="1" applyBorder="1">
      <alignment vertical="center"/>
    </xf>
    <xf numFmtId="10" fontId="10" fillId="0" borderId="31" xfId="0" applyNumberFormat="1" applyFont="1" applyBorder="1">
      <alignment vertical="center"/>
    </xf>
    <xf numFmtId="0" fontId="10" fillId="0" borderId="40" xfId="0" applyFont="1" applyBorder="1">
      <alignment vertical="center"/>
    </xf>
    <xf numFmtId="179" fontId="0" fillId="0" borderId="41" xfId="0" applyNumberFormat="1" applyBorder="1">
      <alignment vertical="center"/>
    </xf>
    <xf numFmtId="0" fontId="10" fillId="16" borderId="42" xfId="0" applyFont="1" applyFill="1" applyBorder="1" applyAlignment="1">
      <alignment horizontal="center" vertical="center"/>
    </xf>
    <xf numFmtId="176" fontId="10" fillId="16" borderId="54" xfId="0" applyNumberFormat="1" applyFont="1" applyFill="1" applyBorder="1" applyAlignment="1">
      <alignment horizontal="center" vertical="center"/>
    </xf>
    <xf numFmtId="0" fontId="10" fillId="16" borderId="55" xfId="0" applyFont="1" applyFill="1" applyBorder="1" applyAlignment="1">
      <alignment horizontal="center" vertical="center"/>
    </xf>
    <xf numFmtId="176" fontId="0" fillId="16" borderId="42" xfId="0" applyNumberFormat="1" applyFill="1" applyBorder="1">
      <alignment vertical="center"/>
    </xf>
    <xf numFmtId="0" fontId="10" fillId="0" borderId="27" xfId="0" quotePrefix="1" applyFont="1" applyBorder="1" applyAlignment="1">
      <alignment horizontal="left" vertical="center"/>
    </xf>
    <xf numFmtId="176" fontId="10" fillId="0" borderId="29" xfId="0" applyNumberFormat="1" applyFont="1" applyBorder="1">
      <alignment vertical="center"/>
    </xf>
    <xf numFmtId="0" fontId="10" fillId="3" borderId="36" xfId="0" quotePrefix="1" applyFont="1" applyFill="1" applyBorder="1" applyAlignment="1">
      <alignment horizontal="left" vertical="center"/>
    </xf>
    <xf numFmtId="176" fontId="0" fillId="3" borderId="2" xfId="0" applyNumberFormat="1" applyFill="1" applyBorder="1">
      <alignment vertical="center"/>
    </xf>
    <xf numFmtId="179" fontId="10" fillId="3" borderId="36" xfId="0" applyNumberFormat="1" applyFont="1" applyFill="1" applyBorder="1">
      <alignment vertical="center"/>
    </xf>
    <xf numFmtId="10" fontId="10" fillId="3" borderId="36" xfId="0" applyNumberFormat="1" applyFont="1" applyFill="1" applyBorder="1">
      <alignment vertical="center"/>
    </xf>
    <xf numFmtId="179" fontId="10" fillId="3" borderId="37" xfId="0" applyNumberFormat="1" applyFont="1" applyFill="1" applyBorder="1">
      <alignment vertical="center"/>
    </xf>
    <xf numFmtId="176" fontId="0" fillId="3" borderId="36" xfId="0" applyNumberFormat="1" applyFill="1" applyBorder="1">
      <alignment vertical="center"/>
    </xf>
    <xf numFmtId="176" fontId="0" fillId="0" borderId="27" xfId="0" applyNumberFormat="1" applyBorder="1">
      <alignment vertical="center"/>
    </xf>
    <xf numFmtId="0" fontId="0" fillId="0" borderId="33" xfId="0" applyBorder="1" applyAlignment="1">
      <alignment horizontal="left" vertical="center" indent="1"/>
    </xf>
    <xf numFmtId="176" fontId="10" fillId="0" borderId="34" xfId="0" applyNumberFormat="1" applyFont="1" applyBorder="1">
      <alignment vertical="center"/>
    </xf>
    <xf numFmtId="176" fontId="10" fillId="0" borderId="33" xfId="0" applyNumberFormat="1" applyFont="1" applyBorder="1">
      <alignment vertical="center"/>
    </xf>
    <xf numFmtId="176" fontId="10" fillId="0" borderId="35" xfId="0" applyNumberFormat="1" applyFont="1" applyBorder="1">
      <alignment vertical="center"/>
    </xf>
    <xf numFmtId="176" fontId="0" fillId="0" borderId="33" xfId="0" applyNumberFormat="1" applyBorder="1">
      <alignment vertical="center"/>
    </xf>
    <xf numFmtId="0" fontId="10" fillId="21" borderId="0" xfId="0" applyFont="1" applyFill="1">
      <alignment vertical="center"/>
    </xf>
    <xf numFmtId="176" fontId="10" fillId="21" borderId="31" xfId="0" applyNumberFormat="1" applyFont="1" applyFill="1" applyBorder="1">
      <alignment vertical="center"/>
    </xf>
    <xf numFmtId="176" fontId="10" fillId="21" borderId="0" xfId="0" applyNumberFormat="1" applyFont="1" applyFill="1">
      <alignment vertical="center"/>
    </xf>
    <xf numFmtId="176" fontId="0" fillId="21" borderId="0" xfId="0" applyNumberFormat="1" applyFill="1">
      <alignment vertical="center"/>
    </xf>
    <xf numFmtId="0" fontId="33" fillId="3" borderId="53" xfId="3" applyFont="1" applyFill="1" applyBorder="1" applyAlignment="1">
      <alignment horizontal="center" vertical="center"/>
    </xf>
    <xf numFmtId="0" fontId="5" fillId="8" borderId="0" xfId="0" applyFont="1" applyFill="1">
      <alignment vertical="center"/>
    </xf>
    <xf numFmtId="0" fontId="5" fillId="8" borderId="0" xfId="0" applyFont="1" applyFill="1" applyAlignment="1">
      <alignment horizontal="left" vertical="center"/>
    </xf>
    <xf numFmtId="176" fontId="5" fillId="8" borderId="0" xfId="0" applyNumberFormat="1" applyFont="1" applyFill="1">
      <alignment vertical="center"/>
    </xf>
    <xf numFmtId="0" fontId="34" fillId="8" borderId="0" xfId="0" applyFont="1" applyFill="1">
      <alignment vertical="center"/>
    </xf>
    <xf numFmtId="0" fontId="35" fillId="8" borderId="0" xfId="0" quotePrefix="1" applyFont="1" applyFill="1" applyAlignment="1">
      <alignment horizontal="left" vertical="center"/>
    </xf>
    <xf numFmtId="0" fontId="37" fillId="8" borderId="0" xfId="0" applyFont="1" applyFill="1">
      <alignment vertical="center"/>
    </xf>
    <xf numFmtId="0" fontId="37" fillId="8" borderId="0" xfId="0" quotePrefix="1" applyFont="1" applyFill="1" applyAlignment="1">
      <alignment horizontal="left" vertical="center"/>
    </xf>
    <xf numFmtId="176" fontId="0" fillId="8" borderId="0" xfId="0" applyNumberFormat="1" applyFill="1">
      <alignment vertical="center"/>
    </xf>
    <xf numFmtId="0" fontId="38" fillId="8" borderId="0" xfId="0" applyFont="1" applyFill="1">
      <alignment vertical="center"/>
    </xf>
    <xf numFmtId="0" fontId="39" fillId="8" borderId="0" xfId="0" applyFont="1" applyFill="1">
      <alignment vertical="center"/>
    </xf>
    <xf numFmtId="179" fontId="5" fillId="8" borderId="0" xfId="0" applyNumberFormat="1" applyFont="1" applyFill="1">
      <alignment vertical="center"/>
    </xf>
    <xf numFmtId="0" fontId="40" fillId="8" borderId="0" xfId="0" applyFont="1" applyFill="1">
      <alignment vertical="center"/>
    </xf>
    <xf numFmtId="0" fontId="41" fillId="8" borderId="0" xfId="0" quotePrefix="1" applyFont="1" applyFill="1" applyAlignment="1">
      <alignment horizontal="left" vertical="center"/>
    </xf>
    <xf numFmtId="0" fontId="41" fillId="8" borderId="0" xfId="0" applyFont="1" applyFill="1">
      <alignment vertical="center"/>
    </xf>
    <xf numFmtId="0" fontId="34" fillId="8" borderId="0" xfId="0" applyFont="1" applyFill="1" applyAlignment="1">
      <alignment horizontal="right" vertical="center"/>
    </xf>
    <xf numFmtId="0" fontId="42" fillId="22" borderId="57" xfId="0" applyFont="1" applyFill="1" applyBorder="1" applyAlignment="1">
      <alignment horizontal="center" vertical="center"/>
    </xf>
    <xf numFmtId="0" fontId="42" fillId="8" borderId="0" xfId="0" applyFont="1" applyFill="1" applyAlignment="1">
      <alignment horizontal="left" vertical="center"/>
    </xf>
    <xf numFmtId="41" fontId="5" fillId="0" borderId="4" xfId="4" applyFont="1" applyFill="1" applyBorder="1" applyAlignment="1">
      <alignment horizontal="center" vertical="center"/>
    </xf>
    <xf numFmtId="41" fontId="5" fillId="23" borderId="4" xfId="4" applyFont="1" applyFill="1" applyBorder="1" applyAlignment="1">
      <alignment horizontal="center" vertical="center"/>
    </xf>
    <xf numFmtId="41" fontId="5" fillId="24" borderId="4" xfId="4" applyFont="1" applyFill="1" applyBorder="1" applyAlignment="1">
      <alignment horizontal="center" vertical="center"/>
    </xf>
    <xf numFmtId="176" fontId="6" fillId="23" borderId="4" xfId="4" applyNumberFormat="1" applyFont="1" applyFill="1" applyBorder="1" applyAlignment="1">
      <alignment vertical="center"/>
    </xf>
    <xf numFmtId="176" fontId="5" fillId="23" borderId="4" xfId="4" applyNumberFormat="1" applyFont="1" applyFill="1" applyBorder="1" applyAlignment="1">
      <alignment horizontal="center" vertical="center"/>
    </xf>
    <xf numFmtId="41" fontId="42" fillId="25" borderId="4" xfId="4" applyFont="1" applyFill="1" applyBorder="1" applyAlignment="1">
      <alignment horizontal="center" vertical="center"/>
    </xf>
    <xf numFmtId="179" fontId="38" fillId="3" borderId="68" xfId="0" applyNumberFormat="1" applyFont="1" applyFill="1" applyBorder="1">
      <alignment vertical="center"/>
    </xf>
    <xf numFmtId="41" fontId="5" fillId="3" borderId="4" xfId="4" applyFont="1" applyFill="1" applyBorder="1" applyAlignment="1">
      <alignment horizontal="center" vertical="center"/>
    </xf>
    <xf numFmtId="41" fontId="42" fillId="25" borderId="4" xfId="4" applyFont="1" applyFill="1" applyBorder="1">
      <alignment vertical="center"/>
    </xf>
    <xf numFmtId="0" fontId="42" fillId="0" borderId="4" xfId="0" applyFont="1" applyBorder="1" applyAlignment="1">
      <alignment horizontal="center" vertical="center"/>
    </xf>
    <xf numFmtId="41" fontId="5" fillId="10" borderId="4" xfId="4" applyFont="1" applyFill="1" applyBorder="1" applyAlignment="1">
      <alignment horizontal="center" vertical="center"/>
    </xf>
    <xf numFmtId="41" fontId="42" fillId="22" borderId="4" xfId="4" applyFont="1" applyFill="1" applyBorder="1" applyAlignment="1">
      <alignment horizontal="center" vertical="center"/>
    </xf>
    <xf numFmtId="41" fontId="42" fillId="0" borderId="4" xfId="4" applyFont="1" applyFill="1" applyBorder="1" applyAlignment="1">
      <alignment horizontal="center" vertical="center"/>
    </xf>
    <xf numFmtId="41" fontId="27" fillId="26" borderId="78" xfId="4" applyFont="1" applyFill="1" applyBorder="1" applyAlignment="1">
      <alignment horizontal="center" vertical="center"/>
    </xf>
    <xf numFmtId="0" fontId="49" fillId="8" borderId="0" xfId="0" quotePrefix="1" applyFont="1" applyFill="1" applyAlignment="1">
      <alignment horizontal="center" vertical="center"/>
    </xf>
    <xf numFmtId="0" fontId="49" fillId="0" borderId="0" xfId="0" applyFont="1" applyAlignment="1">
      <alignment horizontal="center" vertical="center"/>
    </xf>
    <xf numFmtId="0" fontId="49" fillId="0" borderId="0" xfId="0" quotePrefix="1" applyFont="1" applyAlignment="1">
      <alignment horizontal="center" vertical="center"/>
    </xf>
    <xf numFmtId="176" fontId="42" fillId="24" borderId="0" xfId="0" applyNumberFormat="1" applyFont="1" applyFill="1">
      <alignment vertical="center"/>
    </xf>
    <xf numFmtId="9" fontId="26" fillId="0" borderId="0" xfId="0" applyNumberFormat="1" applyFont="1">
      <alignment vertical="center"/>
    </xf>
    <xf numFmtId="0" fontId="42" fillId="5" borderId="57" xfId="0" applyFont="1" applyFill="1" applyBorder="1" applyAlignment="1">
      <alignment horizontal="center" vertical="center"/>
    </xf>
    <xf numFmtId="41" fontId="5" fillId="24" borderId="4" xfId="0" applyNumberFormat="1" applyFont="1" applyFill="1" applyBorder="1" applyAlignment="1">
      <alignment horizontal="center" vertical="center"/>
    </xf>
    <xf numFmtId="41" fontId="5" fillId="0" borderId="4" xfId="0" applyNumberFormat="1" applyFont="1" applyBorder="1" applyAlignment="1">
      <alignment horizontal="center" vertical="center"/>
    </xf>
    <xf numFmtId="41" fontId="5" fillId="0" borderId="4" xfId="4" applyFont="1" applyBorder="1" applyAlignment="1">
      <alignment horizontal="center" vertical="center"/>
    </xf>
    <xf numFmtId="182" fontId="5" fillId="3" borderId="4" xfId="0" applyNumberFormat="1" applyFont="1" applyFill="1" applyBorder="1" applyAlignment="1">
      <alignment horizontal="center" vertical="center"/>
    </xf>
    <xf numFmtId="41" fontId="42" fillId="5" borderId="78" xfId="4" applyFont="1" applyFill="1" applyBorder="1" applyAlignment="1">
      <alignment vertical="center"/>
    </xf>
    <xf numFmtId="0" fontId="51" fillId="8" borderId="0" xfId="5" applyFont="1" applyFill="1"/>
    <xf numFmtId="41" fontId="5" fillId="3" borderId="0" xfId="4" applyFont="1" applyFill="1" applyAlignment="1">
      <alignment vertical="center"/>
    </xf>
    <xf numFmtId="0" fontId="5" fillId="8" borderId="0" xfId="0" applyFont="1" applyFill="1" applyAlignment="1"/>
    <xf numFmtId="0" fontId="4" fillId="27" borderId="57" xfId="0" applyFont="1" applyFill="1" applyBorder="1" applyAlignment="1">
      <alignment horizontal="center" vertical="center"/>
    </xf>
    <xf numFmtId="0" fontId="42" fillId="0" borderId="45" xfId="0" applyFont="1" applyBorder="1" applyAlignment="1">
      <alignment horizontal="center" vertical="center"/>
    </xf>
    <xf numFmtId="0" fontId="42" fillId="0" borderId="46" xfId="6" applyFont="1" applyBorder="1" applyAlignment="1">
      <alignment horizontal="center" vertical="center"/>
    </xf>
    <xf numFmtId="182" fontId="34" fillId="23" borderId="4" xfId="0" quotePrefix="1" applyNumberFormat="1" applyFont="1" applyFill="1" applyBorder="1" applyAlignment="1">
      <alignment horizontal="left" vertical="center"/>
    </xf>
    <xf numFmtId="182" fontId="5" fillId="0" borderId="4" xfId="0" applyNumberFormat="1" applyFont="1" applyBorder="1" applyAlignment="1">
      <alignment horizontal="right" vertical="center"/>
    </xf>
    <xf numFmtId="0" fontId="5" fillId="28" borderId="52" xfId="0" applyFont="1" applyFill="1" applyBorder="1" applyAlignment="1">
      <alignment horizontal="center"/>
    </xf>
    <xf numFmtId="0" fontId="5" fillId="28" borderId="4" xfId="0" applyFont="1" applyFill="1" applyBorder="1" applyAlignment="1">
      <alignment horizontal="center" vertical="center"/>
    </xf>
    <xf numFmtId="182" fontId="34" fillId="23" borderId="4" xfId="0" applyNumberFormat="1" applyFont="1" applyFill="1" applyBorder="1">
      <alignment vertical="center"/>
    </xf>
    <xf numFmtId="0" fontId="34" fillId="23" borderId="4" xfId="0" applyFont="1" applyFill="1" applyBorder="1">
      <alignment vertical="center"/>
    </xf>
    <xf numFmtId="0" fontId="4" fillId="18" borderId="4" xfId="0" applyFont="1" applyFill="1" applyBorder="1" applyAlignment="1">
      <alignment horizontal="center" vertical="center"/>
    </xf>
    <xf numFmtId="182" fontId="42" fillId="18" borderId="4" xfId="0" applyNumberFormat="1" applyFont="1" applyFill="1" applyBorder="1" applyAlignment="1">
      <alignment horizontal="right" vertical="center"/>
    </xf>
    <xf numFmtId="0" fontId="5" fillId="8" borderId="0" xfId="0" applyFont="1" applyFill="1" applyAlignment="1">
      <alignment horizontal="center"/>
    </xf>
    <xf numFmtId="0" fontId="5" fillId="8" borderId="0" xfId="0" applyFont="1" applyFill="1" applyAlignment="1">
      <alignment horizontal="center" vertical="center"/>
    </xf>
    <xf numFmtId="0" fontId="34" fillId="0" borderId="46" xfId="0" applyFont="1" applyBorder="1" applyAlignment="1">
      <alignment horizontal="left" vertical="center"/>
    </xf>
    <xf numFmtId="182" fontId="5" fillId="0" borderId="46" xfId="0" applyNumberFormat="1" applyFont="1" applyBorder="1" applyAlignment="1">
      <alignment horizontal="right" vertical="center"/>
    </xf>
    <xf numFmtId="182" fontId="27" fillId="19" borderId="78" xfId="0" applyNumberFormat="1" applyFont="1" applyFill="1" applyBorder="1" applyAlignment="1">
      <alignment horizontal="right" vertical="center"/>
    </xf>
    <xf numFmtId="0" fontId="23" fillId="8" borderId="0" xfId="0" applyFont="1" applyFill="1" applyAlignment="1">
      <alignment horizontal="center" vertical="center"/>
    </xf>
    <xf numFmtId="182" fontId="23" fillId="8" borderId="0" xfId="0" applyNumberFormat="1" applyFont="1" applyFill="1" applyAlignment="1">
      <alignment horizontal="right" vertical="center"/>
    </xf>
    <xf numFmtId="0" fontId="49" fillId="8" borderId="0" xfId="0" quotePrefix="1" applyFont="1" applyFill="1" applyAlignment="1">
      <alignment horizontal="left" vertical="center"/>
    </xf>
    <xf numFmtId="0" fontId="35" fillId="8" borderId="0" xfId="0" applyFont="1" applyFill="1">
      <alignment vertical="center"/>
    </xf>
    <xf numFmtId="0" fontId="34" fillId="8" borderId="0" xfId="0" applyFont="1" applyFill="1" applyAlignment="1">
      <alignment horizontal="left" vertical="center"/>
    </xf>
    <xf numFmtId="0" fontId="49" fillId="8" borderId="43" xfId="0" applyFont="1" applyFill="1" applyBorder="1">
      <alignment vertical="center"/>
    </xf>
    <xf numFmtId="0" fontId="5" fillId="8" borderId="44" xfId="0" applyFont="1" applyFill="1" applyBorder="1">
      <alignment vertical="center"/>
    </xf>
    <xf numFmtId="0" fontId="5" fillId="8" borderId="44" xfId="0" applyFont="1" applyFill="1" applyBorder="1" applyAlignment="1">
      <alignment horizontal="left" vertical="center"/>
    </xf>
    <xf numFmtId="0" fontId="5" fillId="8" borderId="45" xfId="0" applyFont="1" applyFill="1" applyBorder="1">
      <alignment vertical="center"/>
    </xf>
    <xf numFmtId="0" fontId="41" fillId="8" borderId="65" xfId="0" applyFont="1" applyFill="1" applyBorder="1">
      <alignment vertical="center"/>
    </xf>
    <xf numFmtId="0" fontId="5" fillId="8" borderId="69" xfId="0" applyFont="1" applyFill="1" applyBorder="1">
      <alignment vertical="center"/>
    </xf>
    <xf numFmtId="0" fontId="49" fillId="8" borderId="65" xfId="0" applyFont="1" applyFill="1" applyBorder="1">
      <alignment vertical="center"/>
    </xf>
    <xf numFmtId="0" fontId="41" fillId="8" borderId="47" xfId="0" applyFont="1" applyFill="1" applyBorder="1">
      <alignment vertical="center"/>
    </xf>
    <xf numFmtId="0" fontId="5" fillId="8" borderId="48" xfId="0" applyFont="1" applyFill="1" applyBorder="1">
      <alignment vertical="center"/>
    </xf>
    <xf numFmtId="0" fontId="5" fillId="8" borderId="48" xfId="0" applyFont="1" applyFill="1" applyBorder="1" applyAlignment="1">
      <alignment horizontal="left" vertical="center"/>
    </xf>
    <xf numFmtId="0" fontId="5" fillId="8" borderId="49" xfId="0" applyFont="1" applyFill="1" applyBorder="1">
      <alignment vertical="center"/>
    </xf>
    <xf numFmtId="0" fontId="42" fillId="8" borderId="0" xfId="0" applyFont="1" applyFill="1" applyAlignment="1">
      <alignment horizontal="center" vertical="center"/>
    </xf>
    <xf numFmtId="182" fontId="51" fillId="8" borderId="0" xfId="0" applyNumberFormat="1" applyFont="1" applyFill="1" applyAlignment="1">
      <alignment horizontal="right" vertical="center"/>
    </xf>
    <xf numFmtId="0" fontId="42" fillId="8" borderId="0" xfId="0" applyFont="1" applyFill="1" applyAlignment="1"/>
    <xf numFmtId="0" fontId="42" fillId="8" borderId="0" xfId="0" applyFont="1" applyFill="1">
      <alignment vertical="center"/>
    </xf>
    <xf numFmtId="182" fontId="55" fillId="8" borderId="0" xfId="0" applyNumberFormat="1" applyFont="1" applyFill="1" applyAlignment="1">
      <alignment horizontal="right" vertical="center"/>
    </xf>
    <xf numFmtId="182" fontId="6" fillId="8" borderId="0" xfId="0" applyNumberFormat="1" applyFont="1" applyFill="1" applyAlignment="1">
      <alignment horizontal="right" vertical="center"/>
    </xf>
    <xf numFmtId="0" fontId="6" fillId="8" borderId="0" xfId="0" applyFont="1" applyFill="1" applyAlignment="1"/>
    <xf numFmtId="0" fontId="6" fillId="8" borderId="0" xfId="0" applyFont="1" applyFill="1">
      <alignment vertical="center"/>
    </xf>
    <xf numFmtId="0" fontId="10" fillId="8" borderId="0" xfId="0" applyFont="1" applyFill="1">
      <alignment vertical="center"/>
    </xf>
    <xf numFmtId="0" fontId="24" fillId="8" borderId="0" xfId="0" applyFont="1" applyFill="1">
      <alignment vertical="center"/>
    </xf>
    <xf numFmtId="0" fontId="23" fillId="8" borderId="0" xfId="6" applyFont="1" applyFill="1">
      <alignment vertical="center"/>
    </xf>
    <xf numFmtId="0" fontId="56" fillId="8" borderId="0" xfId="6" applyFont="1" applyFill="1">
      <alignment vertical="center"/>
    </xf>
    <xf numFmtId="0" fontId="6" fillId="8" borderId="0" xfId="6" applyFont="1" applyFill="1">
      <alignment vertical="center"/>
    </xf>
    <xf numFmtId="0" fontId="6" fillId="8" borderId="0" xfId="6" applyFont="1" applyFill="1" applyAlignment="1">
      <alignment horizontal="center" vertical="center"/>
    </xf>
    <xf numFmtId="0" fontId="5" fillId="8" borderId="0" xfId="6" applyFont="1" applyFill="1">
      <alignment vertical="center"/>
    </xf>
    <xf numFmtId="0" fontId="57" fillId="8" borderId="0" xfId="0" applyFont="1" applyFill="1">
      <alignment vertical="center"/>
    </xf>
    <xf numFmtId="0" fontId="5" fillId="8" borderId="0" xfId="0" applyFont="1" applyFill="1" applyAlignment="1">
      <alignment horizontal="right"/>
    </xf>
    <xf numFmtId="0" fontId="6" fillId="0" borderId="0" xfId="0" applyFont="1">
      <alignment vertical="center"/>
    </xf>
    <xf numFmtId="0" fontId="2" fillId="8" borderId="0" xfId="6" applyFont="1" applyFill="1">
      <alignment vertical="center"/>
    </xf>
    <xf numFmtId="0" fontId="58" fillId="8" borderId="0" xfId="6" applyFont="1" applyFill="1">
      <alignment vertical="center"/>
    </xf>
    <xf numFmtId="0" fontId="2" fillId="8" borderId="0" xfId="0" applyFont="1" applyFill="1" applyAlignment="1">
      <alignment horizontal="right"/>
    </xf>
    <xf numFmtId="0" fontId="2" fillId="8" borderId="0" xfId="0" applyFont="1" applyFill="1">
      <alignment vertical="center"/>
    </xf>
    <xf numFmtId="0" fontId="2" fillId="29" borderId="4" xfId="6" applyFont="1" applyFill="1" applyBorder="1" applyAlignment="1">
      <alignment horizontal="center" vertical="center" wrapText="1"/>
    </xf>
    <xf numFmtId="0" fontId="2" fillId="29" borderId="4" xfId="6" applyFont="1" applyFill="1" applyBorder="1" applyAlignment="1">
      <alignment horizontal="center" vertical="center"/>
    </xf>
    <xf numFmtId="0" fontId="58" fillId="30" borderId="4" xfId="0" applyFont="1" applyFill="1" applyBorder="1" applyAlignment="1">
      <alignment horizontal="center" vertical="center"/>
    </xf>
    <xf numFmtId="182" fontId="2" fillId="0" borderId="4" xfId="6" applyNumberFormat="1" applyFont="1" applyBorder="1" applyAlignment="1">
      <alignment horizontal="center" vertical="center"/>
    </xf>
    <xf numFmtId="182" fontId="34" fillId="0" borderId="4" xfId="6" applyNumberFormat="1" applyFont="1" applyBorder="1" applyAlignment="1">
      <alignment horizontal="center" vertical="center"/>
    </xf>
    <xf numFmtId="0" fontId="2" fillId="0" borderId="4" xfId="0" applyFont="1" applyBorder="1" applyAlignment="1">
      <alignment horizontal="center" vertical="center"/>
    </xf>
    <xf numFmtId="184" fontId="2" fillId="0" borderId="4" xfId="4" applyNumberFormat="1" applyFont="1" applyFill="1" applyBorder="1" applyAlignment="1">
      <alignment horizontal="center" vertical="center"/>
    </xf>
    <xf numFmtId="41" fontId="2" fillId="0" borderId="4" xfId="4" applyFont="1" applyFill="1" applyBorder="1" applyAlignment="1">
      <alignment horizontal="center" vertical="center"/>
    </xf>
    <xf numFmtId="41" fontId="2" fillId="0" borderId="0" xfId="0" applyNumberFormat="1" applyFont="1">
      <alignment vertical="center"/>
    </xf>
    <xf numFmtId="0" fontId="2" fillId="3" borderId="0" xfId="0" applyFont="1" applyFill="1">
      <alignment vertical="center"/>
    </xf>
    <xf numFmtId="176" fontId="2" fillId="3" borderId="0" xfId="0" applyNumberFormat="1" applyFont="1" applyFill="1">
      <alignment vertical="center"/>
    </xf>
    <xf numFmtId="176" fontId="2" fillId="0" borderId="0" xfId="0" applyNumberFormat="1" applyFont="1">
      <alignment vertical="center"/>
    </xf>
    <xf numFmtId="176" fontId="2" fillId="0" borderId="4" xfId="4" applyNumberFormat="1" applyFont="1" applyFill="1" applyBorder="1" applyAlignment="1">
      <alignment horizontal="center" vertical="center"/>
    </xf>
    <xf numFmtId="0" fontId="2" fillId="17" borderId="4" xfId="6" applyFont="1" applyFill="1" applyBorder="1" applyAlignment="1">
      <alignment horizontal="center" vertical="center"/>
    </xf>
    <xf numFmtId="41" fontId="2" fillId="17" borderId="4" xfId="6" applyNumberFormat="1" applyFont="1" applyFill="1" applyBorder="1" applyAlignment="1">
      <alignment horizontal="center" vertical="center"/>
    </xf>
    <xf numFmtId="41" fontId="2" fillId="17" borderId="4" xfId="4" applyFont="1" applyFill="1" applyBorder="1" applyAlignment="1">
      <alignment horizontal="center" vertical="center"/>
    </xf>
    <xf numFmtId="176" fontId="2" fillId="17" borderId="4" xfId="6" applyNumberFormat="1" applyFont="1" applyFill="1" applyBorder="1" applyAlignment="1">
      <alignment horizontal="center" vertical="center"/>
    </xf>
    <xf numFmtId="0" fontId="34" fillId="0" borderId="0" xfId="0" applyFont="1">
      <alignment vertical="center"/>
    </xf>
    <xf numFmtId="0" fontId="34" fillId="0" borderId="4" xfId="0" applyFont="1" applyBorder="1" applyAlignment="1">
      <alignment horizontal="center" vertical="center"/>
    </xf>
    <xf numFmtId="0" fontId="34" fillId="17" borderId="4" xfId="6" applyFont="1" applyFill="1" applyBorder="1" applyAlignment="1">
      <alignment horizontal="center" vertical="center"/>
    </xf>
    <xf numFmtId="41" fontId="34" fillId="17" borderId="4" xfId="6" applyNumberFormat="1" applyFont="1" applyFill="1" applyBorder="1" applyAlignment="1">
      <alignment horizontal="center" vertical="center"/>
    </xf>
    <xf numFmtId="41" fontId="34" fillId="17" borderId="4" xfId="4" applyFont="1" applyFill="1" applyBorder="1" applyAlignment="1">
      <alignment horizontal="center" vertical="center"/>
    </xf>
    <xf numFmtId="0" fontId="5" fillId="0" borderId="0" xfId="6" applyFont="1">
      <alignment vertical="center"/>
    </xf>
    <xf numFmtId="0" fontId="5" fillId="0" borderId="0" xfId="6" applyFont="1" applyAlignment="1">
      <alignment horizontal="center" vertical="center"/>
    </xf>
    <xf numFmtId="185" fontId="5" fillId="0" borderId="0" xfId="6" applyNumberFormat="1" applyFont="1">
      <alignment vertical="center"/>
    </xf>
    <xf numFmtId="0" fontId="59" fillId="13" borderId="0" xfId="3" applyFont="1" applyFill="1" applyAlignment="1">
      <alignment horizontal="center" vertical="center"/>
    </xf>
    <xf numFmtId="0" fontId="2" fillId="13" borderId="0" xfId="0" applyFont="1" applyFill="1">
      <alignment vertical="center"/>
    </xf>
    <xf numFmtId="0" fontId="2" fillId="31" borderId="4" xfId="0" applyFont="1" applyFill="1" applyBorder="1" applyAlignment="1">
      <alignment horizontal="center" vertical="center"/>
    </xf>
    <xf numFmtId="0" fontId="2" fillId="0" borderId="4" xfId="0" applyFont="1" applyBorder="1">
      <alignment vertical="center"/>
    </xf>
    <xf numFmtId="0" fontId="2" fillId="0" borderId="0" xfId="0" applyFont="1" applyAlignment="1">
      <alignment horizontal="center" vertical="center"/>
    </xf>
    <xf numFmtId="0" fontId="2" fillId="0" borderId="4" xfId="0" applyFont="1" applyFill="1" applyBorder="1">
      <alignment vertical="center"/>
    </xf>
    <xf numFmtId="0" fontId="2" fillId="0" borderId="0" xfId="0" applyFont="1" applyFill="1">
      <alignment vertical="center"/>
    </xf>
    <xf numFmtId="0" fontId="2" fillId="0" borderId="44" xfId="0" applyFont="1" applyFill="1" applyBorder="1" applyAlignment="1">
      <alignment horizontal="center" vertical="center"/>
    </xf>
    <xf numFmtId="0" fontId="2" fillId="0" borderId="44"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horizontal="center" vertical="center"/>
    </xf>
    <xf numFmtId="0" fontId="2" fillId="0" borderId="48" xfId="0" applyFont="1" applyFill="1" applyBorder="1">
      <alignment vertical="center"/>
    </xf>
    <xf numFmtId="41" fontId="2" fillId="0" borderId="4" xfId="0" applyNumberFormat="1" applyFont="1" applyBorder="1">
      <alignment vertical="center"/>
    </xf>
    <xf numFmtId="0" fontId="60" fillId="0" borderId="4" xfId="0" applyFont="1" applyBorder="1" applyAlignment="1">
      <alignment horizontal="left" vertical="center"/>
    </xf>
    <xf numFmtId="0" fontId="60" fillId="0" borderId="4" xfId="0" applyFont="1" applyBorder="1" applyAlignment="1">
      <alignment horizontal="left" vertical="center" indent="1"/>
    </xf>
    <xf numFmtId="0" fontId="2" fillId="3" borderId="4" xfId="0" applyFont="1" applyFill="1" applyBorder="1">
      <alignment vertical="center"/>
    </xf>
    <xf numFmtId="3" fontId="2" fillId="6" borderId="18" xfId="0" applyNumberFormat="1" applyFont="1" applyFill="1" applyBorder="1">
      <alignment vertical="center"/>
    </xf>
    <xf numFmtId="9" fontId="2" fillId="0" borderId="18" xfId="0" applyNumberFormat="1" applyFont="1" applyBorder="1">
      <alignment vertical="center"/>
    </xf>
    <xf numFmtId="41" fontId="2" fillId="0" borderId="18" xfId="1" applyNumberFormat="1" applyFont="1" applyBorder="1">
      <alignment vertical="center"/>
    </xf>
    <xf numFmtId="3" fontId="2" fillId="6" borderId="19" xfId="0" applyNumberFormat="1" applyFont="1" applyFill="1" applyBorder="1">
      <alignment vertical="center"/>
    </xf>
    <xf numFmtId="9" fontId="2" fillId="0" borderId="19" xfId="0" applyNumberFormat="1" applyFont="1" applyBorder="1">
      <alignment vertical="center"/>
    </xf>
    <xf numFmtId="41" fontId="2" fillId="0" borderId="19" xfId="1" applyNumberFormat="1" applyFont="1" applyBorder="1">
      <alignment vertical="center"/>
    </xf>
    <xf numFmtId="0" fontId="2" fillId="0" borderId="20" xfId="0" applyFont="1" applyBorder="1">
      <alignment vertical="center"/>
    </xf>
    <xf numFmtId="0" fontId="2" fillId="0" borderId="21" xfId="0" applyFont="1" applyBorder="1">
      <alignment vertical="center"/>
    </xf>
    <xf numFmtId="0" fontId="2" fillId="0" borderId="16" xfId="0" applyFont="1" applyBorder="1">
      <alignment vertical="center"/>
    </xf>
    <xf numFmtId="0" fontId="2" fillId="0" borderId="17" xfId="0" applyFont="1" applyBorder="1">
      <alignment vertical="center"/>
    </xf>
    <xf numFmtId="41" fontId="2" fillId="0" borderId="17" xfId="1" applyNumberFormat="1" applyFont="1" applyBorder="1">
      <alignment vertical="center"/>
    </xf>
    <xf numFmtId="0" fontId="2" fillId="0" borderId="82" xfId="0" applyFont="1" applyFill="1" applyBorder="1">
      <alignment vertical="center"/>
    </xf>
    <xf numFmtId="0" fontId="2" fillId="0" borderId="18" xfId="0" applyFont="1" applyFill="1" applyBorder="1">
      <alignment vertical="center"/>
    </xf>
    <xf numFmtId="3" fontId="2" fillId="0" borderId="18" xfId="0" applyNumberFormat="1" applyFont="1" applyFill="1" applyBorder="1">
      <alignment vertical="center"/>
    </xf>
    <xf numFmtId="0" fontId="2" fillId="0" borderId="17" xfId="0" applyFont="1" applyFill="1" applyBorder="1">
      <alignment vertical="center"/>
    </xf>
    <xf numFmtId="41" fontId="2" fillId="0" borderId="4" xfId="0" applyNumberFormat="1" applyFont="1" applyBorder="1" applyAlignment="1">
      <alignment horizontal="center" vertical="center"/>
    </xf>
    <xf numFmtId="178" fontId="2" fillId="0" borderId="19" xfId="0" applyNumberFormat="1" applyFont="1" applyBorder="1">
      <alignment vertical="center"/>
    </xf>
    <xf numFmtId="181" fontId="2" fillId="0" borderId="19" xfId="1" applyNumberFormat="1" applyFont="1" applyBorder="1">
      <alignment vertical="center"/>
    </xf>
    <xf numFmtId="0" fontId="9" fillId="9" borderId="56" xfId="0" applyFont="1" applyFill="1" applyBorder="1" applyAlignment="1">
      <alignment horizontal="center" vertical="center"/>
    </xf>
    <xf numFmtId="0" fontId="9" fillId="9" borderId="57" xfId="0" applyFont="1" applyFill="1" applyBorder="1" applyAlignment="1">
      <alignment horizontal="center" vertical="center"/>
    </xf>
    <xf numFmtId="0" fontId="9" fillId="9" borderId="60" xfId="0" applyFont="1" applyFill="1" applyBorder="1" applyAlignment="1">
      <alignment horizontal="center" vertical="center"/>
    </xf>
    <xf numFmtId="0" fontId="0" fillId="0" borderId="44" xfId="0" applyBorder="1">
      <alignment vertical="center"/>
    </xf>
    <xf numFmtId="0" fontId="2" fillId="0" borderId="74" xfId="0" applyFont="1" applyBorder="1">
      <alignment vertical="center"/>
    </xf>
    <xf numFmtId="41" fontId="2" fillId="0" borderId="4" xfId="1" applyFont="1" applyBorder="1">
      <alignment vertical="center"/>
    </xf>
    <xf numFmtId="41" fontId="12" fillId="0" borderId="4" xfId="1" applyFont="1" applyBorder="1">
      <alignment vertical="center"/>
    </xf>
    <xf numFmtId="41" fontId="2" fillId="0" borderId="0" xfId="0" applyNumberFormat="1" applyFont="1" applyBorder="1">
      <alignment vertical="center"/>
    </xf>
    <xf numFmtId="0" fontId="2" fillId="9" borderId="4" xfId="0" applyFont="1" applyFill="1" applyBorder="1">
      <alignment vertical="center"/>
    </xf>
    <xf numFmtId="41" fontId="2" fillId="9" borderId="4" xfId="0" applyNumberFormat="1" applyFont="1" applyFill="1" applyBorder="1">
      <alignment vertical="center"/>
    </xf>
    <xf numFmtId="0" fontId="58" fillId="0" borderId="0" xfId="0" applyFont="1" applyBorder="1" applyAlignment="1">
      <alignment horizontal="center" vertical="center"/>
    </xf>
    <xf numFmtId="0" fontId="2" fillId="0" borderId="48" xfId="0" applyFont="1" applyFill="1" applyBorder="1" applyAlignment="1">
      <alignment horizontal="center" vertical="center"/>
    </xf>
    <xf numFmtId="0" fontId="2" fillId="9" borderId="4" xfId="0" applyFont="1" applyFill="1" applyBorder="1" applyAlignment="1">
      <alignment horizontal="center" vertical="center"/>
    </xf>
    <xf numFmtId="0" fontId="2" fillId="0" borderId="4" xfId="0" applyFont="1" applyFill="1" applyBorder="1" applyAlignment="1">
      <alignment horizontal="center" vertical="center"/>
    </xf>
    <xf numFmtId="41" fontId="2" fillId="3" borderId="4" xfId="0" applyNumberFormat="1" applyFont="1" applyFill="1" applyBorder="1">
      <alignment vertical="center"/>
    </xf>
    <xf numFmtId="0" fontId="2" fillId="3" borderId="4" xfId="0" applyFont="1" applyFill="1" applyBorder="1" applyAlignment="1">
      <alignment horizontal="center" vertical="center"/>
    </xf>
    <xf numFmtId="41" fontId="2" fillId="2" borderId="4" xfId="0" applyNumberFormat="1" applyFont="1" applyFill="1" applyBorder="1">
      <alignment vertical="center"/>
    </xf>
    <xf numFmtId="0" fontId="2" fillId="2" borderId="4" xfId="0" applyFont="1" applyFill="1" applyBorder="1" applyAlignment="1">
      <alignment horizontal="center" vertical="center"/>
    </xf>
    <xf numFmtId="0" fontId="2" fillId="2" borderId="4" xfId="0" applyFont="1" applyFill="1" applyBorder="1">
      <alignment vertical="center"/>
    </xf>
    <xf numFmtId="41" fontId="61" fillId="0" borderId="4" xfId="0" applyNumberFormat="1" applyFont="1" applyBorder="1">
      <alignment vertical="center"/>
    </xf>
    <xf numFmtId="0" fontId="62" fillId="32" borderId="4" xfId="0" applyFont="1" applyFill="1" applyBorder="1" applyAlignment="1">
      <alignment horizontal="center" vertical="center"/>
    </xf>
    <xf numFmtId="41" fontId="63" fillId="32" borderId="4" xfId="0" applyNumberFormat="1" applyFont="1" applyFill="1" applyBorder="1">
      <alignment vertical="center"/>
    </xf>
    <xf numFmtId="41" fontId="62" fillId="32" borderId="4" xfId="0" applyNumberFormat="1" applyFont="1" applyFill="1" applyBorder="1">
      <alignment vertical="center"/>
    </xf>
    <xf numFmtId="41" fontId="62" fillId="32" borderId="4" xfId="1" applyFont="1" applyFill="1" applyBorder="1">
      <alignment vertical="center"/>
    </xf>
    <xf numFmtId="41" fontId="61" fillId="3" borderId="4" xfId="0" applyNumberFormat="1" applyFont="1" applyFill="1" applyBorder="1">
      <alignment vertical="center"/>
    </xf>
    <xf numFmtId="10" fontId="2" fillId="0" borderId="4" xfId="2" applyNumberFormat="1" applyFont="1" applyBorder="1">
      <alignment vertical="center"/>
    </xf>
    <xf numFmtId="0" fontId="62" fillId="33" borderId="4" xfId="0" applyFont="1" applyFill="1" applyBorder="1" applyAlignment="1">
      <alignment horizontal="center" vertical="center"/>
    </xf>
    <xf numFmtId="0" fontId="58" fillId="31" borderId="4" xfId="0" applyFont="1" applyFill="1" applyBorder="1" applyAlignment="1">
      <alignment horizontal="center" vertical="center"/>
    </xf>
    <xf numFmtId="0" fontId="63" fillId="32" borderId="4" xfId="0" applyFont="1" applyFill="1" applyBorder="1" applyAlignment="1">
      <alignment horizontal="center" vertical="center"/>
    </xf>
    <xf numFmtId="0" fontId="64" fillId="35" borderId="4" xfId="0" applyFont="1" applyFill="1" applyBorder="1" applyAlignment="1">
      <alignment horizontal="center" vertical="center" wrapText="1"/>
    </xf>
    <xf numFmtId="0" fontId="64" fillId="34" borderId="4" xfId="0" applyFont="1" applyFill="1" applyBorder="1" applyAlignment="1">
      <alignment horizontal="left" vertical="center" wrapText="1"/>
    </xf>
    <xf numFmtId="0" fontId="64" fillId="34" borderId="4" xfId="0" applyFont="1" applyFill="1" applyBorder="1" applyAlignment="1">
      <alignment horizontal="center" vertical="center" wrapText="1"/>
    </xf>
    <xf numFmtId="0" fontId="2" fillId="35" borderId="4" xfId="0" applyFont="1" applyFill="1" applyBorder="1" applyAlignment="1">
      <alignment vertical="center" wrapText="1"/>
    </xf>
    <xf numFmtId="0" fontId="64" fillId="38" borderId="4" xfId="0" applyFont="1" applyFill="1" applyBorder="1" applyAlignment="1">
      <alignment horizontal="center" vertical="center" wrapText="1"/>
    </xf>
    <xf numFmtId="0" fontId="66" fillId="38" borderId="4" xfId="0" applyFont="1" applyFill="1" applyBorder="1" applyAlignment="1">
      <alignment horizontal="center" vertical="center" wrapText="1"/>
    </xf>
    <xf numFmtId="0" fontId="46" fillId="34" borderId="4" xfId="0" applyFont="1" applyFill="1" applyBorder="1" applyAlignment="1">
      <alignment horizontal="center" vertical="center" wrapText="1"/>
    </xf>
    <xf numFmtId="0" fontId="46" fillId="3" borderId="4" xfId="0" applyFont="1" applyFill="1" applyBorder="1" applyAlignment="1">
      <alignment horizontal="center" vertical="center" wrapText="1"/>
    </xf>
    <xf numFmtId="0" fontId="66" fillId="34" borderId="4" xfId="0" applyFont="1" applyFill="1" applyBorder="1" applyAlignment="1">
      <alignment horizontal="left" vertical="center" wrapText="1"/>
    </xf>
    <xf numFmtId="0" fontId="66" fillId="34" borderId="4" xfId="0" applyFont="1" applyFill="1" applyBorder="1" applyAlignment="1">
      <alignment horizontal="right" vertical="center" wrapText="1"/>
    </xf>
    <xf numFmtId="0" fontId="64" fillId="34" borderId="4" xfId="0" applyFont="1" applyFill="1" applyBorder="1" applyAlignment="1">
      <alignment vertical="center" wrapText="1"/>
    </xf>
    <xf numFmtId="10" fontId="65" fillId="36" borderId="4" xfId="0" applyNumberFormat="1" applyFont="1" applyFill="1" applyBorder="1" applyAlignment="1">
      <alignment horizontal="center" vertical="center" wrapText="1"/>
    </xf>
    <xf numFmtId="0" fontId="2" fillId="34" borderId="4" xfId="0" applyFont="1" applyFill="1" applyBorder="1" applyAlignment="1">
      <alignment vertical="center" wrapText="1"/>
    </xf>
    <xf numFmtId="10" fontId="64" fillId="36" borderId="4" xfId="0" applyNumberFormat="1" applyFont="1" applyFill="1" applyBorder="1" applyAlignment="1">
      <alignment horizontal="center" vertical="center" wrapText="1"/>
    </xf>
    <xf numFmtId="10" fontId="64" fillId="39" borderId="4" xfId="0" applyNumberFormat="1" applyFont="1" applyFill="1" applyBorder="1" applyAlignment="1">
      <alignment horizontal="center" vertical="center" wrapText="1"/>
    </xf>
    <xf numFmtId="41" fontId="64" fillId="34" borderId="4" xfId="1" applyFont="1" applyFill="1" applyBorder="1" applyAlignment="1">
      <alignment horizontal="center" vertical="center" wrapText="1"/>
    </xf>
    <xf numFmtId="41" fontId="66" fillId="38" borderId="4" xfId="1" applyFont="1" applyFill="1" applyBorder="1" applyAlignment="1">
      <alignment horizontal="center" vertical="center" wrapText="1"/>
    </xf>
    <xf numFmtId="41" fontId="64" fillId="38" borderId="4" xfId="1" applyFont="1" applyFill="1" applyBorder="1" applyAlignment="1">
      <alignment horizontal="right" vertical="center" wrapText="1"/>
    </xf>
    <xf numFmtId="41" fontId="64" fillId="35" borderId="4" xfId="1" applyFont="1" applyFill="1" applyBorder="1" applyAlignment="1">
      <alignment horizontal="right" vertical="center" wrapText="1"/>
    </xf>
    <xf numFmtId="41" fontId="64" fillId="36" borderId="4" xfId="1" applyFont="1" applyFill="1" applyBorder="1" applyAlignment="1">
      <alignment horizontal="right" vertical="center" wrapText="1"/>
    </xf>
    <xf numFmtId="41" fontId="64" fillId="38" borderId="4" xfId="1" applyFont="1" applyFill="1" applyBorder="1" applyAlignment="1">
      <alignment horizontal="center" vertical="center" wrapText="1"/>
    </xf>
    <xf numFmtId="3" fontId="46" fillId="3" borderId="4" xfId="0" applyNumberFormat="1" applyFont="1" applyFill="1" applyBorder="1" applyAlignment="1">
      <alignment horizontal="right" vertical="center" wrapText="1"/>
    </xf>
    <xf numFmtId="41" fontId="46" fillId="3" borderId="4" xfId="1" applyFont="1" applyFill="1" applyBorder="1" applyAlignment="1">
      <alignment horizontal="right" vertical="center" wrapText="1"/>
    </xf>
    <xf numFmtId="41" fontId="65" fillId="36" borderId="4" xfId="1" applyFont="1" applyFill="1" applyBorder="1" applyAlignment="1">
      <alignment horizontal="left" vertical="center" wrapText="1"/>
    </xf>
    <xf numFmtId="41" fontId="64" fillId="35" borderId="4" xfId="1" applyFont="1" applyFill="1" applyBorder="1" applyAlignment="1">
      <alignment horizontal="left" vertical="center" wrapText="1"/>
    </xf>
    <xf numFmtId="0" fontId="61" fillId="0" borderId="4" xfId="0" applyFont="1" applyBorder="1">
      <alignment vertical="center"/>
    </xf>
    <xf numFmtId="0" fontId="61" fillId="3" borderId="4" xfId="0" applyFont="1" applyFill="1" applyBorder="1">
      <alignment vertical="center"/>
    </xf>
    <xf numFmtId="0" fontId="0" fillId="0" borderId="0" xfId="0" applyBorder="1" applyAlignment="1">
      <alignment horizontal="left" vertical="center" indent="1"/>
    </xf>
    <xf numFmtId="176" fontId="0" fillId="0" borderId="0" xfId="0" applyNumberFormat="1" applyBorder="1">
      <alignment vertical="center"/>
    </xf>
    <xf numFmtId="176" fontId="0" fillId="0" borderId="0" xfId="0" applyNumberFormat="1" applyFill="1" applyBorder="1">
      <alignment vertical="center"/>
    </xf>
    <xf numFmtId="179" fontId="10" fillId="0" borderId="0" xfId="0" applyNumberFormat="1" applyFont="1" applyFill="1" applyBorder="1">
      <alignment vertical="center"/>
    </xf>
    <xf numFmtId="10" fontId="10" fillId="0" borderId="0" xfId="0" applyNumberFormat="1" applyFont="1" applyFill="1" applyBorder="1">
      <alignment vertical="center"/>
    </xf>
    <xf numFmtId="0" fontId="10" fillId="0" borderId="0" xfId="0" applyFont="1" applyFill="1" applyBorder="1" applyAlignment="1">
      <alignment horizontal="center" vertical="center"/>
    </xf>
    <xf numFmtId="179" fontId="10" fillId="0" borderId="0" xfId="0" applyNumberFormat="1" applyFont="1" applyFill="1" applyBorder="1" applyAlignment="1">
      <alignment horizontal="center" vertical="center"/>
    </xf>
    <xf numFmtId="179" fontId="0" fillId="0" borderId="0" xfId="0" applyNumberFormat="1" applyFill="1" applyBorder="1">
      <alignment vertical="center"/>
    </xf>
    <xf numFmtId="0" fontId="0" fillId="0" borderId="0" xfId="0" applyFill="1" applyBorder="1" applyAlignment="1">
      <alignment horizontal="left" vertical="center" indent="1"/>
    </xf>
    <xf numFmtId="0" fontId="0" fillId="0" borderId="0" xfId="0" quotePrefix="1" applyFill="1" applyBorder="1" applyAlignment="1">
      <alignment horizontal="left" vertical="center"/>
    </xf>
    <xf numFmtId="0" fontId="0" fillId="0" borderId="0" xfId="0" quotePrefix="1" applyFill="1" applyBorder="1" applyAlignment="1">
      <alignment horizontal="left" vertical="center" indent="1"/>
    </xf>
    <xf numFmtId="176" fontId="10" fillId="0" borderId="0" xfId="0" applyNumberFormat="1" applyFont="1" applyFill="1" applyBorder="1">
      <alignment vertical="center"/>
    </xf>
    <xf numFmtId="176" fontId="2" fillId="0" borderId="28" xfId="0" applyNumberFormat="1" applyFont="1" applyBorder="1">
      <alignment vertical="center"/>
    </xf>
    <xf numFmtId="176" fontId="2" fillId="0" borderId="27" xfId="0" applyNumberFormat="1" applyFont="1" applyBorder="1">
      <alignment vertical="center"/>
    </xf>
    <xf numFmtId="176" fontId="2" fillId="0" borderId="31" xfId="0" applyNumberFormat="1" applyFont="1" applyBorder="1">
      <alignment vertical="center"/>
    </xf>
    <xf numFmtId="176" fontId="2" fillId="0" borderId="0" xfId="0" applyNumberFormat="1" applyFont="1" applyBorder="1">
      <alignment vertical="center"/>
    </xf>
    <xf numFmtId="176" fontId="38" fillId="3" borderId="31" xfId="0" applyNumberFormat="1" applyFont="1" applyFill="1" applyBorder="1">
      <alignment vertical="center"/>
    </xf>
    <xf numFmtId="176" fontId="38" fillId="0" borderId="0" xfId="0" applyNumberFormat="1" applyFont="1">
      <alignment vertical="center"/>
    </xf>
    <xf numFmtId="176" fontId="6" fillId="14" borderId="31" xfId="0" applyNumberFormat="1" applyFont="1" applyFill="1" applyBorder="1">
      <alignment vertical="center"/>
    </xf>
    <xf numFmtId="176" fontId="6" fillId="0" borderId="0" xfId="0" applyNumberFormat="1" applyFont="1">
      <alignment vertical="center"/>
    </xf>
    <xf numFmtId="176" fontId="6" fillId="3" borderId="31" xfId="0" applyNumberFormat="1" applyFont="1" applyFill="1" applyBorder="1">
      <alignment vertical="center"/>
    </xf>
    <xf numFmtId="176" fontId="38" fillId="14" borderId="31" xfId="0" applyNumberFormat="1" applyFont="1" applyFill="1" applyBorder="1">
      <alignment vertical="center"/>
    </xf>
    <xf numFmtId="0" fontId="26" fillId="0" borderId="24" xfId="0" quotePrefix="1" applyFont="1" applyBorder="1" applyAlignment="1">
      <alignment horizontal="left" vertical="center"/>
    </xf>
    <xf numFmtId="176" fontId="26" fillId="0" borderId="25" xfId="0" applyNumberFormat="1" applyFont="1" applyBorder="1">
      <alignment vertical="center"/>
    </xf>
    <xf numFmtId="176" fontId="26" fillId="0" borderId="24" xfId="0" applyNumberFormat="1" applyFont="1" applyBorder="1">
      <alignment vertical="center"/>
    </xf>
    <xf numFmtId="0" fontId="26" fillId="0" borderId="36" xfId="0" quotePrefix="1" applyFont="1" applyBorder="1" applyAlignment="1">
      <alignment horizontal="left" vertical="center"/>
    </xf>
    <xf numFmtId="176" fontId="26" fillId="0" borderId="2" xfId="0" applyNumberFormat="1" applyFont="1" applyBorder="1">
      <alignment vertical="center"/>
    </xf>
    <xf numFmtId="176" fontId="26" fillId="0" borderId="36" xfId="0" applyNumberFormat="1" applyFont="1" applyBorder="1">
      <alignment vertical="center"/>
    </xf>
    <xf numFmtId="3" fontId="0" fillId="0" borderId="0" xfId="0" applyNumberFormat="1" applyBorder="1">
      <alignment vertical="center"/>
    </xf>
    <xf numFmtId="0" fontId="63" fillId="41" borderId="84" xfId="0" applyFont="1" applyFill="1" applyBorder="1" applyAlignment="1">
      <alignment horizontal="center" vertical="center"/>
    </xf>
    <xf numFmtId="0" fontId="0" fillId="0" borderId="0" xfId="0" applyBorder="1" applyAlignment="1">
      <alignment vertical="center" wrapText="1"/>
    </xf>
    <xf numFmtId="3" fontId="0" fillId="0" borderId="0" xfId="0" applyNumberFormat="1" applyFill="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42" borderId="87" xfId="0" applyFont="1" applyFill="1" applyBorder="1">
      <alignment vertical="center"/>
    </xf>
    <xf numFmtId="0" fontId="0" fillId="42" borderId="88" xfId="0" applyFont="1" applyFill="1" applyBorder="1">
      <alignment vertical="center"/>
    </xf>
    <xf numFmtId="0" fontId="0" fillId="0" borderId="87" xfId="0" applyFont="1" applyBorder="1">
      <alignment vertical="center"/>
    </xf>
    <xf numFmtId="0" fontId="0" fillId="0" borderId="88" xfId="0" applyFont="1" applyBorder="1">
      <alignment vertical="center"/>
    </xf>
    <xf numFmtId="0" fontId="0" fillId="42" borderId="87" xfId="0" applyFont="1" applyFill="1" applyBorder="1" applyAlignment="1">
      <alignment vertical="center" wrapText="1"/>
    </xf>
    <xf numFmtId="0" fontId="0" fillId="0" borderId="87" xfId="0" applyFont="1" applyBorder="1" applyAlignment="1">
      <alignment vertical="center" wrapText="1"/>
    </xf>
    <xf numFmtId="0" fontId="0" fillId="0" borderId="90" xfId="0" applyFont="1" applyBorder="1">
      <alignment vertical="center"/>
    </xf>
    <xf numFmtId="0" fontId="0" fillId="0" borderId="91" xfId="0" applyFont="1" applyBorder="1">
      <alignment vertical="center"/>
    </xf>
    <xf numFmtId="0" fontId="0" fillId="0" borderId="90" xfId="0" applyFont="1" applyBorder="1" applyAlignment="1">
      <alignment vertical="center" wrapText="1"/>
    </xf>
    <xf numFmtId="0" fontId="63" fillId="0" borderId="85" xfId="0" applyFont="1" applyFill="1" applyBorder="1" applyAlignment="1">
      <alignment horizontal="center" vertical="center"/>
    </xf>
    <xf numFmtId="3" fontId="4" fillId="0" borderId="85" xfId="0" applyNumberFormat="1" applyFont="1" applyFill="1" applyBorder="1" applyAlignment="1">
      <alignment horizontal="center" vertical="center"/>
    </xf>
    <xf numFmtId="3" fontId="63" fillId="0" borderId="85" xfId="0" applyNumberFormat="1" applyFont="1" applyFill="1" applyBorder="1" applyAlignment="1">
      <alignment horizontal="center" vertical="center"/>
    </xf>
    <xf numFmtId="3" fontId="0" fillId="0" borderId="0" xfId="0" applyNumberFormat="1" applyFill="1" applyBorder="1" applyAlignment="1">
      <alignment horizontal="center" vertical="center"/>
    </xf>
    <xf numFmtId="3" fontId="0" fillId="0" borderId="85" xfId="0" applyNumberFormat="1" applyFill="1" applyBorder="1" applyAlignment="1">
      <alignment horizontal="center" vertical="center"/>
    </xf>
    <xf numFmtId="3" fontId="0" fillId="0" borderId="0" xfId="0" applyNumberFormat="1" applyBorder="1" applyAlignment="1">
      <alignment horizontal="center" vertical="center"/>
    </xf>
    <xf numFmtId="3" fontId="69" fillId="3" borderId="83" xfId="0" applyNumberFormat="1" applyFont="1" applyFill="1" applyBorder="1" applyAlignment="1">
      <alignment horizontal="center" vertical="center"/>
    </xf>
    <xf numFmtId="0" fontId="61" fillId="3" borderId="15" xfId="0" applyFont="1" applyFill="1" applyBorder="1" applyAlignment="1">
      <alignment horizontal="center" vertical="center"/>
    </xf>
    <xf numFmtId="3" fontId="26" fillId="3" borderId="11" xfId="1" applyNumberFormat="1" applyFont="1" applyFill="1" applyBorder="1" applyAlignment="1">
      <alignment horizontal="center" vertical="center"/>
    </xf>
    <xf numFmtId="3" fontId="26" fillId="3" borderId="7" xfId="1" applyNumberFormat="1" applyFont="1" applyFill="1" applyBorder="1" applyAlignment="1">
      <alignment horizontal="center" vertical="center"/>
    </xf>
    <xf numFmtId="3" fontId="2" fillId="0" borderId="19" xfId="0" applyNumberFormat="1" applyFont="1" applyFill="1" applyBorder="1">
      <alignment vertical="center"/>
    </xf>
    <xf numFmtId="41" fontId="0" fillId="0" borderId="0" xfId="1" applyFont="1" applyAlignment="1">
      <alignment horizontal="center" vertical="center"/>
    </xf>
    <xf numFmtId="0" fontId="2" fillId="0" borderId="19" xfId="0" applyFont="1" applyBorder="1" applyAlignment="1">
      <alignment horizontal="center" vertical="center"/>
    </xf>
    <xf numFmtId="0" fontId="0" fillId="0" borderId="87" xfId="0" applyFont="1" applyBorder="1" applyAlignment="1">
      <alignment horizontal="center" vertical="center"/>
    </xf>
    <xf numFmtId="0" fontId="0" fillId="42" borderId="87" xfId="0" applyFont="1" applyFill="1" applyBorder="1" applyAlignment="1">
      <alignment horizontal="center" vertical="center"/>
    </xf>
    <xf numFmtId="0" fontId="0" fillId="0" borderId="87" xfId="0" applyFont="1" applyBorder="1" applyAlignment="1">
      <alignment horizontal="center" vertical="center" wrapText="1"/>
    </xf>
    <xf numFmtId="0" fontId="0" fillId="0" borderId="90" xfId="0" applyFont="1" applyBorder="1" applyAlignment="1">
      <alignment horizontal="center" vertical="center"/>
    </xf>
    <xf numFmtId="0" fontId="0" fillId="0" borderId="0" xfId="0" applyBorder="1" applyAlignment="1">
      <alignment horizontal="center" vertical="center" wrapText="1"/>
    </xf>
    <xf numFmtId="0" fontId="0" fillId="0" borderId="86" xfId="0" applyFont="1" applyBorder="1" applyAlignment="1">
      <alignment horizontal="center" vertical="center"/>
    </xf>
    <xf numFmtId="0" fontId="0" fillId="42" borderId="86" xfId="0" applyFont="1" applyFill="1" applyBorder="1" applyAlignment="1">
      <alignment horizontal="center" vertical="center"/>
    </xf>
    <xf numFmtId="0" fontId="0" fillId="0" borderId="89" xfId="0" applyFont="1" applyBorder="1" applyAlignment="1">
      <alignment horizontal="center" vertical="center"/>
    </xf>
    <xf numFmtId="0" fontId="0" fillId="0" borderId="92" xfId="0" applyBorder="1">
      <alignment vertical="center"/>
    </xf>
    <xf numFmtId="3" fontId="0" fillId="0" borderId="92" xfId="0" applyNumberFormat="1" applyBorder="1">
      <alignment vertical="center"/>
    </xf>
    <xf numFmtId="0" fontId="0" fillId="0" borderId="92" xfId="0" applyBorder="1" applyAlignment="1">
      <alignment vertical="center" wrapText="1"/>
    </xf>
    <xf numFmtId="0" fontId="63" fillId="41" borderId="93" xfId="0" applyFont="1" applyFill="1" applyBorder="1" applyAlignment="1">
      <alignment horizontal="center" vertical="center"/>
    </xf>
    <xf numFmtId="0" fontId="63" fillId="41" borderId="94" xfId="0" applyFont="1" applyFill="1" applyBorder="1" applyAlignment="1">
      <alignment horizontal="center" vertical="center"/>
    </xf>
    <xf numFmtId="3" fontId="63" fillId="41" borderId="94" xfId="0" applyNumberFormat="1" applyFont="1" applyFill="1" applyBorder="1" applyAlignment="1">
      <alignment horizontal="center" vertical="center"/>
    </xf>
    <xf numFmtId="3" fontId="4" fillId="3" borderId="94" xfId="0" applyNumberFormat="1" applyFont="1" applyFill="1" applyBorder="1" applyAlignment="1">
      <alignment horizontal="center" vertical="center"/>
    </xf>
    <xf numFmtId="3" fontId="63" fillId="41" borderId="95" xfId="0" applyNumberFormat="1" applyFont="1" applyFill="1" applyBorder="1" applyAlignment="1">
      <alignment horizontal="center" vertical="center"/>
    </xf>
    <xf numFmtId="0" fontId="0" fillId="0" borderId="96" xfId="0" applyBorder="1">
      <alignment vertical="center"/>
    </xf>
    <xf numFmtId="0" fontId="0" fillId="0" borderId="98" xfId="0" applyBorder="1">
      <alignment vertical="center"/>
    </xf>
    <xf numFmtId="3" fontId="0" fillId="0" borderId="98" xfId="0" applyNumberFormat="1" applyBorder="1">
      <alignment vertical="center"/>
    </xf>
    <xf numFmtId="41" fontId="61" fillId="3" borderId="8" xfId="1" applyFont="1" applyFill="1" applyBorder="1" applyAlignment="1">
      <alignment horizontal="center" vertical="center"/>
    </xf>
    <xf numFmtId="0" fontId="61" fillId="3" borderId="57" xfId="0" applyFont="1" applyFill="1" applyBorder="1" applyAlignment="1">
      <alignment horizontal="center" vertical="center"/>
    </xf>
    <xf numFmtId="41" fontId="7" fillId="0" borderId="0" xfId="0" applyNumberFormat="1" applyFont="1" applyProtection="1">
      <alignment vertical="center"/>
      <protection hidden="1"/>
    </xf>
    <xf numFmtId="0" fontId="0" fillId="0" borderId="92" xfId="0" applyFont="1" applyFill="1" applyBorder="1">
      <alignment vertical="center"/>
    </xf>
    <xf numFmtId="3" fontId="0" fillId="0" borderId="92" xfId="0" applyNumberFormat="1" applyFont="1" applyFill="1" applyBorder="1">
      <alignment vertical="center"/>
    </xf>
    <xf numFmtId="9" fontId="0" fillId="0" borderId="92" xfId="0" applyNumberFormat="1" applyFont="1" applyFill="1" applyBorder="1">
      <alignment vertical="center"/>
    </xf>
    <xf numFmtId="0" fontId="0" fillId="0" borderId="96" xfId="0" applyFont="1" applyFill="1" applyBorder="1">
      <alignment vertical="center"/>
    </xf>
    <xf numFmtId="0" fontId="0" fillId="0" borderId="98" xfId="0" applyFont="1" applyFill="1" applyBorder="1">
      <alignment vertical="center"/>
    </xf>
    <xf numFmtId="3" fontId="0" fillId="0" borderId="98" xfId="0" applyNumberFormat="1" applyFont="1" applyFill="1" applyBorder="1">
      <alignment vertical="center"/>
    </xf>
    <xf numFmtId="9" fontId="0" fillId="0" borderId="98" xfId="0" applyNumberFormat="1" applyFont="1" applyFill="1" applyBorder="1">
      <alignment vertical="center"/>
    </xf>
    <xf numFmtId="0" fontId="0" fillId="0" borderId="92" xfId="0" applyFont="1" applyFill="1" applyBorder="1" applyAlignment="1">
      <alignment horizontal="left" vertical="center"/>
    </xf>
    <xf numFmtId="0" fontId="6" fillId="0" borderId="92" xfId="0" applyFont="1" applyFill="1" applyBorder="1">
      <alignment vertical="center"/>
    </xf>
    <xf numFmtId="0" fontId="6" fillId="0" borderId="98" xfId="0" applyFont="1" applyFill="1" applyBorder="1">
      <alignment vertical="center"/>
    </xf>
    <xf numFmtId="3" fontId="4" fillId="2" borderId="8" xfId="1" applyNumberFormat="1" applyFont="1" applyFill="1" applyBorder="1" applyAlignment="1" applyProtection="1">
      <alignment horizontal="center" vertical="center"/>
      <protection hidden="1"/>
    </xf>
    <xf numFmtId="3" fontId="4" fillId="5" borderId="8" xfId="1" applyNumberFormat="1" applyFont="1" applyFill="1" applyBorder="1" applyAlignment="1" applyProtection="1">
      <alignment horizontal="center" vertical="center"/>
      <protection hidden="1"/>
    </xf>
    <xf numFmtId="3" fontId="4" fillId="5" borderId="1" xfId="1" applyNumberFormat="1" applyFont="1" applyFill="1" applyBorder="1" applyAlignment="1" applyProtection="1">
      <alignment horizontal="center" vertical="center"/>
      <protection hidden="1"/>
    </xf>
    <xf numFmtId="178" fontId="0" fillId="0" borderId="19" xfId="0" applyNumberFormat="1" applyFont="1" applyFill="1" applyBorder="1" applyProtection="1">
      <alignment vertical="center"/>
      <protection hidden="1"/>
    </xf>
    <xf numFmtId="178" fontId="0" fillId="0" borderId="92" xfId="0" applyNumberFormat="1" applyFont="1" applyFill="1" applyBorder="1" applyProtection="1">
      <alignment vertical="center"/>
      <protection hidden="1"/>
    </xf>
    <xf numFmtId="3" fontId="0" fillId="0" borderId="19" xfId="0" applyNumberFormat="1" applyFont="1" applyFill="1" applyBorder="1" applyProtection="1">
      <alignment vertical="center"/>
      <protection hidden="1"/>
    </xf>
    <xf numFmtId="3" fontId="0" fillId="0" borderId="92" xfId="0" applyNumberFormat="1" applyFont="1" applyFill="1" applyBorder="1" applyProtection="1">
      <alignment vertical="center"/>
      <protection hidden="1"/>
    </xf>
    <xf numFmtId="3" fontId="26" fillId="3" borderId="8" xfId="1" applyNumberFormat="1" applyFont="1" applyFill="1" applyBorder="1" applyAlignment="1" applyProtection="1">
      <alignment horizontal="center" vertical="center"/>
      <protection hidden="1"/>
    </xf>
    <xf numFmtId="0" fontId="9" fillId="9" borderId="99" xfId="0" applyFont="1" applyFill="1" applyBorder="1" applyAlignment="1">
      <alignment horizontal="center" vertical="center"/>
    </xf>
    <xf numFmtId="0" fontId="9" fillId="9" borderId="100" xfId="0" applyFont="1" applyFill="1" applyBorder="1" applyAlignment="1">
      <alignment horizontal="center" vertical="center"/>
    </xf>
    <xf numFmtId="0" fontId="9" fillId="9" borderId="101" xfId="0" applyFont="1" applyFill="1" applyBorder="1" applyAlignment="1">
      <alignment horizontal="center" vertical="center"/>
    </xf>
    <xf numFmtId="0" fontId="7" fillId="0" borderId="102" xfId="0" applyFont="1" applyBorder="1">
      <alignment vertical="center"/>
    </xf>
    <xf numFmtId="0" fontId="7" fillId="0" borderId="103" xfId="0" applyFont="1" applyBorder="1">
      <alignment vertical="center"/>
    </xf>
    <xf numFmtId="3" fontId="12" fillId="0" borderId="103" xfId="0" applyNumberFormat="1" applyFont="1" applyBorder="1">
      <alignment vertical="center"/>
    </xf>
    <xf numFmtId="3" fontId="12" fillId="0" borderId="104" xfId="0" applyNumberFormat="1" applyFont="1" applyBorder="1">
      <alignment vertical="center"/>
    </xf>
    <xf numFmtId="0" fontId="14" fillId="0" borderId="102" xfId="0" applyFont="1" applyBorder="1">
      <alignment vertical="center"/>
    </xf>
    <xf numFmtId="0" fontId="14" fillId="0" borderId="103" xfId="0" applyFont="1" applyBorder="1">
      <alignment vertical="center"/>
    </xf>
    <xf numFmtId="0" fontId="7" fillId="10" borderId="102" xfId="0" applyFont="1" applyFill="1" applyBorder="1" applyAlignment="1">
      <alignment horizontal="centerContinuous" vertical="center"/>
    </xf>
    <xf numFmtId="0" fontId="7" fillId="10" borderId="103" xfId="0" applyFont="1" applyFill="1" applyBorder="1" applyAlignment="1">
      <alignment horizontal="centerContinuous" vertical="center"/>
    </xf>
    <xf numFmtId="41" fontId="12" fillId="10" borderId="103" xfId="0" applyNumberFormat="1" applyFont="1" applyFill="1" applyBorder="1">
      <alignment vertical="center"/>
    </xf>
    <xf numFmtId="41" fontId="12" fillId="10" borderId="104" xfId="0" applyNumberFormat="1" applyFont="1" applyFill="1" applyBorder="1">
      <alignment vertical="center"/>
    </xf>
    <xf numFmtId="0" fontId="7" fillId="10" borderId="105" xfId="0" applyFont="1" applyFill="1" applyBorder="1" applyAlignment="1">
      <alignment horizontal="centerContinuous" vertical="center"/>
    </xf>
    <xf numFmtId="0" fontId="7" fillId="10" borderId="106" xfId="0" applyFont="1" applyFill="1" applyBorder="1" applyAlignment="1">
      <alignment horizontal="centerContinuous" vertical="center"/>
    </xf>
    <xf numFmtId="41" fontId="12" fillId="10" borderId="106" xfId="0" applyNumberFormat="1" applyFont="1" applyFill="1" applyBorder="1">
      <alignment vertical="center"/>
    </xf>
    <xf numFmtId="41" fontId="12" fillId="10" borderId="107" xfId="0" applyNumberFormat="1" applyFont="1" applyFill="1" applyBorder="1">
      <alignment vertical="center"/>
    </xf>
    <xf numFmtId="0" fontId="2" fillId="0" borderId="92" xfId="0" applyFont="1" applyBorder="1">
      <alignment vertical="center"/>
    </xf>
    <xf numFmtId="0" fontId="2" fillId="0" borderId="92" xfId="0" applyFont="1" applyBorder="1" applyAlignment="1">
      <alignment horizontal="center" vertical="center"/>
    </xf>
    <xf numFmtId="3" fontId="2" fillId="0" borderId="92" xfId="0" applyNumberFormat="1" applyFont="1" applyBorder="1">
      <alignment vertical="center"/>
    </xf>
    <xf numFmtId="3" fontId="2" fillId="0" borderId="92" xfId="0" applyNumberFormat="1" applyFont="1" applyFill="1" applyBorder="1">
      <alignment vertical="center"/>
    </xf>
    <xf numFmtId="3" fontId="2" fillId="6" borderId="92" xfId="0" applyNumberFormat="1" applyFont="1" applyFill="1" applyBorder="1">
      <alignment vertical="center"/>
    </xf>
    <xf numFmtId="9" fontId="2" fillId="0" borderId="92" xfId="0" applyNumberFormat="1" applyFont="1" applyBorder="1">
      <alignment vertical="center"/>
    </xf>
    <xf numFmtId="41" fontId="2" fillId="0" borderId="92" xfId="1" applyNumberFormat="1" applyFont="1" applyBorder="1">
      <alignment vertical="center"/>
    </xf>
    <xf numFmtId="0" fontId="2" fillId="0" borderId="92" xfId="0" applyFont="1" applyFill="1" applyBorder="1">
      <alignment vertical="center"/>
    </xf>
    <xf numFmtId="0" fontId="2" fillId="0" borderId="92" xfId="0" applyFont="1" applyBorder="1" applyAlignment="1">
      <alignment horizontal="left" vertical="center"/>
    </xf>
    <xf numFmtId="3" fontId="2" fillId="4" borderId="92" xfId="0" applyNumberFormat="1" applyFont="1" applyFill="1" applyBorder="1">
      <alignment vertical="center"/>
    </xf>
    <xf numFmtId="0" fontId="2" fillId="0" borderId="96" xfId="0" applyFont="1" applyBorder="1">
      <alignment vertical="center"/>
    </xf>
    <xf numFmtId="0" fontId="2" fillId="0" borderId="97" xfId="0" applyFont="1" applyBorder="1">
      <alignment vertical="center"/>
    </xf>
    <xf numFmtId="0" fontId="2" fillId="0" borderId="98" xfId="0" applyFont="1" applyBorder="1">
      <alignment vertical="center"/>
    </xf>
    <xf numFmtId="0" fontId="2" fillId="0" borderId="98" xfId="0" applyFont="1" applyFill="1" applyBorder="1">
      <alignment vertical="center"/>
    </xf>
    <xf numFmtId="9" fontId="2" fillId="0" borderId="98" xfId="0" applyNumberFormat="1" applyFont="1" applyBorder="1">
      <alignment vertical="center"/>
    </xf>
    <xf numFmtId="3" fontId="2" fillId="6" borderId="98" xfId="0" applyNumberFormat="1" applyFont="1" applyFill="1" applyBorder="1">
      <alignment vertical="center"/>
    </xf>
    <xf numFmtId="41" fontId="2" fillId="0" borderId="98" xfId="1" applyNumberFormat="1" applyFont="1" applyBorder="1">
      <alignment vertical="center"/>
    </xf>
    <xf numFmtId="3" fontId="2" fillId="0" borderId="98" xfId="0" applyNumberFormat="1" applyFont="1" applyBorder="1">
      <alignment vertical="center"/>
    </xf>
    <xf numFmtId="3" fontId="2" fillId="4" borderId="98" xfId="0" applyNumberFormat="1" applyFont="1" applyFill="1" applyBorder="1">
      <alignment vertical="center"/>
    </xf>
    <xf numFmtId="41" fontId="0" fillId="0" borderId="92" xfId="1" applyNumberFormat="1" applyFont="1" applyFill="1" applyBorder="1">
      <alignment vertical="center"/>
    </xf>
    <xf numFmtId="178" fontId="2" fillId="0" borderId="92" xfId="0" applyNumberFormat="1" applyFont="1" applyBorder="1">
      <alignment vertical="center"/>
    </xf>
    <xf numFmtId="181" fontId="2" fillId="0" borderId="92" xfId="1" applyNumberFormat="1" applyFont="1" applyBorder="1">
      <alignment vertical="center"/>
    </xf>
    <xf numFmtId="0" fontId="2" fillId="3" borderId="92" xfId="0" applyFont="1" applyFill="1" applyBorder="1">
      <alignment vertical="center"/>
    </xf>
    <xf numFmtId="178" fontId="2" fillId="0" borderId="98" xfId="0" applyNumberFormat="1" applyFont="1" applyBorder="1">
      <alignment vertical="center"/>
    </xf>
    <xf numFmtId="3" fontId="2" fillId="0" borderId="98" xfId="0" applyNumberFormat="1" applyFont="1" applyFill="1" applyBorder="1">
      <alignment vertical="center"/>
    </xf>
    <xf numFmtId="181" fontId="2" fillId="0" borderId="98" xfId="1" applyNumberFormat="1" applyFont="1" applyBorder="1">
      <alignment vertical="center"/>
    </xf>
    <xf numFmtId="0" fontId="0" fillId="0" borderId="92" xfId="0" applyBorder="1" applyAlignment="1">
      <alignment horizontal="center" vertical="center"/>
    </xf>
    <xf numFmtId="0" fontId="0" fillId="0" borderId="98" xfId="0" applyBorder="1" applyAlignment="1">
      <alignment horizontal="center" vertical="center"/>
    </xf>
    <xf numFmtId="0" fontId="46" fillId="0" borderId="4" xfId="0" applyFont="1" applyFill="1" applyBorder="1">
      <alignment vertical="center"/>
    </xf>
    <xf numFmtId="0" fontId="60" fillId="0" borderId="4" xfId="0" applyFont="1" applyFill="1" applyBorder="1" applyAlignment="1">
      <alignment horizontal="left" vertical="center"/>
    </xf>
    <xf numFmtId="41" fontId="2" fillId="0" borderId="4" xfId="0" applyNumberFormat="1" applyFont="1" applyFill="1" applyBorder="1">
      <alignment vertical="center"/>
    </xf>
    <xf numFmtId="0" fontId="25" fillId="0" borderId="0" xfId="0" applyFont="1" applyFill="1">
      <alignment vertical="center"/>
    </xf>
    <xf numFmtId="0" fontId="0" fillId="0" borderId="0" xfId="0" applyFill="1" applyBorder="1" applyAlignment="1">
      <alignment horizontal="center" vertical="center" wrapText="1"/>
    </xf>
    <xf numFmtId="41" fontId="0" fillId="0" borderId="98" xfId="1" applyNumberFormat="1" applyFont="1" applyFill="1" applyBorder="1">
      <alignment vertical="center"/>
    </xf>
    <xf numFmtId="0" fontId="63" fillId="7" borderId="15" xfId="0" applyFont="1" applyFill="1" applyBorder="1" applyAlignment="1">
      <alignment horizontal="center" vertical="center"/>
    </xf>
    <xf numFmtId="41" fontId="63" fillId="7" borderId="15" xfId="1" applyFont="1" applyFill="1" applyBorder="1" applyAlignment="1">
      <alignment horizontal="center" vertical="center"/>
    </xf>
    <xf numFmtId="0" fontId="63" fillId="7" borderId="14" xfId="0" applyFont="1" applyFill="1" applyBorder="1" applyAlignment="1">
      <alignment horizontal="center" vertical="center"/>
    </xf>
    <xf numFmtId="0" fontId="63" fillId="7" borderId="1" xfId="0" applyFont="1" applyFill="1" applyBorder="1" applyAlignment="1">
      <alignment horizontal="center" vertical="center"/>
    </xf>
    <xf numFmtId="0" fontId="62" fillId="13" borderId="2" xfId="0" applyFont="1" applyFill="1" applyBorder="1" applyAlignment="1">
      <alignment horizontal="center" vertical="center"/>
    </xf>
    <xf numFmtId="0" fontId="62" fillId="13" borderId="2" xfId="0" applyFont="1" applyFill="1" applyBorder="1" applyAlignment="1">
      <alignment horizontal="left" vertical="center"/>
    </xf>
    <xf numFmtId="0" fontId="0" fillId="4" borderId="92" xfId="0" applyFill="1" applyBorder="1">
      <alignment vertical="center"/>
    </xf>
    <xf numFmtId="3" fontId="0" fillId="4" borderId="92" xfId="0" applyNumberFormat="1" applyFill="1" applyBorder="1">
      <alignment vertical="center"/>
    </xf>
    <xf numFmtId="0" fontId="0" fillId="4" borderId="98" xfId="0" applyFill="1" applyBorder="1">
      <alignment vertical="center"/>
    </xf>
    <xf numFmtId="3" fontId="0" fillId="4" borderId="98" xfId="0" applyNumberFormat="1" applyFill="1" applyBorder="1">
      <alignment vertical="center"/>
    </xf>
    <xf numFmtId="0" fontId="2" fillId="0" borderId="98" xfId="0" applyFont="1" applyBorder="1" applyAlignment="1">
      <alignment horizontal="left" vertical="center"/>
    </xf>
    <xf numFmtId="0" fontId="0" fillId="0" borderId="97" xfId="0" applyBorder="1">
      <alignment vertical="center"/>
    </xf>
    <xf numFmtId="186" fontId="0" fillId="0" borderId="0" xfId="0" applyNumberFormat="1">
      <alignment vertical="center"/>
    </xf>
    <xf numFmtId="0" fontId="2" fillId="3" borderId="2" xfId="0" quotePrefix="1" applyFont="1" applyFill="1" applyBorder="1" applyAlignment="1">
      <alignment horizontal="center" vertical="center"/>
    </xf>
    <xf numFmtId="41" fontId="2" fillId="3" borderId="2" xfId="1" applyFont="1" applyFill="1" applyBorder="1" applyAlignment="1">
      <alignment vertical="center" shrinkToFit="1"/>
    </xf>
    <xf numFmtId="0" fontId="0" fillId="0" borderId="19" xfId="0" applyFont="1" applyFill="1" applyBorder="1" applyAlignment="1">
      <alignment horizontal="center" vertical="center"/>
    </xf>
    <xf numFmtId="0" fontId="0" fillId="0" borderId="92" xfId="0" applyFont="1" applyFill="1" applyBorder="1" applyAlignment="1">
      <alignment horizontal="center" vertical="center"/>
    </xf>
    <xf numFmtId="41" fontId="7" fillId="0" borderId="0" xfId="1" applyFont="1">
      <alignment vertical="center"/>
    </xf>
    <xf numFmtId="0" fontId="7" fillId="0" borderId="0" xfId="0" applyFont="1" applyBorder="1" applyAlignment="1">
      <alignment horizontal="center" vertical="center"/>
    </xf>
    <xf numFmtId="41" fontId="7" fillId="0" borderId="4" xfId="0" applyNumberFormat="1" applyFont="1" applyBorder="1">
      <alignment vertical="center"/>
    </xf>
    <xf numFmtId="0" fontId="7" fillId="3" borderId="4" xfId="0" applyFont="1" applyFill="1" applyBorder="1">
      <alignment vertical="center"/>
    </xf>
    <xf numFmtId="41" fontId="7" fillId="0" borderId="0" xfId="0" applyNumberFormat="1" applyFont="1" applyFill="1" applyProtection="1">
      <alignment vertical="center"/>
      <protection hidden="1"/>
    </xf>
    <xf numFmtId="0" fontId="7" fillId="0" borderId="0" xfId="0" applyFont="1" applyFill="1">
      <alignment vertical="center"/>
    </xf>
    <xf numFmtId="0" fontId="5" fillId="0" borderId="15" xfId="0" applyFont="1" applyBorder="1">
      <alignment vertical="center"/>
    </xf>
    <xf numFmtId="0" fontId="5" fillId="0" borderId="1" xfId="0" applyFont="1" applyBorder="1">
      <alignment vertical="center"/>
    </xf>
    <xf numFmtId="0" fontId="0" fillId="0" borderId="6" xfId="0" applyBorder="1">
      <alignment vertical="center"/>
    </xf>
    <xf numFmtId="0" fontId="0" fillId="0" borderId="5" xfId="0" applyBorder="1">
      <alignment vertical="center"/>
    </xf>
    <xf numFmtId="41" fontId="7" fillId="0" borderId="0" xfId="0" applyNumberFormat="1" applyFont="1" applyBorder="1">
      <alignment vertical="center"/>
    </xf>
    <xf numFmtId="0" fontId="10" fillId="13" borderId="0" xfId="0" applyFont="1" applyFill="1">
      <alignment vertical="center"/>
    </xf>
    <xf numFmtId="0" fontId="6" fillId="13" borderId="0" xfId="0" applyFont="1" applyFill="1">
      <alignment vertical="center"/>
    </xf>
    <xf numFmtId="0" fontId="8" fillId="0" borderId="0" xfId="0" applyFont="1" applyBorder="1">
      <alignment vertical="center"/>
    </xf>
    <xf numFmtId="41" fontId="8" fillId="0" borderId="0" xfId="0" applyNumberFormat="1" applyFont="1" applyBorder="1">
      <alignment vertical="center"/>
    </xf>
    <xf numFmtId="41" fontId="61" fillId="9" borderId="8" xfId="1" applyFont="1" applyFill="1" applyBorder="1" applyAlignment="1">
      <alignment horizontal="center" vertical="center"/>
    </xf>
    <xf numFmtId="0" fontId="7" fillId="0" borderId="92" xfId="0" applyFont="1" applyBorder="1">
      <alignment vertical="center"/>
    </xf>
    <xf numFmtId="0" fontId="14" fillId="0" borderId="92" xfId="0" applyFont="1" applyBorder="1">
      <alignment vertical="center"/>
    </xf>
    <xf numFmtId="0" fontId="7" fillId="10" borderId="92" xfId="0" applyFont="1" applyFill="1" applyBorder="1" applyAlignment="1">
      <alignment horizontal="centerContinuous" vertical="center"/>
    </xf>
    <xf numFmtId="41" fontId="12" fillId="10" borderId="92" xfId="0" applyNumberFormat="1" applyFont="1" applyFill="1" applyBorder="1">
      <alignment vertical="center"/>
    </xf>
    <xf numFmtId="0" fontId="7" fillId="0" borderId="19" xfId="0" applyFont="1" applyBorder="1">
      <alignment vertical="center"/>
    </xf>
    <xf numFmtId="0" fontId="9" fillId="9" borderId="14" xfId="0" applyFont="1" applyFill="1" applyBorder="1" applyAlignment="1">
      <alignment horizontal="center" vertical="center"/>
    </xf>
    <xf numFmtId="0" fontId="9" fillId="9" borderId="15" xfId="0" applyFont="1" applyFill="1" applyBorder="1" applyAlignment="1">
      <alignment horizontal="center" vertical="center"/>
    </xf>
    <xf numFmtId="0" fontId="9" fillId="9" borderId="1" xfId="0" applyFont="1" applyFill="1" applyBorder="1" applyAlignment="1">
      <alignment horizontal="center" vertical="center"/>
    </xf>
    <xf numFmtId="0" fontId="7" fillId="0" borderId="20" xfId="0" applyFont="1" applyBorder="1">
      <alignment vertical="center"/>
    </xf>
    <xf numFmtId="0" fontId="7" fillId="0" borderId="96" xfId="0" applyFont="1" applyBorder="1">
      <alignment vertical="center"/>
    </xf>
    <xf numFmtId="0" fontId="7" fillId="10" borderId="96" xfId="0" applyFont="1" applyFill="1" applyBorder="1" applyAlignment="1">
      <alignment horizontal="centerContinuous" vertical="center"/>
    </xf>
    <xf numFmtId="41" fontId="12" fillId="10" borderId="6" xfId="0" applyNumberFormat="1" applyFont="1" applyFill="1" applyBorder="1">
      <alignment vertical="center"/>
    </xf>
    <xf numFmtId="0" fontId="7" fillId="10" borderId="97" xfId="0" applyFont="1" applyFill="1" applyBorder="1" applyAlignment="1">
      <alignment horizontal="centerContinuous" vertical="center"/>
    </xf>
    <xf numFmtId="0" fontId="7" fillId="10" borderId="98" xfId="0" applyFont="1" applyFill="1" applyBorder="1" applyAlignment="1">
      <alignment horizontal="centerContinuous" vertical="center"/>
    </xf>
    <xf numFmtId="41" fontId="12" fillId="10" borderId="98" xfId="0" applyNumberFormat="1" applyFont="1" applyFill="1" applyBorder="1">
      <alignment vertical="center"/>
    </xf>
    <xf numFmtId="41" fontId="12" fillId="10" borderId="5" xfId="0" applyNumberFormat="1" applyFont="1" applyFill="1" applyBorder="1">
      <alignment vertical="center"/>
    </xf>
    <xf numFmtId="3" fontId="12" fillId="0" borderId="19" xfId="0" applyNumberFormat="1" applyFont="1" applyBorder="1">
      <alignment vertical="center"/>
    </xf>
    <xf numFmtId="0" fontId="12" fillId="0" borderId="19" xfId="0" applyFont="1" applyBorder="1">
      <alignment vertical="center"/>
    </xf>
    <xf numFmtId="0" fontId="12" fillId="0" borderId="9" xfId="0" applyFont="1" applyBorder="1">
      <alignment vertical="center"/>
    </xf>
    <xf numFmtId="3" fontId="12" fillId="0" borderId="92" xfId="0" applyNumberFormat="1" applyFont="1" applyBorder="1">
      <alignment vertical="center"/>
    </xf>
    <xf numFmtId="0" fontId="12" fillId="0" borderId="92" xfId="0" applyFont="1" applyBorder="1">
      <alignment vertical="center"/>
    </xf>
    <xf numFmtId="0" fontId="12" fillId="0" borderId="6" xfId="0" applyFont="1" applyBorder="1">
      <alignment vertical="center"/>
    </xf>
    <xf numFmtId="41" fontId="70" fillId="10" borderId="92" xfId="0" applyNumberFormat="1" applyFont="1" applyFill="1" applyBorder="1">
      <alignment vertical="center"/>
    </xf>
    <xf numFmtId="3" fontId="12" fillId="0" borderId="6" xfId="0" applyNumberFormat="1" applyFont="1" applyBorder="1">
      <alignment vertical="center"/>
    </xf>
    <xf numFmtId="41" fontId="70" fillId="10" borderId="98" xfId="0" applyNumberFormat="1" applyFont="1" applyFill="1" applyBorder="1">
      <alignment vertical="center"/>
    </xf>
    <xf numFmtId="0" fontId="14" fillId="0" borderId="96" xfId="0" applyFont="1" applyBorder="1">
      <alignment vertical="center"/>
    </xf>
    <xf numFmtId="0" fontId="7" fillId="0" borderId="92" xfId="0" applyFont="1" applyFill="1" applyBorder="1" applyAlignment="1">
      <alignment horizontal="centerContinuous" vertical="center"/>
    </xf>
    <xf numFmtId="3" fontId="12" fillId="0" borderId="9" xfId="0" applyNumberFormat="1" applyFont="1" applyBorder="1">
      <alignment vertical="center"/>
    </xf>
    <xf numFmtId="0" fontId="7" fillId="0" borderId="96" xfId="0" applyFont="1" applyFill="1" applyBorder="1" applyAlignment="1">
      <alignment horizontal="centerContinuous" vertical="center"/>
    </xf>
    <xf numFmtId="0" fontId="7" fillId="0" borderId="97" xfId="0" applyFont="1" applyFill="1" applyBorder="1" applyAlignment="1">
      <alignment horizontal="centerContinuous" vertical="center"/>
    </xf>
    <xf numFmtId="0" fontId="7" fillId="0" borderId="98" xfId="0" applyFont="1" applyFill="1" applyBorder="1" applyAlignment="1">
      <alignment horizontal="centerContinuous"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8" fillId="21" borderId="102" xfId="0" applyFont="1" applyFill="1" applyBorder="1" applyAlignment="1">
      <alignment horizontal="center" vertical="center"/>
    </xf>
    <xf numFmtId="0" fontId="8" fillId="21" borderId="103" xfId="0" applyFont="1" applyFill="1" applyBorder="1" applyAlignment="1">
      <alignment horizontal="center" vertical="center"/>
    </xf>
    <xf numFmtId="0" fontId="7" fillId="10" borderId="103" xfId="0" applyFont="1" applyFill="1" applyBorder="1" applyAlignment="1">
      <alignment horizontal="center" vertical="center"/>
    </xf>
    <xf numFmtId="0" fontId="7" fillId="0" borderId="102" xfId="0" applyFont="1" applyFill="1" applyBorder="1" applyAlignment="1">
      <alignment horizontal="center" vertical="center"/>
    </xf>
    <xf numFmtId="0" fontId="7" fillId="0" borderId="103" xfId="0" applyFont="1" applyFill="1" applyBorder="1" applyAlignment="1">
      <alignment horizontal="center" vertical="center"/>
    </xf>
    <xf numFmtId="0" fontId="7" fillId="0" borderId="105" xfId="0" applyFont="1" applyFill="1" applyBorder="1" applyAlignment="1">
      <alignment horizontal="center" vertical="center"/>
    </xf>
    <xf numFmtId="0" fontId="7" fillId="0" borderId="106" xfId="0" applyFont="1" applyFill="1" applyBorder="1" applyAlignment="1">
      <alignment horizontal="center" vertical="center"/>
    </xf>
    <xf numFmtId="41" fontId="7" fillId="0" borderId="103" xfId="1" applyFont="1" applyBorder="1" applyProtection="1">
      <alignment vertical="center"/>
      <protection hidden="1"/>
    </xf>
    <xf numFmtId="41" fontId="7" fillId="0" borderId="103" xfId="1" applyFont="1" applyFill="1" applyBorder="1" applyProtection="1">
      <alignment vertical="center"/>
      <protection hidden="1"/>
    </xf>
    <xf numFmtId="41" fontId="7" fillId="0" borderId="104" xfId="1" applyFont="1" applyFill="1" applyBorder="1" applyProtection="1">
      <alignment vertical="center"/>
      <protection hidden="1"/>
    </xf>
    <xf numFmtId="41" fontId="21" fillId="21" borderId="103" xfId="1" applyFont="1" applyFill="1" applyBorder="1" applyProtection="1">
      <alignment vertical="center"/>
      <protection hidden="1"/>
    </xf>
    <xf numFmtId="41" fontId="8" fillId="21" borderId="103" xfId="1" applyFont="1" applyFill="1" applyBorder="1" applyProtection="1">
      <alignment vertical="center"/>
      <protection hidden="1"/>
    </xf>
    <xf numFmtId="41" fontId="8" fillId="21" borderId="104" xfId="1" applyFont="1" applyFill="1" applyBorder="1" applyProtection="1">
      <alignment vertical="center"/>
      <protection hidden="1"/>
    </xf>
    <xf numFmtId="0" fontId="8" fillId="10" borderId="102" xfId="0" applyFont="1" applyFill="1" applyBorder="1" applyAlignment="1">
      <alignment horizontal="centerContinuous" vertical="center"/>
    </xf>
    <xf numFmtId="41" fontId="7" fillId="10" borderId="103" xfId="1" applyFont="1" applyFill="1" applyBorder="1" applyProtection="1">
      <alignment vertical="center"/>
      <protection hidden="1"/>
    </xf>
    <xf numFmtId="41" fontId="7" fillId="10" borderId="104" xfId="1" applyFont="1" applyFill="1" applyBorder="1" applyProtection="1">
      <alignment vertical="center"/>
      <protection hidden="1"/>
    </xf>
    <xf numFmtId="0" fontId="7" fillId="3" borderId="102" xfId="0" applyFont="1" applyFill="1" applyBorder="1" applyAlignment="1">
      <alignment horizontal="center" vertical="center"/>
    </xf>
    <xf numFmtId="0" fontId="7" fillId="3" borderId="103" xfId="0" applyFont="1" applyFill="1" applyBorder="1" applyAlignment="1">
      <alignment horizontal="center" vertical="center"/>
    </xf>
    <xf numFmtId="41" fontId="7" fillId="3" borderId="103" xfId="1" applyFont="1" applyFill="1" applyBorder="1" applyProtection="1">
      <alignment vertical="center"/>
      <protection hidden="1"/>
    </xf>
    <xf numFmtId="41" fontId="7" fillId="3" borderId="104" xfId="1" applyFont="1" applyFill="1" applyBorder="1" applyProtection="1">
      <alignment vertical="center"/>
      <protection hidden="1"/>
    </xf>
    <xf numFmtId="41" fontId="21" fillId="3" borderId="103" xfId="1" applyFont="1" applyFill="1" applyBorder="1" applyProtection="1">
      <alignment vertical="center"/>
      <protection hidden="1"/>
    </xf>
    <xf numFmtId="0" fontId="7" fillId="3" borderId="105" xfId="0" applyFont="1" applyFill="1" applyBorder="1" applyAlignment="1">
      <alignment horizontal="center" vertical="center"/>
    </xf>
    <xf numFmtId="0" fontId="7" fillId="3" borderId="106" xfId="0" applyFont="1" applyFill="1" applyBorder="1" applyAlignment="1">
      <alignment horizontal="center" vertical="center"/>
    </xf>
    <xf numFmtId="41" fontId="21" fillId="3" borderId="106" xfId="1" applyFont="1" applyFill="1" applyBorder="1" applyProtection="1">
      <alignment vertical="center"/>
      <protection hidden="1"/>
    </xf>
    <xf numFmtId="41" fontId="7" fillId="3" borderId="106" xfId="1" applyFont="1" applyFill="1" applyBorder="1" applyProtection="1">
      <alignment vertical="center"/>
      <protection hidden="1"/>
    </xf>
    <xf numFmtId="41" fontId="7" fillId="3" borderId="107" xfId="1" applyFont="1" applyFill="1" applyBorder="1" applyProtection="1">
      <alignment vertical="center"/>
      <protection hidden="1"/>
    </xf>
    <xf numFmtId="0" fontId="8" fillId="10" borderId="103" xfId="0" applyFont="1" applyFill="1" applyBorder="1" applyAlignment="1">
      <alignment horizontal="centerContinuous" vertical="center"/>
    </xf>
    <xf numFmtId="0" fontId="9" fillId="14" borderId="99" xfId="0" applyFont="1" applyFill="1" applyBorder="1" applyAlignment="1">
      <alignment horizontal="center" vertical="center"/>
    </xf>
    <xf numFmtId="0" fontId="9" fillId="14" borderId="100" xfId="0" applyFont="1" applyFill="1" applyBorder="1" applyAlignment="1">
      <alignment horizontal="center" vertical="center"/>
    </xf>
    <xf numFmtId="0" fontId="9" fillId="14" borderId="101" xfId="0" applyFont="1" applyFill="1" applyBorder="1" applyAlignment="1">
      <alignment horizontal="center" vertical="center"/>
    </xf>
    <xf numFmtId="0" fontId="8" fillId="0" borderId="103" xfId="0" applyFont="1" applyBorder="1" applyAlignment="1">
      <alignment horizontal="center" vertical="center"/>
    </xf>
    <xf numFmtId="41" fontId="7" fillId="0" borderId="106" xfId="1" applyFont="1" applyFill="1" applyBorder="1" applyProtection="1">
      <alignment vertical="center"/>
      <protection hidden="1"/>
    </xf>
    <xf numFmtId="41" fontId="7" fillId="0" borderId="107" xfId="1" applyFont="1" applyFill="1" applyBorder="1" applyProtection="1">
      <alignment vertical="center"/>
      <protection hidden="1"/>
    </xf>
    <xf numFmtId="0" fontId="7" fillId="0" borderId="46" xfId="0" applyFont="1" applyBorder="1">
      <alignment vertical="center"/>
    </xf>
    <xf numFmtId="41" fontId="7" fillId="0" borderId="46" xfId="0" applyNumberFormat="1" applyFont="1" applyBorder="1">
      <alignment vertical="center"/>
    </xf>
    <xf numFmtId="0" fontId="9" fillId="0" borderId="0" xfId="0" applyFont="1" applyFill="1" applyBorder="1" applyAlignment="1">
      <alignment horizontal="center" vertical="center"/>
    </xf>
    <xf numFmtId="0" fontId="7" fillId="0" borderId="0" xfId="0" applyFont="1" applyFill="1" applyBorder="1">
      <alignment vertical="center"/>
    </xf>
    <xf numFmtId="41" fontId="7" fillId="0" borderId="0" xfId="0" applyNumberFormat="1" applyFont="1" applyFill="1" applyBorder="1">
      <alignment vertical="center"/>
    </xf>
    <xf numFmtId="0" fontId="8" fillId="0" borderId="0" xfId="0" applyFont="1" applyFill="1" applyBorder="1">
      <alignment vertical="center"/>
    </xf>
    <xf numFmtId="4" fontId="0" fillId="0" borderId="0" xfId="0" applyNumberFormat="1" applyBorder="1">
      <alignment vertical="center"/>
    </xf>
    <xf numFmtId="187" fontId="0" fillId="0" borderId="0" xfId="0" applyNumberFormat="1" applyFill="1" applyBorder="1">
      <alignment vertical="center"/>
    </xf>
    <xf numFmtId="0" fontId="15" fillId="0" borderId="23" xfId="0" applyFont="1" applyBorder="1" applyAlignment="1">
      <alignment horizontal="center" vertical="center"/>
    </xf>
    <xf numFmtId="0" fontId="27" fillId="26" borderId="75" xfId="0" applyFont="1" applyFill="1" applyBorder="1" applyAlignment="1">
      <alignment horizontal="center" vertical="center"/>
    </xf>
    <xf numFmtId="0" fontId="27" fillId="26" borderId="76" xfId="0" applyFont="1" applyFill="1" applyBorder="1" applyAlignment="1">
      <alignment horizontal="center" vertical="center"/>
    </xf>
    <xf numFmtId="0" fontId="27" fillId="26" borderId="77" xfId="0" applyFont="1" applyFill="1" applyBorder="1" applyAlignment="1">
      <alignment horizontal="center" vertical="center"/>
    </xf>
    <xf numFmtId="41" fontId="4" fillId="0" borderId="79" xfId="0" applyNumberFormat="1" applyFont="1" applyBorder="1" applyAlignment="1">
      <alignment horizontal="center" vertical="center"/>
    </xf>
    <xf numFmtId="41" fontId="4" fillId="0" borderId="76" xfId="0" applyNumberFormat="1" applyFont="1" applyBorder="1" applyAlignment="1">
      <alignment horizontal="center" vertical="center"/>
    </xf>
    <xf numFmtId="41" fontId="4" fillId="0" borderId="80" xfId="0" applyNumberFormat="1" applyFont="1" applyBorder="1" applyAlignment="1">
      <alignment horizontal="center" vertical="center"/>
    </xf>
    <xf numFmtId="0" fontId="42" fillId="0" borderId="74" xfId="0" applyFont="1" applyBorder="1" applyAlignment="1">
      <alignment horizontal="center" vertical="center" wrapText="1"/>
    </xf>
    <xf numFmtId="0" fontId="42" fillId="0" borderId="74" xfId="0" applyFont="1" applyBorder="1" applyAlignment="1">
      <alignment horizontal="center" vertical="center"/>
    </xf>
    <xf numFmtId="0" fontId="34" fillId="0" borderId="51" xfId="0" applyFont="1" applyBorder="1" applyAlignment="1">
      <alignment horizontal="left" vertical="center"/>
    </xf>
    <xf numFmtId="0" fontId="34" fillId="0" borderId="10" xfId="0" applyFont="1" applyBorder="1" applyAlignment="1">
      <alignment horizontal="left" vertical="center"/>
    </xf>
    <xf numFmtId="0" fontId="34" fillId="0" borderId="52" xfId="0" applyFont="1" applyBorder="1" applyAlignment="1">
      <alignment horizontal="left" vertical="center"/>
    </xf>
    <xf numFmtId="41" fontId="34" fillId="0" borderId="51" xfId="0" applyNumberFormat="1" applyFont="1" applyBorder="1" applyAlignment="1">
      <alignment horizontal="center"/>
    </xf>
    <xf numFmtId="41" fontId="34" fillId="0" borderId="10" xfId="0" applyNumberFormat="1" applyFont="1" applyBorder="1" applyAlignment="1">
      <alignment horizontal="center"/>
    </xf>
    <xf numFmtId="41" fontId="34" fillId="0" borderId="71" xfId="0" applyNumberFormat="1" applyFont="1" applyBorder="1" applyAlignment="1">
      <alignment horizontal="center"/>
    </xf>
    <xf numFmtId="0" fontId="47" fillId="0" borderId="51" xfId="0" applyFont="1" applyBorder="1" applyAlignment="1">
      <alignment horizontal="left" vertical="center"/>
    </xf>
    <xf numFmtId="0" fontId="47" fillId="0" borderId="10" xfId="0" applyFont="1" applyBorder="1" applyAlignment="1">
      <alignment horizontal="left" vertical="center"/>
    </xf>
    <xf numFmtId="0" fontId="47" fillId="0" borderId="52" xfId="0" applyFont="1" applyBorder="1" applyAlignment="1">
      <alignment horizontal="left" vertical="center"/>
    </xf>
    <xf numFmtId="41" fontId="48" fillId="0" borderId="4" xfId="4" applyFont="1" applyFill="1" applyBorder="1" applyAlignment="1">
      <alignment horizontal="left" vertical="center"/>
    </xf>
    <xf numFmtId="41" fontId="48" fillId="0" borderId="70" xfId="4" applyFont="1" applyFill="1" applyBorder="1" applyAlignment="1">
      <alignment horizontal="left" vertical="center"/>
    </xf>
    <xf numFmtId="0" fontId="4" fillId="25" borderId="4" xfId="0" applyFont="1" applyFill="1" applyBorder="1" applyAlignment="1">
      <alignment horizontal="left" vertical="center"/>
    </xf>
    <xf numFmtId="0" fontId="34" fillId="0" borderId="51" xfId="0" applyFont="1" applyBorder="1" applyAlignment="1">
      <alignment horizontal="center" vertical="center"/>
    </xf>
    <xf numFmtId="0" fontId="34" fillId="0" borderId="10" xfId="0" applyFont="1" applyBorder="1" applyAlignment="1">
      <alignment horizontal="center" vertical="center"/>
    </xf>
    <xf numFmtId="0" fontId="34" fillId="0" borderId="71" xfId="0" applyFont="1" applyBorder="1" applyAlignment="1">
      <alignment horizontal="center" vertical="center"/>
    </xf>
    <xf numFmtId="0" fontId="47" fillId="0" borderId="4" xfId="0" applyFont="1" applyBorder="1" applyAlignment="1">
      <alignment horizontal="left" vertical="center"/>
    </xf>
    <xf numFmtId="0" fontId="42" fillId="22" borderId="73" xfId="0" applyFont="1" applyFill="1" applyBorder="1" applyAlignment="1">
      <alignment horizontal="center" vertical="center"/>
    </xf>
    <xf numFmtId="0" fontId="42" fillId="22" borderId="10" xfId="0" applyFont="1" applyFill="1" applyBorder="1" applyAlignment="1">
      <alignment horizontal="center" vertical="center"/>
    </xf>
    <xf numFmtId="0" fontId="42" fillId="22" borderId="52" xfId="0" applyFont="1" applyFill="1" applyBorder="1" applyAlignment="1">
      <alignment horizontal="center" vertical="center"/>
    </xf>
    <xf numFmtId="0" fontId="34" fillId="3" borderId="4" xfId="0" quotePrefix="1" applyFont="1" applyFill="1" applyBorder="1" applyAlignment="1">
      <alignment horizontal="left" vertical="center"/>
    </xf>
    <xf numFmtId="0" fontId="34" fillId="3" borderId="4" xfId="0" applyFont="1" applyFill="1" applyBorder="1" applyAlignment="1">
      <alignment horizontal="left" vertical="center"/>
    </xf>
    <xf numFmtId="0" fontId="34" fillId="0" borderId="4" xfId="0" applyFont="1" applyBorder="1" applyAlignment="1">
      <alignment horizontal="left" vertical="center"/>
    </xf>
    <xf numFmtId="41" fontId="34" fillId="0" borderId="51" xfId="4" applyFont="1" applyFill="1" applyBorder="1" applyAlignment="1">
      <alignment horizontal="center" vertical="center"/>
    </xf>
    <xf numFmtId="41" fontId="34" fillId="0" borderId="10" xfId="4" applyFont="1" applyFill="1" applyBorder="1" applyAlignment="1">
      <alignment horizontal="center" vertical="center"/>
    </xf>
    <xf numFmtId="41" fontId="34" fillId="0" borderId="71" xfId="4" applyFont="1" applyFill="1" applyBorder="1" applyAlignment="1">
      <alignment horizontal="center" vertical="center"/>
    </xf>
    <xf numFmtId="0" fontId="42" fillId="0" borderId="4" xfId="0" applyFont="1" applyBorder="1" applyAlignment="1">
      <alignment horizontal="center" vertical="center"/>
    </xf>
    <xf numFmtId="41" fontId="34" fillId="0" borderId="4" xfId="4" applyFont="1" applyFill="1" applyBorder="1" applyAlignment="1">
      <alignment horizontal="left" vertical="center" wrapText="1"/>
    </xf>
    <xf numFmtId="41" fontId="34" fillId="0" borderId="4" xfId="4" applyFont="1" applyFill="1" applyBorder="1" applyAlignment="1">
      <alignment horizontal="left" vertical="center"/>
    </xf>
    <xf numFmtId="41" fontId="34" fillId="0" borderId="70" xfId="4" applyFont="1" applyFill="1" applyBorder="1" applyAlignment="1">
      <alignment horizontal="left" vertical="center"/>
    </xf>
    <xf numFmtId="0" fontId="42" fillId="0" borderId="46" xfId="0" applyFont="1" applyBorder="1" applyAlignment="1">
      <alignment horizontal="center" vertical="center"/>
    </xf>
    <xf numFmtId="0" fontId="42" fillId="0" borderId="64" xfId="0" applyFont="1" applyBorder="1" applyAlignment="1">
      <alignment horizontal="center" vertical="center"/>
    </xf>
    <xf numFmtId="0" fontId="42" fillId="0" borderId="50" xfId="0" applyFont="1" applyBorder="1" applyAlignment="1">
      <alignment horizontal="center" vertical="center"/>
    </xf>
    <xf numFmtId="0" fontId="34" fillId="0" borderId="4" xfId="0" quotePrefix="1" applyFont="1" applyBorder="1" applyAlignment="1">
      <alignment horizontal="left" vertical="center"/>
    </xf>
    <xf numFmtId="0" fontId="46" fillId="0" borderId="4" xfId="0" applyFont="1" applyBorder="1" applyAlignment="1">
      <alignment horizontal="left" vertical="center" wrapText="1"/>
    </xf>
    <xf numFmtId="0" fontId="46" fillId="0" borderId="4" xfId="0" applyFont="1" applyBorder="1" applyAlignment="1">
      <alignment horizontal="left" vertical="center"/>
    </xf>
    <xf numFmtId="0" fontId="46" fillId="0" borderId="70" xfId="0" applyFont="1" applyBorder="1" applyAlignment="1">
      <alignment horizontal="left" vertical="center"/>
    </xf>
    <xf numFmtId="0" fontId="42" fillId="22" borderId="56" xfId="0" applyFont="1" applyFill="1" applyBorder="1" applyAlignment="1">
      <alignment horizontal="center" vertical="center"/>
    </xf>
    <xf numFmtId="0" fontId="42" fillId="22" borderId="57" xfId="0" applyFont="1" applyFill="1" applyBorder="1" applyAlignment="1">
      <alignment horizontal="center" vertical="center"/>
    </xf>
    <xf numFmtId="0" fontId="42" fillId="22" borderId="58" xfId="0" applyFont="1" applyFill="1" applyBorder="1" applyAlignment="1">
      <alignment horizontal="center" vertical="center"/>
    </xf>
    <xf numFmtId="0" fontId="42" fillId="22" borderId="59" xfId="0" applyFont="1" applyFill="1" applyBorder="1" applyAlignment="1">
      <alignment horizontal="center" vertical="center"/>
    </xf>
    <xf numFmtId="0" fontId="4" fillId="22" borderId="57" xfId="0" applyFont="1" applyFill="1" applyBorder="1" applyAlignment="1">
      <alignment horizontal="center" vertical="center"/>
    </xf>
    <xf numFmtId="0" fontId="4" fillId="22" borderId="60" xfId="0" applyFont="1" applyFill="1" applyBorder="1" applyAlignment="1">
      <alignment horizontal="center" vertical="center"/>
    </xf>
    <xf numFmtId="0" fontId="42" fillId="0" borderId="61" xfId="0" applyFont="1" applyBorder="1" applyAlignment="1">
      <alignment horizontal="center" vertical="center" wrapText="1"/>
    </xf>
    <xf numFmtId="0" fontId="42" fillId="0" borderId="63" xfId="0" applyFont="1" applyBorder="1" applyAlignment="1">
      <alignment horizontal="center" vertical="center"/>
    </xf>
    <xf numFmtId="0" fontId="42" fillId="0" borderId="69" xfId="0" applyFont="1" applyBorder="1" applyAlignment="1">
      <alignment horizontal="center" vertical="center"/>
    </xf>
    <xf numFmtId="0" fontId="42" fillId="0" borderId="72" xfId="0" applyFont="1" applyBorder="1" applyAlignment="1">
      <alignment horizontal="center" vertical="center"/>
    </xf>
    <xf numFmtId="0" fontId="42" fillId="23" borderId="46" xfId="0" applyFont="1" applyFill="1" applyBorder="1" applyAlignment="1">
      <alignment horizontal="center" vertical="center"/>
    </xf>
    <xf numFmtId="0" fontId="42" fillId="23" borderId="64" xfId="0" applyFont="1" applyFill="1" applyBorder="1" applyAlignment="1">
      <alignment horizontal="center" vertical="center"/>
    </xf>
    <xf numFmtId="0" fontId="42" fillId="23" borderId="50" xfId="0" applyFont="1" applyFill="1" applyBorder="1" applyAlignment="1">
      <alignment horizontal="center" vertical="center"/>
    </xf>
    <xf numFmtId="0" fontId="34" fillId="23" borderId="4" xfId="0" quotePrefix="1" applyFont="1" applyFill="1" applyBorder="1" applyAlignment="1">
      <alignment horizontal="left" vertical="center"/>
    </xf>
    <xf numFmtId="0" fontId="34" fillId="23" borderId="4" xfId="0" applyFont="1" applyFill="1" applyBorder="1" applyAlignment="1">
      <alignment horizontal="left" vertical="center"/>
    </xf>
    <xf numFmtId="183" fontId="34" fillId="23" borderId="43" xfId="0" applyNumberFormat="1" applyFont="1" applyFill="1" applyBorder="1" applyAlignment="1">
      <alignment horizontal="left" vertical="center" wrapText="1"/>
    </xf>
    <xf numFmtId="183" fontId="34" fillId="23" borderId="44" xfId="0" applyNumberFormat="1" applyFont="1" applyFill="1" applyBorder="1" applyAlignment="1">
      <alignment horizontal="left" vertical="center"/>
    </xf>
    <xf numFmtId="183" fontId="34" fillId="23" borderId="62" xfId="0" applyNumberFormat="1" applyFont="1" applyFill="1" applyBorder="1" applyAlignment="1">
      <alignment horizontal="left" vertical="center"/>
    </xf>
    <xf numFmtId="183" fontId="34" fillId="23" borderId="65" xfId="0" applyNumberFormat="1" applyFont="1" applyFill="1" applyBorder="1" applyAlignment="1">
      <alignment horizontal="left" vertical="center"/>
    </xf>
    <xf numFmtId="183" fontId="34" fillId="23" borderId="0" xfId="0" applyNumberFormat="1" applyFont="1" applyFill="1" applyAlignment="1">
      <alignment horizontal="left" vertical="center"/>
    </xf>
    <xf numFmtId="183" fontId="34" fillId="23" borderId="66" xfId="0" applyNumberFormat="1" applyFont="1" applyFill="1" applyBorder="1" applyAlignment="1">
      <alignment horizontal="left" vertical="center"/>
    </xf>
    <xf numFmtId="183" fontId="34" fillId="23" borderId="47" xfId="0" applyNumberFormat="1" applyFont="1" applyFill="1" applyBorder="1" applyAlignment="1">
      <alignment horizontal="left" vertical="center"/>
    </xf>
    <xf numFmtId="183" fontId="34" fillId="23" borderId="48" xfId="0" applyNumberFormat="1" applyFont="1" applyFill="1" applyBorder="1" applyAlignment="1">
      <alignment horizontal="left" vertical="center"/>
    </xf>
    <xf numFmtId="183" fontId="34" fillId="23" borderId="67" xfId="0" applyNumberFormat="1" applyFont="1" applyFill="1" applyBorder="1" applyAlignment="1">
      <alignment horizontal="left" vertical="center"/>
    </xf>
    <xf numFmtId="0" fontId="34" fillId="23" borderId="51" xfId="0" quotePrefix="1" applyFont="1" applyFill="1" applyBorder="1" applyAlignment="1">
      <alignment horizontal="left" vertical="center"/>
    </xf>
    <xf numFmtId="0" fontId="34" fillId="23" borderId="52" xfId="0" applyFont="1" applyFill="1" applyBorder="1" applyAlignment="1">
      <alignment horizontal="left" vertical="center"/>
    </xf>
    <xf numFmtId="0" fontId="2" fillId="23" borderId="51" xfId="0" quotePrefix="1" applyFont="1" applyFill="1" applyBorder="1" applyAlignment="1">
      <alignment horizontal="left" vertical="center"/>
    </xf>
    <xf numFmtId="0" fontId="2" fillId="23" borderId="52" xfId="0" applyFont="1" applyFill="1" applyBorder="1" applyAlignment="1">
      <alignment horizontal="left" vertical="center"/>
    </xf>
    <xf numFmtId="183" fontId="34" fillId="0" borderId="4" xfId="0" applyNumberFormat="1" applyFont="1" applyBorder="1" applyAlignment="1">
      <alignment horizontal="left" vertical="center" wrapText="1"/>
    </xf>
    <xf numFmtId="183" fontId="34" fillId="0" borderId="4" xfId="0" applyNumberFormat="1" applyFont="1" applyBorder="1" applyAlignment="1">
      <alignment horizontal="left" vertical="center"/>
    </xf>
    <xf numFmtId="183" fontId="34" fillId="0" borderId="70" xfId="0" applyNumberFormat="1" applyFont="1" applyBorder="1" applyAlignment="1">
      <alignment horizontal="left" vertical="center"/>
    </xf>
    <xf numFmtId="0" fontId="42" fillId="5" borderId="81" xfId="0" applyFont="1" applyFill="1" applyBorder="1" applyAlignment="1">
      <alignment horizontal="center" vertical="center"/>
    </xf>
    <xf numFmtId="0" fontId="42" fillId="5" borderId="78" xfId="0" applyFont="1" applyFill="1" applyBorder="1" applyAlignment="1">
      <alignment horizontal="center" vertical="center"/>
    </xf>
    <xf numFmtId="0" fontId="5" fillId="0" borderId="74" xfId="0" applyFont="1" applyBorder="1" applyAlignment="1">
      <alignment horizontal="left" vertical="center"/>
    </xf>
    <xf numFmtId="0" fontId="5" fillId="0" borderId="4" xfId="0" applyFont="1" applyBorder="1" applyAlignment="1">
      <alignment horizontal="left" vertical="center"/>
    </xf>
    <xf numFmtId="0" fontId="42" fillId="5" borderId="56" xfId="0" applyFont="1" applyFill="1" applyBorder="1" applyAlignment="1">
      <alignment horizontal="center" vertical="center" wrapText="1"/>
    </xf>
    <xf numFmtId="0" fontId="42" fillId="5" borderId="57" xfId="0" applyFont="1" applyFill="1" applyBorder="1" applyAlignment="1">
      <alignment horizontal="center" vertical="center" wrapText="1"/>
    </xf>
    <xf numFmtId="0" fontId="5" fillId="3" borderId="74" xfId="0" quotePrefix="1" applyFont="1" applyFill="1" applyBorder="1" applyAlignment="1">
      <alignment horizontal="left" vertical="center"/>
    </xf>
    <xf numFmtId="0" fontId="5" fillId="3" borderId="4" xfId="0" applyFont="1" applyFill="1" applyBorder="1" applyAlignment="1">
      <alignment horizontal="left" vertical="center"/>
    </xf>
    <xf numFmtId="0" fontId="34" fillId="0" borderId="4" xfId="6" applyFont="1" applyBorder="1" applyAlignment="1">
      <alignment horizontal="center" vertical="center" wrapText="1"/>
    </xf>
    <xf numFmtId="0" fontId="34" fillId="0" borderId="46" xfId="6" applyFont="1" applyBorder="1" applyAlignment="1">
      <alignment horizontal="center" vertical="center" wrapText="1"/>
    </xf>
    <xf numFmtId="0" fontId="34" fillId="0" borderId="64" xfId="6" applyFont="1" applyBorder="1" applyAlignment="1">
      <alignment horizontal="center" vertical="center" wrapText="1"/>
    </xf>
    <xf numFmtId="0" fontId="34" fillId="0" borderId="50" xfId="6" applyFont="1" applyBorder="1" applyAlignment="1">
      <alignment horizontal="center" vertical="center" wrapText="1"/>
    </xf>
    <xf numFmtId="0" fontId="4" fillId="0" borderId="74" xfId="0" applyFont="1" applyBorder="1" applyAlignment="1">
      <alignment horizontal="center" vertical="center"/>
    </xf>
    <xf numFmtId="0" fontId="4" fillId="0" borderId="4" xfId="0" applyFont="1" applyBorder="1" applyAlignment="1">
      <alignment horizontal="center" vertical="center"/>
    </xf>
    <xf numFmtId="0" fontId="27" fillId="19" borderId="81" xfId="0" applyFont="1" applyFill="1" applyBorder="1" applyAlignment="1">
      <alignment horizontal="center" vertical="center"/>
    </xf>
    <xf numFmtId="0" fontId="27" fillId="19" borderId="78" xfId="0" applyFont="1" applyFill="1" applyBorder="1" applyAlignment="1">
      <alignment horizontal="center" vertical="center"/>
    </xf>
    <xf numFmtId="0" fontId="2" fillId="0" borderId="4" xfId="6" applyFont="1" applyBorder="1" applyAlignment="1">
      <alignment horizontal="center" vertical="center" wrapText="1"/>
    </xf>
    <xf numFmtId="0" fontId="42" fillId="27" borderId="56" xfId="0" applyFont="1" applyFill="1" applyBorder="1" applyAlignment="1">
      <alignment horizontal="center" vertical="center"/>
    </xf>
    <xf numFmtId="0" fontId="42" fillId="27" borderId="57" xfId="0" applyFont="1" applyFill="1" applyBorder="1" applyAlignment="1">
      <alignment horizontal="center" vertical="center"/>
    </xf>
    <xf numFmtId="0" fontId="42" fillId="23" borderId="74" xfId="0" applyFont="1" applyFill="1" applyBorder="1" applyAlignment="1">
      <alignment horizontal="center" vertical="center" wrapText="1"/>
    </xf>
    <xf numFmtId="0" fontId="42" fillId="23" borderId="74" xfId="0" applyFont="1" applyFill="1" applyBorder="1" applyAlignment="1">
      <alignment horizontal="center" vertical="center"/>
    </xf>
    <xf numFmtId="0" fontId="42" fillId="23" borderId="61" xfId="0" applyFont="1" applyFill="1" applyBorder="1" applyAlignment="1">
      <alignment horizontal="center" vertical="center"/>
    </xf>
    <xf numFmtId="0" fontId="42" fillId="23" borderId="63" xfId="0" applyFont="1" applyFill="1" applyBorder="1" applyAlignment="1">
      <alignment horizontal="center" vertical="center"/>
    </xf>
    <xf numFmtId="0" fontId="42" fillId="23" borderId="72" xfId="0" applyFont="1" applyFill="1" applyBorder="1" applyAlignment="1">
      <alignment horizontal="center" vertical="center"/>
    </xf>
    <xf numFmtId="0" fontId="64" fillId="35" borderId="4" xfId="0" applyFont="1" applyFill="1" applyBorder="1" applyAlignment="1">
      <alignment horizontal="center" vertical="center" wrapText="1"/>
    </xf>
    <xf numFmtId="0" fontId="64" fillId="36" borderId="4" xfId="0" applyFont="1" applyFill="1" applyBorder="1" applyAlignment="1">
      <alignment horizontal="center" vertical="center" wrapText="1"/>
    </xf>
    <xf numFmtId="0" fontId="64" fillId="34" borderId="4" xfId="0" applyFont="1" applyFill="1" applyBorder="1" applyAlignment="1">
      <alignment horizontal="center" vertical="center" wrapText="1"/>
    </xf>
    <xf numFmtId="0" fontId="64" fillId="34" borderId="4" xfId="0" applyFont="1" applyFill="1" applyBorder="1" applyAlignment="1">
      <alignment horizontal="right" vertical="center" wrapText="1"/>
    </xf>
    <xf numFmtId="14" fontId="64" fillId="34" borderId="4" xfId="0" applyNumberFormat="1" applyFont="1" applyFill="1" applyBorder="1" applyAlignment="1">
      <alignment horizontal="center" vertical="center" wrapText="1"/>
    </xf>
    <xf numFmtId="0" fontId="64" fillId="34" borderId="4" xfId="0" applyFont="1" applyFill="1" applyBorder="1" applyAlignment="1">
      <alignment horizontal="left" vertical="center" wrapText="1"/>
    </xf>
    <xf numFmtId="41" fontId="64" fillId="38" borderId="4" xfId="1" applyFont="1" applyFill="1" applyBorder="1" applyAlignment="1">
      <alignment horizontal="right" vertical="center" wrapText="1"/>
    </xf>
    <xf numFmtId="0" fontId="64" fillId="35" borderId="4" xfId="0" applyFont="1" applyFill="1" applyBorder="1" applyAlignment="1">
      <alignment horizontal="right" vertical="center" wrapText="1"/>
    </xf>
    <xf numFmtId="10" fontId="64" fillId="35" borderId="4" xfId="0" applyNumberFormat="1" applyFont="1" applyFill="1" applyBorder="1" applyAlignment="1">
      <alignment horizontal="center" vertical="center" wrapText="1"/>
    </xf>
    <xf numFmtId="0" fontId="46" fillId="35" borderId="4" xfId="0" applyFont="1" applyFill="1" applyBorder="1" applyAlignment="1">
      <alignment horizontal="left" vertical="center" wrapText="1"/>
    </xf>
    <xf numFmtId="0" fontId="46" fillId="34" borderId="4" xfId="0" applyFont="1" applyFill="1" applyBorder="1" applyAlignment="1">
      <alignment horizontal="center" vertical="center" wrapText="1"/>
    </xf>
    <xf numFmtId="0" fontId="46" fillId="3" borderId="4" xfId="0" applyFont="1" applyFill="1" applyBorder="1" applyAlignment="1">
      <alignment horizontal="center" vertical="center" wrapText="1"/>
    </xf>
    <xf numFmtId="41" fontId="46" fillId="3" borderId="4" xfId="1" applyFont="1" applyFill="1" applyBorder="1" applyAlignment="1">
      <alignment horizontal="center" vertical="center" wrapText="1"/>
    </xf>
    <xf numFmtId="0" fontId="66" fillId="38" borderId="4" xfId="0" applyFont="1" applyFill="1" applyBorder="1" applyAlignment="1">
      <alignment horizontal="center" vertical="center" wrapText="1"/>
    </xf>
    <xf numFmtId="0" fontId="46" fillId="36" borderId="4" xfId="0" applyFont="1" applyFill="1" applyBorder="1" applyAlignment="1">
      <alignment horizontal="left" vertical="center" wrapText="1"/>
    </xf>
    <xf numFmtId="0" fontId="46" fillId="34" borderId="4" xfId="0" applyFont="1" applyFill="1" applyBorder="1" applyAlignment="1">
      <alignment horizontal="left" vertical="center" wrapText="1"/>
    </xf>
    <xf numFmtId="10" fontId="64" fillId="34" borderId="4" xfId="0" applyNumberFormat="1" applyFont="1" applyFill="1" applyBorder="1" applyAlignment="1">
      <alignment horizontal="center" vertical="center" wrapText="1"/>
    </xf>
    <xf numFmtId="0" fontId="65" fillId="36" borderId="4" xfId="0" applyFont="1" applyFill="1" applyBorder="1" applyAlignment="1">
      <alignment horizontal="center" vertical="center" wrapText="1"/>
    </xf>
    <xf numFmtId="0" fontId="64" fillId="36" borderId="4" xfId="0" applyFont="1" applyFill="1" applyBorder="1" applyAlignment="1">
      <alignment horizontal="left" vertical="center" wrapText="1"/>
    </xf>
    <xf numFmtId="0" fontId="65" fillId="39" borderId="4" xfId="0" applyFont="1" applyFill="1" applyBorder="1" applyAlignment="1">
      <alignment horizontal="center" vertical="center" wrapText="1"/>
    </xf>
    <xf numFmtId="0" fontId="64" fillId="39" borderId="4" xfId="0" applyFont="1" applyFill="1" applyBorder="1" applyAlignment="1">
      <alignment horizontal="center" vertical="center" wrapText="1"/>
    </xf>
    <xf numFmtId="0" fontId="64" fillId="37" borderId="4" xfId="0" applyFont="1" applyFill="1" applyBorder="1" applyAlignment="1">
      <alignment horizontal="center" vertical="center" wrapText="1"/>
    </xf>
    <xf numFmtId="0" fontId="65" fillId="34" borderId="4" xfId="0" applyFont="1" applyFill="1" applyBorder="1" applyAlignment="1">
      <alignment horizontal="left" vertical="center" wrapText="1"/>
    </xf>
    <xf numFmtId="0" fontId="67" fillId="34" borderId="4" xfId="0" applyFont="1" applyFill="1" applyBorder="1" applyAlignment="1">
      <alignment horizontal="center" vertical="center" wrapText="1"/>
    </xf>
    <xf numFmtId="0" fontId="65" fillId="35" borderId="4" xfId="0" applyFont="1" applyFill="1" applyBorder="1" applyAlignment="1">
      <alignment horizontal="center" vertical="center" wrapText="1"/>
    </xf>
    <xf numFmtId="0" fontId="46" fillId="35" borderId="4" xfId="0" applyFont="1" applyFill="1" applyBorder="1" applyAlignment="1">
      <alignment horizontal="center" vertical="center" wrapText="1"/>
    </xf>
    <xf numFmtId="0" fontId="64" fillId="38" borderId="4" xfId="0" applyFont="1" applyFill="1" applyBorder="1" applyAlignment="1">
      <alignment horizontal="center" vertical="center" wrapText="1"/>
    </xf>
    <xf numFmtId="10" fontId="64" fillId="40" borderId="4" xfId="0" applyNumberFormat="1" applyFont="1" applyFill="1" applyBorder="1" applyAlignment="1">
      <alignment horizontal="center" vertical="center" wrapText="1"/>
    </xf>
  </cellXfs>
  <cellStyles count="8">
    <cellStyle name="백분율" xfId="2" builtinId="5"/>
    <cellStyle name="쉼표 [0]" xfId="1" builtinId="6"/>
    <cellStyle name="쉼표 [0] 3" xfId="4"/>
    <cellStyle name="표준" xfId="0" builtinId="0"/>
    <cellStyle name="표준 2" xfId="7"/>
    <cellStyle name="표준_감가비계산" xfId="6"/>
    <cellStyle name="표준_경제성분석설명자료(070807)" xfId="5"/>
    <cellStyle name="하이퍼링크" xfId="3" builtinId="8"/>
  </cellStyles>
  <dxfs count="85">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hyperlink" Target="#'2.&#44396;&#52629;&#48708;_&#50836;&#50557;'!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68580</xdr:colOff>
      <xdr:row>2</xdr:row>
      <xdr:rowOff>377190</xdr:rowOff>
    </xdr:from>
    <xdr:to>
      <xdr:col>5</xdr:col>
      <xdr:colOff>373380</xdr:colOff>
      <xdr:row>4</xdr:row>
      <xdr:rowOff>125730</xdr:rowOff>
    </xdr:to>
    <xdr:sp macro="[0]!Part1_요약" textlink="">
      <xdr:nvSpPr>
        <xdr:cNvPr id="2" name="직사각형 1">
          <a:extLst>
            <a:ext uri="{FF2B5EF4-FFF2-40B4-BE49-F238E27FC236}">
              <a16:creationId xmlns:a16="http://schemas.microsoft.com/office/drawing/2014/main" xmlns="" id="{00000000-0008-0000-0000-000002000000}"/>
            </a:ext>
          </a:extLst>
        </xdr:cNvPr>
        <xdr:cNvSpPr/>
      </xdr:nvSpPr>
      <xdr:spPr>
        <a:xfrm>
          <a:off x="739140" y="10629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1.1 </a:t>
          </a:r>
          <a:r>
            <a:rPr lang="ko-KR" altLang="en-US" sz="1200" b="1">
              <a:solidFill>
                <a:sysClr val="windowText" lastClr="000000"/>
              </a:solidFill>
            </a:rPr>
            <a:t>요약</a:t>
          </a:r>
        </a:p>
      </xdr:txBody>
    </xdr:sp>
    <xdr:clientData/>
  </xdr:twoCellAnchor>
  <xdr:twoCellAnchor>
    <xdr:from>
      <xdr:col>1</xdr:col>
      <xdr:colOff>68580</xdr:colOff>
      <xdr:row>4</xdr:row>
      <xdr:rowOff>205105</xdr:rowOff>
    </xdr:from>
    <xdr:to>
      <xdr:col>5</xdr:col>
      <xdr:colOff>373380</xdr:colOff>
      <xdr:row>6</xdr:row>
      <xdr:rowOff>29845</xdr:rowOff>
    </xdr:to>
    <xdr:sp macro="[0]!Part1_Baseline정리" textlink="">
      <xdr:nvSpPr>
        <xdr:cNvPr id="3" name="직사각형 2">
          <a:extLst>
            <a:ext uri="{FF2B5EF4-FFF2-40B4-BE49-F238E27FC236}">
              <a16:creationId xmlns:a16="http://schemas.microsoft.com/office/drawing/2014/main" xmlns="" id="{00000000-0008-0000-0000-000003000000}"/>
            </a:ext>
          </a:extLst>
        </xdr:cNvPr>
        <xdr:cNvSpPr/>
      </xdr:nvSpPr>
      <xdr:spPr>
        <a:xfrm>
          <a:off x="739140" y="1500505"/>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a:t>
          </a:r>
          <a:r>
            <a:rPr lang="ko-KR" altLang="en-US" sz="1200" b="1">
              <a:solidFill>
                <a:sysClr val="windowText" lastClr="000000"/>
              </a:solidFill>
            </a:rPr>
            <a:t> </a:t>
          </a:r>
          <a:r>
            <a:rPr lang="en-US" altLang="ko-KR" sz="1200" b="1">
              <a:solidFill>
                <a:sysClr val="windowText" lastClr="000000"/>
              </a:solidFill>
            </a:rPr>
            <a:t>_ 1.2 Baseline </a:t>
          </a:r>
          <a:r>
            <a:rPr lang="ko-KR" altLang="en-US" sz="1200" b="1">
              <a:solidFill>
                <a:sysClr val="windowText" lastClr="000000"/>
              </a:solidFill>
            </a:rPr>
            <a:t>정리</a:t>
          </a:r>
        </a:p>
      </xdr:txBody>
    </xdr:sp>
    <xdr:clientData/>
  </xdr:twoCellAnchor>
  <xdr:twoCellAnchor>
    <xdr:from>
      <xdr:col>1</xdr:col>
      <xdr:colOff>68580</xdr:colOff>
      <xdr:row>6</xdr:row>
      <xdr:rowOff>96520</xdr:rowOff>
    </xdr:from>
    <xdr:to>
      <xdr:col>5</xdr:col>
      <xdr:colOff>373380</xdr:colOff>
      <xdr:row>7</xdr:row>
      <xdr:rowOff>187960</xdr:rowOff>
    </xdr:to>
    <xdr:sp macro="[0]!Part1_견적정리" textlink="">
      <xdr:nvSpPr>
        <xdr:cNvPr id="4" name="직사각형 3">
          <a:extLst>
            <a:ext uri="{FF2B5EF4-FFF2-40B4-BE49-F238E27FC236}">
              <a16:creationId xmlns:a16="http://schemas.microsoft.com/office/drawing/2014/main" xmlns="" id="{00000000-0008-0000-0000-000004000000}"/>
            </a:ext>
          </a:extLst>
        </xdr:cNvPr>
        <xdr:cNvSpPr/>
      </xdr:nvSpPr>
      <xdr:spPr>
        <a:xfrm>
          <a:off x="739140" y="192532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1.3 </a:t>
          </a:r>
          <a:r>
            <a:rPr lang="ko-KR" altLang="en-US" sz="1200" b="1">
              <a:solidFill>
                <a:sysClr val="windowText" lastClr="000000"/>
              </a:solidFill>
            </a:rPr>
            <a:t>견적 정리</a:t>
          </a:r>
        </a:p>
      </xdr:txBody>
    </xdr:sp>
    <xdr:clientData/>
  </xdr:twoCellAnchor>
  <xdr:twoCellAnchor>
    <xdr:from>
      <xdr:col>1</xdr:col>
      <xdr:colOff>68580</xdr:colOff>
      <xdr:row>8</xdr:row>
      <xdr:rowOff>110490</xdr:rowOff>
    </xdr:from>
    <xdr:to>
      <xdr:col>5</xdr:col>
      <xdr:colOff>373380</xdr:colOff>
      <xdr:row>9</xdr:row>
      <xdr:rowOff>201930</xdr:rowOff>
    </xdr:to>
    <xdr:sp macro="[0]!Part2_요약" textlink="">
      <xdr:nvSpPr>
        <xdr:cNvPr id="5" name="직사각형 4">
          <a:extLst>
            <a:ext uri="{FF2B5EF4-FFF2-40B4-BE49-F238E27FC236}">
              <a16:creationId xmlns:a16="http://schemas.microsoft.com/office/drawing/2014/main" xmlns="" id="{00000000-0008-0000-0000-000005000000}"/>
            </a:ext>
          </a:extLst>
        </xdr:cNvPr>
        <xdr:cNvSpPr/>
      </xdr:nvSpPr>
      <xdr:spPr>
        <a:xfrm>
          <a:off x="739140" y="24726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2.1 </a:t>
          </a:r>
          <a:r>
            <a:rPr lang="ko-KR" altLang="en-US" sz="1200" b="1">
              <a:solidFill>
                <a:sysClr val="windowText" lastClr="000000"/>
              </a:solidFill>
            </a:rPr>
            <a:t>요약</a:t>
          </a:r>
        </a:p>
      </xdr:txBody>
    </xdr:sp>
    <xdr:clientData/>
  </xdr:twoCellAnchor>
  <xdr:twoCellAnchor>
    <xdr:from>
      <xdr:col>1</xdr:col>
      <xdr:colOff>68580</xdr:colOff>
      <xdr:row>10</xdr:row>
      <xdr:rowOff>10160</xdr:rowOff>
    </xdr:from>
    <xdr:to>
      <xdr:col>5</xdr:col>
      <xdr:colOff>373380</xdr:colOff>
      <xdr:row>11</xdr:row>
      <xdr:rowOff>101600</xdr:rowOff>
    </xdr:to>
    <xdr:sp macro="[0]!Part2_견적정리" textlink="">
      <xdr:nvSpPr>
        <xdr:cNvPr id="6" name="직사각형 5">
          <a:extLst>
            <a:ext uri="{FF2B5EF4-FFF2-40B4-BE49-F238E27FC236}">
              <a16:creationId xmlns:a16="http://schemas.microsoft.com/office/drawing/2014/main" xmlns="" id="{00000000-0008-0000-0000-000006000000}"/>
            </a:ext>
          </a:extLst>
        </xdr:cNvPr>
        <xdr:cNvSpPr/>
      </xdr:nvSpPr>
      <xdr:spPr>
        <a:xfrm>
          <a:off x="739140" y="29057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2.2 </a:t>
          </a:r>
          <a:r>
            <a:rPr lang="ko-KR" altLang="en-US" sz="1200" b="1">
              <a:solidFill>
                <a:sysClr val="windowText" lastClr="000000"/>
              </a:solidFill>
            </a:rPr>
            <a:t>견적 정리</a:t>
          </a:r>
        </a:p>
      </xdr:txBody>
    </xdr:sp>
    <xdr:clientData/>
  </xdr:twoCellAnchor>
  <xdr:twoCellAnchor>
    <xdr:from>
      <xdr:col>1</xdr:col>
      <xdr:colOff>68580</xdr:colOff>
      <xdr:row>12</xdr:row>
      <xdr:rowOff>8890</xdr:rowOff>
    </xdr:from>
    <xdr:to>
      <xdr:col>5</xdr:col>
      <xdr:colOff>373380</xdr:colOff>
      <xdr:row>13</xdr:row>
      <xdr:rowOff>100330</xdr:rowOff>
    </xdr:to>
    <xdr:sp macro="[0]!Part3_요약" textlink="">
      <xdr:nvSpPr>
        <xdr:cNvPr id="7" name="직사각형 6">
          <a:extLst>
            <a:ext uri="{FF2B5EF4-FFF2-40B4-BE49-F238E27FC236}">
              <a16:creationId xmlns:a16="http://schemas.microsoft.com/office/drawing/2014/main" xmlns="" id="{00000000-0008-0000-0000-000007000000}"/>
            </a:ext>
          </a:extLst>
        </xdr:cNvPr>
        <xdr:cNvSpPr/>
      </xdr:nvSpPr>
      <xdr:spPr>
        <a:xfrm>
          <a:off x="739140" y="34378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3.1 </a:t>
          </a:r>
          <a:r>
            <a:rPr lang="ko-KR" altLang="en-US" sz="1200" b="1">
              <a:solidFill>
                <a:sysClr val="windowText" lastClr="000000"/>
              </a:solidFill>
            </a:rPr>
            <a:t>요약</a:t>
          </a:r>
        </a:p>
      </xdr:txBody>
    </xdr:sp>
    <xdr:clientData/>
  </xdr:twoCellAnchor>
  <xdr:twoCellAnchor>
    <xdr:from>
      <xdr:col>1</xdr:col>
      <xdr:colOff>68580</xdr:colOff>
      <xdr:row>13</xdr:row>
      <xdr:rowOff>175260</xdr:rowOff>
    </xdr:from>
    <xdr:to>
      <xdr:col>5</xdr:col>
      <xdr:colOff>373380</xdr:colOff>
      <xdr:row>15</xdr:row>
      <xdr:rowOff>91440</xdr:rowOff>
    </xdr:to>
    <xdr:sp macro="[0]!Part3_견적정리" textlink="">
      <xdr:nvSpPr>
        <xdr:cNvPr id="8" name="직사각형 7">
          <a:extLst>
            <a:ext uri="{FF2B5EF4-FFF2-40B4-BE49-F238E27FC236}">
              <a16:creationId xmlns:a16="http://schemas.microsoft.com/office/drawing/2014/main" xmlns="" id="{00000000-0008-0000-0000-000008000000}"/>
            </a:ext>
          </a:extLst>
        </xdr:cNvPr>
        <xdr:cNvSpPr/>
      </xdr:nvSpPr>
      <xdr:spPr>
        <a:xfrm>
          <a:off x="739140" y="38709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3.2 </a:t>
          </a:r>
          <a:r>
            <a:rPr lang="ko-KR" altLang="en-US" sz="1200" b="1">
              <a:solidFill>
                <a:sysClr val="windowText" lastClr="000000"/>
              </a:solidFill>
            </a:rPr>
            <a:t>견적정리</a:t>
          </a:r>
        </a:p>
      </xdr:txBody>
    </xdr:sp>
    <xdr:clientData/>
  </xdr:twoCellAnchor>
  <xdr:twoCellAnchor>
    <xdr:from>
      <xdr:col>1</xdr:col>
      <xdr:colOff>68580</xdr:colOff>
      <xdr:row>16</xdr:row>
      <xdr:rowOff>118110</xdr:rowOff>
    </xdr:from>
    <xdr:to>
      <xdr:col>5</xdr:col>
      <xdr:colOff>373380</xdr:colOff>
      <xdr:row>18</xdr:row>
      <xdr:rowOff>34290</xdr:rowOff>
    </xdr:to>
    <xdr:sp macro="[0]!Part4_Baseline" textlink="">
      <xdr:nvSpPr>
        <xdr:cNvPr id="12" name="직사각형 11">
          <a:extLst>
            <a:ext uri="{FF2B5EF4-FFF2-40B4-BE49-F238E27FC236}">
              <a16:creationId xmlns:a16="http://schemas.microsoft.com/office/drawing/2014/main" xmlns="" id="{00000000-0008-0000-0000-00000C000000}"/>
            </a:ext>
          </a:extLst>
        </xdr:cNvPr>
        <xdr:cNvSpPr/>
      </xdr:nvSpPr>
      <xdr:spPr>
        <a:xfrm>
          <a:off x="739140" y="447675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4.1 Baseline </a:t>
          </a:r>
          <a:r>
            <a:rPr lang="ko-KR" altLang="en-US" sz="1200" b="1">
              <a:solidFill>
                <a:sysClr val="windowText" lastClr="000000"/>
              </a:solidFill>
            </a:rPr>
            <a:t>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1</xdr:col>
      <xdr:colOff>68580</xdr:colOff>
      <xdr:row>18</xdr:row>
      <xdr:rowOff>113665</xdr:rowOff>
    </xdr:from>
    <xdr:to>
      <xdr:col>6</xdr:col>
      <xdr:colOff>68580</xdr:colOff>
      <xdr:row>20</xdr:row>
      <xdr:rowOff>29845</xdr:rowOff>
    </xdr:to>
    <xdr:sp macro="[0]!Part4_견적정리" textlink="">
      <xdr:nvSpPr>
        <xdr:cNvPr id="13" name="직사각형 12">
          <a:extLst>
            <a:ext uri="{FF2B5EF4-FFF2-40B4-BE49-F238E27FC236}">
              <a16:creationId xmlns:a16="http://schemas.microsoft.com/office/drawing/2014/main" xmlns="" id="{00000000-0008-0000-0000-00000D000000}"/>
            </a:ext>
          </a:extLst>
        </xdr:cNvPr>
        <xdr:cNvSpPr/>
      </xdr:nvSpPr>
      <xdr:spPr>
        <a:xfrm>
          <a:off x="739140" y="4914265"/>
          <a:ext cx="335280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4.2 </a:t>
          </a:r>
          <a:r>
            <a:rPr lang="ko-KR" altLang="en-US" sz="1200" b="1">
              <a:solidFill>
                <a:sysClr val="windowText" lastClr="000000"/>
              </a:solidFill>
            </a:rPr>
            <a:t>인건비견적 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9</xdr:col>
      <xdr:colOff>613410</xdr:colOff>
      <xdr:row>0</xdr:row>
      <xdr:rowOff>0</xdr:rowOff>
    </xdr:from>
    <xdr:to>
      <xdr:col>11</xdr:col>
      <xdr:colOff>160020</xdr:colOff>
      <xdr:row>1</xdr:row>
      <xdr:rowOff>137160</xdr:rowOff>
    </xdr:to>
    <xdr:sp macro="[0]!contents" textlink="">
      <xdr:nvSpPr>
        <xdr:cNvPr id="15" name="직사각형 14">
          <a:extLst>
            <a:ext uri="{FF2B5EF4-FFF2-40B4-BE49-F238E27FC236}">
              <a16:creationId xmlns:a16="http://schemas.microsoft.com/office/drawing/2014/main" xmlns="" id="{00000000-0008-0000-0000-00000F000000}"/>
            </a:ext>
          </a:extLst>
        </xdr:cNvPr>
        <xdr:cNvSpPr/>
      </xdr:nvSpPr>
      <xdr:spPr>
        <a:xfrm>
          <a:off x="6648450" y="0"/>
          <a:ext cx="88773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모든시트</a:t>
          </a:r>
          <a:endParaRPr lang="ko-KR" altLang="en-US" sz="1200" b="1">
            <a:solidFill>
              <a:sysClr val="windowText" lastClr="000000"/>
            </a:solidFill>
          </a:endParaRPr>
        </a:p>
      </xdr:txBody>
    </xdr:sp>
    <xdr:clientData/>
  </xdr:twoCellAnchor>
  <xdr:twoCellAnchor>
    <xdr:from>
      <xdr:col>14</xdr:col>
      <xdr:colOff>8965</xdr:colOff>
      <xdr:row>2</xdr:row>
      <xdr:rowOff>91440</xdr:rowOff>
    </xdr:from>
    <xdr:to>
      <xdr:col>18</xdr:col>
      <xdr:colOff>313764</xdr:colOff>
      <xdr:row>4</xdr:row>
      <xdr:rowOff>53340</xdr:rowOff>
    </xdr:to>
    <xdr:sp macro="" textlink="">
      <xdr:nvSpPr>
        <xdr:cNvPr id="16" name="직사각형 15">
          <a:extLst>
            <a:ext uri="{FF2B5EF4-FFF2-40B4-BE49-F238E27FC236}">
              <a16:creationId xmlns:a16="http://schemas.microsoft.com/office/drawing/2014/main" xmlns="" id="{00000000-0008-0000-0000-000010000000}"/>
            </a:ext>
          </a:extLst>
        </xdr:cNvPr>
        <xdr:cNvSpPr/>
      </xdr:nvSpPr>
      <xdr:spPr>
        <a:xfrm>
          <a:off x="9421906" y="786205"/>
          <a:ext cx="2994211" cy="3541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고객사 제공 견적서</a:t>
          </a:r>
          <a:endParaRPr lang="ko-KR" altLang="en-US" sz="1200" b="1">
            <a:solidFill>
              <a:sysClr val="windowText" lastClr="000000"/>
            </a:solidFill>
          </a:endParaRPr>
        </a:p>
      </xdr:txBody>
    </xdr:sp>
    <xdr:clientData/>
  </xdr:twoCellAnchor>
  <xdr:twoCellAnchor>
    <xdr:from>
      <xdr:col>14</xdr:col>
      <xdr:colOff>28015</xdr:colOff>
      <xdr:row>4</xdr:row>
      <xdr:rowOff>15240</xdr:rowOff>
    </xdr:from>
    <xdr:to>
      <xdr:col>18</xdr:col>
      <xdr:colOff>332814</xdr:colOff>
      <xdr:row>5</xdr:row>
      <xdr:rowOff>91440</xdr:rowOff>
    </xdr:to>
    <xdr:sp macro="" textlink="">
      <xdr:nvSpPr>
        <xdr:cNvPr id="17" name="직사각형 16">
          <a:extLst>
            <a:ext uri="{FF2B5EF4-FFF2-40B4-BE49-F238E27FC236}">
              <a16:creationId xmlns:a16="http://schemas.microsoft.com/office/drawing/2014/main" xmlns="" id="{00000000-0008-0000-0000-000011000000}"/>
            </a:ext>
          </a:extLst>
        </xdr:cNvPr>
        <xdr:cNvSpPr/>
      </xdr:nvSpPr>
      <xdr:spPr>
        <a:xfrm>
          <a:off x="9440956" y="1102211"/>
          <a:ext cx="2994211" cy="34514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수익율 분석</a:t>
          </a:r>
          <a:endParaRPr lang="ko-KR" altLang="en-US" sz="1200" b="1">
            <a:solidFill>
              <a:sysClr val="windowText" lastClr="000000"/>
            </a:solidFill>
          </a:endParaRPr>
        </a:p>
      </xdr:txBody>
    </xdr:sp>
    <xdr:clientData/>
  </xdr:twoCellAnchor>
  <xdr:twoCellAnchor>
    <xdr:from>
      <xdr:col>14</xdr:col>
      <xdr:colOff>28015</xdr:colOff>
      <xdr:row>5</xdr:row>
      <xdr:rowOff>72390</xdr:rowOff>
    </xdr:from>
    <xdr:to>
      <xdr:col>18</xdr:col>
      <xdr:colOff>332814</xdr:colOff>
      <xdr:row>6</xdr:row>
      <xdr:rowOff>158115</xdr:rowOff>
    </xdr:to>
    <xdr:sp macro="" textlink="">
      <xdr:nvSpPr>
        <xdr:cNvPr id="18" name="직사각형 17">
          <a:extLst>
            <a:ext uri="{FF2B5EF4-FFF2-40B4-BE49-F238E27FC236}">
              <a16:creationId xmlns:a16="http://schemas.microsoft.com/office/drawing/2014/main" xmlns="" id="{00000000-0008-0000-0000-000012000000}"/>
            </a:ext>
          </a:extLst>
        </xdr:cNvPr>
        <xdr:cNvSpPr/>
      </xdr:nvSpPr>
      <xdr:spPr>
        <a:xfrm>
          <a:off x="9440956" y="1428302"/>
          <a:ext cx="2994211" cy="3546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솔루션효과 산정</a:t>
          </a:r>
          <a:endParaRPr lang="ko-KR" altLang="en-US" sz="1200" b="1">
            <a:solidFill>
              <a:sysClr val="windowText" lastClr="000000"/>
            </a:solidFill>
          </a:endParaRPr>
        </a:p>
      </xdr:txBody>
    </xdr:sp>
    <xdr:clientData/>
  </xdr:twoCellAnchor>
  <xdr:twoCellAnchor>
    <xdr:from>
      <xdr:col>14</xdr:col>
      <xdr:colOff>35635</xdr:colOff>
      <xdr:row>6</xdr:row>
      <xdr:rowOff>160020</xdr:rowOff>
    </xdr:from>
    <xdr:to>
      <xdr:col>18</xdr:col>
      <xdr:colOff>340434</xdr:colOff>
      <xdr:row>7</xdr:row>
      <xdr:rowOff>243840</xdr:rowOff>
    </xdr:to>
    <xdr:sp macro="" textlink="">
      <xdr:nvSpPr>
        <xdr:cNvPr id="19" name="직사각형 18">
          <a:extLst>
            <a:ext uri="{FF2B5EF4-FFF2-40B4-BE49-F238E27FC236}">
              <a16:creationId xmlns:a16="http://schemas.microsoft.com/office/drawing/2014/main" xmlns="" id="{00000000-0008-0000-0000-000013000000}"/>
            </a:ext>
          </a:extLst>
        </xdr:cNvPr>
        <xdr:cNvSpPr/>
      </xdr:nvSpPr>
      <xdr:spPr>
        <a:xfrm>
          <a:off x="9448576" y="1784873"/>
          <a:ext cx="2994211" cy="3527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업데이트 이력</a:t>
          </a:r>
          <a:endParaRPr lang="ko-KR" altLang="en-US" sz="1200" b="1">
            <a:solidFill>
              <a:sysClr val="windowText" lastClr="000000"/>
            </a:solidFill>
          </a:endParaRPr>
        </a:p>
      </xdr:txBody>
    </xdr:sp>
    <xdr:clientData/>
  </xdr:twoCellAnchor>
  <xdr:twoCellAnchor>
    <xdr:from>
      <xdr:col>6</xdr:col>
      <xdr:colOff>132117</xdr:colOff>
      <xdr:row>2</xdr:row>
      <xdr:rowOff>134806</xdr:rowOff>
    </xdr:from>
    <xdr:to>
      <xdr:col>10</xdr:col>
      <xdr:colOff>436918</xdr:colOff>
      <xdr:row>4</xdr:row>
      <xdr:rowOff>90991</xdr:rowOff>
    </xdr:to>
    <xdr:sp macro="[0]!Part5_시뮬레이션" textlink="">
      <xdr:nvSpPr>
        <xdr:cNvPr id="20" name="직사각형 19">
          <a:extLst>
            <a:ext uri="{FF2B5EF4-FFF2-40B4-BE49-F238E27FC236}">
              <a16:creationId xmlns:a16="http://schemas.microsoft.com/office/drawing/2014/main" xmlns="" id="{00000000-0008-0000-0000-000014000000}"/>
            </a:ext>
          </a:extLst>
        </xdr:cNvPr>
        <xdr:cNvSpPr/>
      </xdr:nvSpPr>
      <xdr:spPr>
        <a:xfrm>
          <a:off x="4166235" y="829571"/>
          <a:ext cx="2994212" cy="34839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5.1 </a:t>
          </a:r>
          <a:r>
            <a:rPr lang="ko-KR" altLang="en-US" sz="1200" b="1">
              <a:solidFill>
                <a:sysClr val="windowText" lastClr="000000"/>
              </a:solidFill>
            </a:rPr>
            <a:t>시뮬레이션</a:t>
          </a:r>
        </a:p>
      </xdr:txBody>
    </xdr:sp>
    <xdr:clientData/>
  </xdr:twoCellAnchor>
  <xdr:twoCellAnchor>
    <xdr:from>
      <xdr:col>6</xdr:col>
      <xdr:colOff>132117</xdr:colOff>
      <xdr:row>4</xdr:row>
      <xdr:rowOff>170366</xdr:rowOff>
    </xdr:from>
    <xdr:to>
      <xdr:col>10</xdr:col>
      <xdr:colOff>436918</xdr:colOff>
      <xdr:row>5</xdr:row>
      <xdr:rowOff>262142</xdr:rowOff>
    </xdr:to>
    <xdr:sp macro="[0]!Part5_통합시트" textlink="">
      <xdr:nvSpPr>
        <xdr:cNvPr id="21" name="직사각형 20">
          <a:extLst>
            <a:ext uri="{FF2B5EF4-FFF2-40B4-BE49-F238E27FC236}">
              <a16:creationId xmlns:a16="http://schemas.microsoft.com/office/drawing/2014/main" xmlns="" id="{00000000-0008-0000-0000-000015000000}"/>
            </a:ext>
          </a:extLst>
        </xdr:cNvPr>
        <xdr:cNvSpPr/>
      </xdr:nvSpPr>
      <xdr:spPr>
        <a:xfrm>
          <a:off x="4166235" y="1257337"/>
          <a:ext cx="2994212" cy="3607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a:t>
          </a:r>
          <a:r>
            <a:rPr lang="ko-KR" altLang="en-US" sz="1200" b="1">
              <a:solidFill>
                <a:sysClr val="windowText" lastClr="000000"/>
              </a:solidFill>
            </a:rPr>
            <a:t> </a:t>
          </a:r>
          <a:r>
            <a:rPr lang="en-US" altLang="ko-KR" sz="1200" b="1">
              <a:solidFill>
                <a:sysClr val="windowText" lastClr="000000"/>
              </a:solidFill>
            </a:rPr>
            <a:t>_ 5.2 </a:t>
          </a:r>
          <a:r>
            <a:rPr lang="ko-KR" altLang="en-US" sz="1200" b="1">
              <a:solidFill>
                <a:sysClr val="windowText" lastClr="000000"/>
              </a:solidFill>
            </a:rPr>
            <a:t>통합시트</a:t>
          </a:r>
        </a:p>
      </xdr:txBody>
    </xdr:sp>
    <xdr:clientData/>
  </xdr:twoCellAnchor>
  <xdr:twoCellAnchor>
    <xdr:from>
      <xdr:col>6</xdr:col>
      <xdr:colOff>132117</xdr:colOff>
      <xdr:row>6</xdr:row>
      <xdr:rowOff>54161</xdr:rowOff>
    </xdr:from>
    <xdr:to>
      <xdr:col>10</xdr:col>
      <xdr:colOff>436918</xdr:colOff>
      <xdr:row>7</xdr:row>
      <xdr:rowOff>155126</xdr:rowOff>
    </xdr:to>
    <xdr:sp macro="[0]!Part5_수익성분석" textlink="">
      <xdr:nvSpPr>
        <xdr:cNvPr id="22" name="직사각형 21">
          <a:extLst>
            <a:ext uri="{FF2B5EF4-FFF2-40B4-BE49-F238E27FC236}">
              <a16:creationId xmlns:a16="http://schemas.microsoft.com/office/drawing/2014/main" xmlns="" id="{00000000-0008-0000-0000-000016000000}"/>
            </a:ext>
          </a:extLst>
        </xdr:cNvPr>
        <xdr:cNvSpPr/>
      </xdr:nvSpPr>
      <xdr:spPr>
        <a:xfrm>
          <a:off x="4166235" y="1679014"/>
          <a:ext cx="2994212" cy="369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5.3 </a:t>
          </a:r>
          <a:r>
            <a:rPr lang="ko-KR" altLang="en-US" sz="1200" b="1">
              <a:solidFill>
                <a:sysClr val="windowText" lastClr="000000"/>
              </a:solidFill>
            </a:rPr>
            <a:t>수익성분석</a:t>
          </a:r>
        </a:p>
      </xdr:txBody>
    </xdr:sp>
    <xdr:clientData/>
  </xdr:twoCellAnchor>
  <xdr:twoCellAnchor>
    <xdr:from>
      <xdr:col>11</xdr:col>
      <xdr:colOff>77992</xdr:colOff>
      <xdr:row>0</xdr:row>
      <xdr:rowOff>0</xdr:rowOff>
    </xdr:from>
    <xdr:to>
      <xdr:col>12</xdr:col>
      <xdr:colOff>537882</xdr:colOff>
      <xdr:row>1</xdr:row>
      <xdr:rowOff>133350</xdr:rowOff>
    </xdr:to>
    <xdr:sp macro="[0]!시트숨기기" textlink="">
      <xdr:nvSpPr>
        <xdr:cNvPr id="23" name="직사각형 22">
          <a:extLst>
            <a:ext uri="{FF2B5EF4-FFF2-40B4-BE49-F238E27FC236}">
              <a16:creationId xmlns:a16="http://schemas.microsoft.com/office/drawing/2014/main" xmlns="" id="{00000000-0008-0000-0000-000017000000}"/>
            </a:ext>
          </a:extLst>
        </xdr:cNvPr>
        <xdr:cNvSpPr/>
      </xdr:nvSpPr>
      <xdr:spPr>
        <a:xfrm>
          <a:off x="7473874" y="0"/>
          <a:ext cx="1132243" cy="357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시트숨기기</a:t>
          </a:r>
          <a:endParaRPr lang="ko-KR" alt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320486</xdr:colOff>
      <xdr:row>13</xdr:row>
      <xdr:rowOff>62752</xdr:rowOff>
    </xdr:from>
    <xdr:to>
      <xdr:col>35</xdr:col>
      <xdr:colOff>468404</xdr:colOff>
      <xdr:row>27</xdr:row>
      <xdr:rowOff>125506</xdr:rowOff>
    </xdr:to>
    <xdr:sp macro="" textlink="">
      <xdr:nvSpPr>
        <xdr:cNvPr id="2" name="직사각형 1">
          <a:extLst>
            <a:ext uri="{FF2B5EF4-FFF2-40B4-BE49-F238E27FC236}">
              <a16:creationId xmlns:a16="http://schemas.microsoft.com/office/drawing/2014/main" xmlns="" id="{00000000-0008-0000-0200-000002000000}"/>
            </a:ext>
          </a:extLst>
        </xdr:cNvPr>
        <xdr:cNvSpPr/>
      </xdr:nvSpPr>
      <xdr:spPr>
        <a:xfrm>
          <a:off x="23028086" y="2752164"/>
          <a:ext cx="6297706" cy="28149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1. </a:t>
          </a:r>
          <a:r>
            <a:rPr lang="ko-KR" altLang="en-US" sz="1100"/>
            <a:t>매출</a:t>
          </a:r>
          <a:endParaRPr lang="en-US" altLang="ko-KR" sz="1100"/>
        </a:p>
        <a:p>
          <a:pPr algn="l"/>
          <a:r>
            <a:rPr lang="en-US" altLang="ko-KR" sz="1100"/>
            <a:t>- </a:t>
          </a:r>
          <a:r>
            <a:rPr lang="ko-KR" altLang="en-US" sz="1100"/>
            <a:t>프로젝트 이익율을 충족시키기 위해 매출액 </a:t>
          </a:r>
          <a:r>
            <a:rPr lang="en-US" altLang="ko-KR" sz="1100"/>
            <a:t>4.2</a:t>
          </a:r>
          <a:r>
            <a:rPr lang="ko-KR" altLang="en-US" sz="1100"/>
            <a:t>억 정도 임의로 산정한 것으로 보임</a:t>
          </a:r>
          <a:endParaRPr lang="en-US" altLang="ko-KR" sz="1100"/>
        </a:p>
        <a:p>
          <a:pPr algn="l"/>
          <a:r>
            <a:rPr lang="en-US" altLang="ko-KR" sz="1100"/>
            <a:t>- </a:t>
          </a:r>
          <a:r>
            <a:rPr lang="ko-KR" altLang="en-US" sz="1100"/>
            <a:t>현장 대리인 </a:t>
          </a:r>
          <a:r>
            <a:rPr lang="en-US" altLang="ko-KR" sz="1100"/>
            <a:t>2</a:t>
          </a:r>
          <a:r>
            <a:rPr lang="ko-KR" altLang="en-US" sz="1100"/>
            <a:t>명은 어디서 나온 금액인지 잘 모르겠음</a:t>
          </a:r>
          <a:endParaRPr lang="en-US" altLang="ko-KR" sz="1100"/>
        </a:p>
        <a:p>
          <a:pPr algn="l"/>
          <a:endParaRPr lang="en-US" altLang="ko-KR" sz="1100"/>
        </a:p>
        <a:p>
          <a:pPr algn="l"/>
          <a:r>
            <a:rPr lang="en-US" altLang="ko-KR" sz="1100"/>
            <a:t>2. </a:t>
          </a:r>
          <a:r>
            <a:rPr lang="ko-KR" altLang="en-US" sz="1100"/>
            <a:t>비용</a:t>
          </a:r>
          <a:endParaRPr lang="en-US" altLang="ko-KR" sz="1100"/>
        </a:p>
        <a:p>
          <a:pPr algn="l"/>
          <a:r>
            <a:rPr lang="en-US" altLang="ko-KR" sz="1100"/>
            <a:t>- </a:t>
          </a:r>
          <a:r>
            <a:rPr lang="ko-KR" altLang="en-US" sz="1100"/>
            <a:t>운영하도급 </a:t>
          </a:r>
          <a:r>
            <a:rPr lang="en-US" altLang="ko-KR" sz="1100"/>
            <a:t>--&gt;</a:t>
          </a:r>
          <a:r>
            <a:rPr lang="en-US" altLang="ko-KR" sz="1100" baseline="0"/>
            <a:t> </a:t>
          </a:r>
          <a:r>
            <a:rPr lang="en-US" altLang="ko-KR" sz="1100"/>
            <a:t> VDC-C</a:t>
          </a:r>
          <a:r>
            <a:rPr lang="en-US" altLang="ko-KR" sz="1100" baseline="0"/>
            <a:t> </a:t>
          </a:r>
          <a:r>
            <a:rPr lang="ko-KR" altLang="en-US" sz="1100" baseline="0"/>
            <a:t>기준 메타넷 견적가</a:t>
          </a:r>
          <a:endParaRPr lang="en-US" altLang="ko-KR" sz="1100" baseline="0"/>
        </a:p>
        <a:p>
          <a:pPr algn="l"/>
          <a:r>
            <a:rPr lang="en-US" altLang="ko-KR" sz="1100" baseline="0"/>
            <a:t>- </a:t>
          </a:r>
          <a:r>
            <a:rPr lang="ko-KR" altLang="en-US" sz="1100" baseline="0"/>
            <a:t>투자</a:t>
          </a:r>
          <a:endParaRPr lang="en-US" altLang="ko-KR" sz="1100" baseline="0"/>
        </a:p>
        <a:p>
          <a:pPr algn="l"/>
          <a:r>
            <a:rPr lang="en-US" altLang="ko-KR" sz="1100" baseline="0"/>
            <a:t>  STT, TA, </a:t>
          </a:r>
          <a:r>
            <a:rPr lang="ko-KR" altLang="en-US" sz="1100" baseline="0"/>
            <a:t>챗봇</a:t>
          </a:r>
          <a:r>
            <a:rPr lang="en-US" altLang="ko-KR" sz="1100" baseline="0"/>
            <a:t>, KMS</a:t>
          </a:r>
          <a:r>
            <a:rPr lang="ko-KR" altLang="en-US" sz="1100" baseline="0"/>
            <a:t>는 </a:t>
          </a:r>
          <a:r>
            <a:rPr lang="en-US" altLang="ko-KR" sz="1100" baseline="0"/>
            <a:t>KTH, </a:t>
          </a:r>
          <a:r>
            <a:rPr lang="ko-KR" altLang="en-US" sz="1100" baseline="0"/>
            <a:t>도연시스템 견적가 동일함 확인</a:t>
          </a:r>
          <a:endParaRPr lang="en-US" altLang="ko-KR" sz="1100" baseline="0"/>
        </a:p>
        <a:p>
          <a:pPr algn="l"/>
          <a:r>
            <a:rPr lang="en-US" altLang="ko-KR" sz="1100" baseline="0"/>
            <a:t>  </a:t>
          </a:r>
          <a:r>
            <a:rPr lang="ko-KR" altLang="en-US" sz="1100" baseline="0"/>
            <a:t>단</a:t>
          </a:r>
          <a:r>
            <a:rPr lang="en-US" altLang="ko-KR" sz="1100" baseline="0"/>
            <a:t>, </a:t>
          </a:r>
          <a:r>
            <a:rPr lang="ko-KR" altLang="en-US" sz="1100" baseline="0"/>
            <a:t>페이퍼리스는 견적서 없이 </a:t>
          </a:r>
          <a:r>
            <a:rPr lang="en-US" altLang="ko-KR" sz="1100" baseline="0"/>
            <a:t>9.45</a:t>
          </a:r>
          <a:r>
            <a:rPr lang="ko-KR" altLang="en-US" sz="1100" baseline="0"/>
            <a:t>억 반영</a:t>
          </a:r>
          <a:endParaRPr lang="en-US" altLang="ko-KR" sz="1100" baseline="0"/>
        </a:p>
        <a:p>
          <a:pPr algn="l"/>
          <a:r>
            <a:rPr lang="en-US" altLang="ko-KR" sz="1100" baseline="0"/>
            <a:t>- </a:t>
          </a:r>
          <a:r>
            <a:rPr lang="ko-KR" altLang="en-US" sz="1100" baseline="0"/>
            <a:t>수행비용 일반경비는 </a:t>
          </a:r>
          <a:r>
            <a:rPr lang="en-US" altLang="ko-KR" sz="1100" baseline="0"/>
            <a:t>4.5</a:t>
          </a:r>
          <a:r>
            <a:rPr lang="ko-KR" altLang="en-US" sz="1100" baseline="0"/>
            <a:t>억으로 되어있으나 기존 프라이싱은 </a:t>
          </a:r>
          <a:r>
            <a:rPr lang="en-US" altLang="ko-KR" sz="1100" baseline="0"/>
            <a:t>5.5</a:t>
          </a:r>
          <a:r>
            <a:rPr lang="ko-KR" altLang="en-US" sz="1100" baseline="0"/>
            <a:t>억 </a:t>
          </a:r>
          <a:r>
            <a:rPr lang="en-US" altLang="ko-KR" sz="1100" baseline="0"/>
            <a:t>1</a:t>
          </a:r>
          <a:r>
            <a:rPr lang="ko-KR" altLang="en-US" sz="1100" baseline="0"/>
            <a:t>억 차감하여 반영한 듯</a:t>
          </a:r>
          <a:endParaRPr lang="en-US" altLang="ko-KR" sz="1100" baseline="0"/>
        </a:p>
        <a:p>
          <a:pPr algn="l"/>
          <a:r>
            <a:rPr lang="en-US" altLang="ko-KR" sz="1100" baseline="0"/>
            <a:t>- </a:t>
          </a:r>
          <a:r>
            <a:rPr lang="ko-KR" altLang="en-US" sz="1100" baseline="0"/>
            <a:t>구축인력 수행기간 </a:t>
          </a:r>
          <a:r>
            <a:rPr lang="en-US" altLang="ko-KR" sz="1100" baseline="0"/>
            <a:t>10</a:t>
          </a:r>
          <a:r>
            <a:rPr lang="ko-KR" altLang="en-US" sz="1100" baseline="0"/>
            <a:t>개월로 산정</a:t>
          </a:r>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502920</xdr:colOff>
          <xdr:row>0</xdr:row>
          <xdr:rowOff>45720</xdr:rowOff>
        </xdr:from>
        <xdr:to>
          <xdr:col>8</xdr:col>
          <xdr:colOff>1661160</xdr:colOff>
          <xdr:row>0</xdr:row>
          <xdr:rowOff>365760</xdr:rowOff>
        </xdr:to>
        <xdr:sp macro="" textlink="">
          <xdr:nvSpPr>
            <xdr:cNvPr id="64513" name="Button 1" hidden="1">
              <a:extLst>
                <a:ext uri="{63B3BB69-23CF-44E3-9099-C40C66FF867C}">
                  <a14:compatExt spid="_x0000_s64513"/>
                </a:ext>
                <a:ext uri="{FF2B5EF4-FFF2-40B4-BE49-F238E27FC236}">
                  <a16:creationId xmlns:a16="http://schemas.microsoft.com/office/drawing/2014/main" xmlns="" id="{00000000-0008-0000-0300-00000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시트통합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2217420</xdr:colOff>
          <xdr:row>0</xdr:row>
          <xdr:rowOff>15240</xdr:rowOff>
        </xdr:from>
        <xdr:to>
          <xdr:col>9</xdr:col>
          <xdr:colOff>822960</xdr:colOff>
          <xdr:row>0</xdr:row>
          <xdr:rowOff>335280</xdr:rowOff>
        </xdr:to>
        <xdr:sp macro="" textlink="">
          <xdr:nvSpPr>
            <xdr:cNvPr id="64514" name="Button 2" hidden="1">
              <a:extLst>
                <a:ext uri="{63B3BB69-23CF-44E3-9099-C40C66FF867C}">
                  <a14:compatExt spid="_x0000_s64514"/>
                </a:ext>
                <a:ext uri="{FF2B5EF4-FFF2-40B4-BE49-F238E27FC236}">
                  <a16:creationId xmlns:a16="http://schemas.microsoft.com/office/drawing/2014/main" xmlns="" id="{00000000-0008-0000-0300-000002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293894</xdr:colOff>
      <xdr:row>2</xdr:row>
      <xdr:rowOff>9499</xdr:rowOff>
    </xdr:from>
    <xdr:to>
      <xdr:col>1</xdr:col>
      <xdr:colOff>601</xdr:colOff>
      <xdr:row>11</xdr:row>
      <xdr:rowOff>0</xdr:rowOff>
    </xdr:to>
    <xdr:sp macro="[0]!Part1_요약" textlink="">
      <xdr:nvSpPr>
        <xdr:cNvPr id="3" name="사각형: 둥근 위쪽 모서리 2">
          <a:extLst>
            <a:ext uri="{FF2B5EF4-FFF2-40B4-BE49-F238E27FC236}">
              <a16:creationId xmlns:a16="http://schemas.microsoft.com/office/drawing/2014/main" xmlns="" id="{00000000-0008-0000-0400-000003000000}"/>
            </a:ext>
          </a:extLst>
        </xdr:cNvPr>
        <xdr:cNvSpPr/>
      </xdr:nvSpPr>
      <xdr:spPr>
        <a:xfrm rot="16200000">
          <a:off x="-359738" y="1268249"/>
          <a:ext cx="1671383" cy="364119"/>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246939</xdr:colOff>
      <xdr:row>13</xdr:row>
      <xdr:rowOff>176493</xdr:rowOff>
    </xdr:from>
    <xdr:to>
      <xdr:col>1</xdr:col>
      <xdr:colOff>2616</xdr:colOff>
      <xdr:row>24</xdr:row>
      <xdr:rowOff>161365</xdr:rowOff>
    </xdr:to>
    <xdr:sp macro="[0]!Part2_요약" textlink="">
      <xdr:nvSpPr>
        <xdr:cNvPr id="4" name="사각형: 둥근 위쪽 모서리 3">
          <a:extLst>
            <a:ext uri="{FF2B5EF4-FFF2-40B4-BE49-F238E27FC236}">
              <a16:creationId xmlns:a16="http://schemas.microsoft.com/office/drawing/2014/main" xmlns="" id="{00000000-0008-0000-0400-000004000000}"/>
            </a:ext>
          </a:extLst>
        </xdr:cNvPr>
        <xdr:cNvSpPr/>
      </xdr:nvSpPr>
      <xdr:spPr>
        <a:xfrm rot="16200000">
          <a:off x="-715384" y="4148716"/>
          <a:ext cx="2280397" cy="355752"/>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228713</xdr:colOff>
      <xdr:row>26</xdr:row>
      <xdr:rowOff>27455</xdr:rowOff>
    </xdr:from>
    <xdr:to>
      <xdr:col>0</xdr:col>
      <xdr:colOff>594251</xdr:colOff>
      <xdr:row>32</xdr:row>
      <xdr:rowOff>194463</xdr:rowOff>
    </xdr:to>
    <xdr:sp macro="[0]!Part3_요약" textlink="">
      <xdr:nvSpPr>
        <xdr:cNvPr id="5" name="사각형: 둥근 위쪽 모서리 4">
          <a:extLst>
            <a:ext uri="{FF2B5EF4-FFF2-40B4-BE49-F238E27FC236}">
              <a16:creationId xmlns:a16="http://schemas.microsoft.com/office/drawing/2014/main" xmlns="" id="{00000000-0008-0000-0400-000005000000}"/>
            </a:ext>
          </a:extLst>
        </xdr:cNvPr>
        <xdr:cNvSpPr/>
      </xdr:nvSpPr>
      <xdr:spPr>
        <a:xfrm rot="16200000">
          <a:off x="-329247" y="6328990"/>
          <a:ext cx="1481458" cy="365538"/>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0</xdr:row>
          <xdr:rowOff>0</xdr:rowOff>
        </xdr:from>
        <xdr:to>
          <xdr:col>6</xdr:col>
          <xdr:colOff>297180</xdr:colOff>
          <xdr:row>0</xdr:row>
          <xdr:rowOff>335280</xdr:rowOff>
        </xdr:to>
        <xdr:sp macro="" textlink="">
          <xdr:nvSpPr>
            <xdr:cNvPr id="46081" name="cmd_구축요약" hidden="1">
              <a:extLst>
                <a:ext uri="{63B3BB69-23CF-44E3-9099-C40C66FF867C}">
                  <a14:compatExt spid="_x0000_s46081"/>
                </a:ext>
                <a:ext uri="{FF2B5EF4-FFF2-40B4-BE49-F238E27FC236}">
                  <a16:creationId xmlns:a16="http://schemas.microsoft.com/office/drawing/2014/main" xmlns="" id="{00000000-0008-0000-0500-000001B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289560</xdr:colOff>
      <xdr:row>2</xdr:row>
      <xdr:rowOff>6960</xdr:rowOff>
    </xdr:from>
    <xdr:to>
      <xdr:col>1</xdr:col>
      <xdr:colOff>600</xdr:colOff>
      <xdr:row>8</xdr:row>
      <xdr:rowOff>106680</xdr:rowOff>
    </xdr:to>
    <xdr:sp macro="[0]!Part1_요약" textlink="">
      <xdr:nvSpPr>
        <xdr:cNvPr id="3" name="사각형: 둥근 위쪽 모서리 2">
          <a:extLst>
            <a:ext uri="{FF2B5EF4-FFF2-40B4-BE49-F238E27FC236}">
              <a16:creationId xmlns:a16="http://schemas.microsoft.com/office/drawing/2014/main" xmlns="" id="{00000000-0008-0000-0500-000003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4" name="사각형: 둥근 위쪽 모서리 3">
          <a:hlinkClick xmlns:r="http://schemas.openxmlformats.org/officeDocument/2006/relationships" r:id="rId1"/>
          <a:extLst>
            <a:ext uri="{FF2B5EF4-FFF2-40B4-BE49-F238E27FC236}">
              <a16:creationId xmlns:a16="http://schemas.microsoft.com/office/drawing/2014/main" xmlns="" id="{00000000-0008-0000-0500-000004000000}"/>
            </a:ext>
          </a:extLst>
        </xdr:cNvPr>
        <xdr:cNvSpPr/>
      </xdr:nvSpPr>
      <xdr:spPr>
        <a:xfrm rot="16200000">
          <a:off x="-270540" y="2392050"/>
          <a:ext cx="1425600" cy="305400"/>
        </a:xfrm>
        <a:prstGeom prst="round2Same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5" name="사각형: 둥근 위쪽 모서리 4">
          <a:extLst>
            <a:ext uri="{FF2B5EF4-FFF2-40B4-BE49-F238E27FC236}">
              <a16:creationId xmlns:a16="http://schemas.microsoft.com/office/drawing/2014/main" xmlns="" id="{00000000-0008-0000-0500-000005000000}"/>
            </a:ext>
          </a:extLst>
        </xdr:cNvPr>
        <xdr:cNvSpPr/>
      </xdr:nvSpPr>
      <xdr:spPr>
        <a:xfrm rot="16200000">
          <a:off x="-213390" y="383223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289560</xdr:colOff>
      <xdr:row>2</xdr:row>
      <xdr:rowOff>6960</xdr:rowOff>
    </xdr:from>
    <xdr:to>
      <xdr:col>1</xdr:col>
      <xdr:colOff>600</xdr:colOff>
      <xdr:row>8</xdr:row>
      <xdr:rowOff>106680</xdr:rowOff>
    </xdr:to>
    <xdr:sp macro="[0]!Part1_요약" textlink="">
      <xdr:nvSpPr>
        <xdr:cNvPr id="2" name="사각형: 둥근 위쪽 모서리 1">
          <a:extLst>
            <a:ext uri="{FF2B5EF4-FFF2-40B4-BE49-F238E27FC236}">
              <a16:creationId xmlns:a16="http://schemas.microsoft.com/office/drawing/2014/main" xmlns="" id="{00000000-0008-0000-0600-000002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3" name="사각형: 둥근 위쪽 모서리 2">
          <a:extLst>
            <a:ext uri="{FF2B5EF4-FFF2-40B4-BE49-F238E27FC236}">
              <a16:creationId xmlns:a16="http://schemas.microsoft.com/office/drawing/2014/main" xmlns="" id="{00000000-0008-0000-0600-000003000000}"/>
            </a:ext>
          </a:extLst>
        </xdr:cNvPr>
        <xdr:cNvSpPr/>
      </xdr:nvSpPr>
      <xdr:spPr>
        <a:xfrm rot="16200000">
          <a:off x="-270540" y="2392050"/>
          <a:ext cx="14256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4" name="사각형: 둥근 위쪽 모서리 3">
          <a:extLst>
            <a:ext uri="{FF2B5EF4-FFF2-40B4-BE49-F238E27FC236}">
              <a16:creationId xmlns:a16="http://schemas.microsoft.com/office/drawing/2014/main" xmlns="" id="{00000000-0008-0000-0600-000004000000}"/>
            </a:ext>
          </a:extLst>
        </xdr:cNvPr>
        <xdr:cNvSpPr/>
      </xdr:nvSpPr>
      <xdr:spPr>
        <a:xfrm rot="16200000">
          <a:off x="-213390" y="3832230"/>
          <a:ext cx="1311300" cy="305400"/>
        </a:xfrm>
        <a:prstGeom prst="round2Same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175260</xdr:colOff>
          <xdr:row>0</xdr:row>
          <xdr:rowOff>0</xdr:rowOff>
        </xdr:from>
        <xdr:to>
          <xdr:col>3</xdr:col>
          <xdr:colOff>1089660</xdr:colOff>
          <xdr:row>1</xdr:row>
          <xdr:rowOff>83820</xdr:rowOff>
        </xdr:to>
        <xdr:sp macro="" textlink="">
          <xdr:nvSpPr>
            <xdr:cNvPr id="29697" name="cmd_BL인건비" hidden="1">
              <a:extLst>
                <a:ext uri="{63B3BB69-23CF-44E3-9099-C40C66FF867C}">
                  <a14:compatExt spid="_x0000_s29697"/>
                </a:ext>
                <a:ext uri="{FF2B5EF4-FFF2-40B4-BE49-F238E27FC236}">
                  <a16:creationId xmlns:a16="http://schemas.microsoft.com/office/drawing/2014/main" xmlns="" id="{00000000-0008-0000-0700-000001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0</xdr:colOff>
          <xdr:row>0</xdr:row>
          <xdr:rowOff>76200</xdr:rowOff>
        </xdr:from>
        <xdr:to>
          <xdr:col>194</xdr:col>
          <xdr:colOff>487680</xdr:colOff>
          <xdr:row>1</xdr:row>
          <xdr:rowOff>144780</xdr:rowOff>
        </xdr:to>
        <xdr:sp macro="" textlink="">
          <xdr:nvSpPr>
            <xdr:cNvPr id="29700" name="OptionButton1" hidden="1">
              <a:extLst>
                <a:ext uri="{63B3BB69-23CF-44E3-9099-C40C66FF867C}">
                  <a14:compatExt spid="_x0000_s297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0</xdr:colOff>
          <xdr:row>0</xdr:row>
          <xdr:rowOff>0</xdr:rowOff>
        </xdr:from>
        <xdr:to>
          <xdr:col>194</xdr:col>
          <xdr:colOff>449580</xdr:colOff>
          <xdr:row>1</xdr:row>
          <xdr:rowOff>121920</xdr:rowOff>
        </xdr:to>
        <xdr:sp macro="" textlink="">
          <xdr:nvSpPr>
            <xdr:cNvPr id="29701" name="OptionButton2" hidden="1">
              <a:extLst>
                <a:ext uri="{63B3BB69-23CF-44E3-9099-C40C66FF867C}">
                  <a14:compatExt spid="_x0000_s2970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xdr:colOff>
          <xdr:row>0</xdr:row>
          <xdr:rowOff>7620</xdr:rowOff>
        </xdr:from>
        <xdr:to>
          <xdr:col>3</xdr:col>
          <xdr:colOff>937260</xdr:colOff>
          <xdr:row>0</xdr:row>
          <xdr:rowOff>320040</xdr:rowOff>
        </xdr:to>
        <xdr:sp macro="" textlink="">
          <xdr:nvSpPr>
            <xdr:cNvPr id="41985" name="cmd_CS인건비" hidden="1">
              <a:extLst>
                <a:ext uri="{63B3BB69-23CF-44E3-9099-C40C66FF867C}">
                  <a14:compatExt spid="_x0000_s41985"/>
                </a:ext>
                <a:ext uri="{FF2B5EF4-FFF2-40B4-BE49-F238E27FC236}">
                  <a16:creationId xmlns:a16="http://schemas.microsoft.com/office/drawing/2014/main" xmlns="" id="{00000000-0008-0000-0800-000001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541020</xdr:colOff>
          <xdr:row>0</xdr:row>
          <xdr:rowOff>220980</xdr:rowOff>
        </xdr:from>
        <xdr:to>
          <xdr:col>195</xdr:col>
          <xdr:colOff>358140</xdr:colOff>
          <xdr:row>1</xdr:row>
          <xdr:rowOff>121920</xdr:rowOff>
        </xdr:to>
        <xdr:sp macro="" textlink="">
          <xdr:nvSpPr>
            <xdr:cNvPr id="41988" name="OptionButton1" hidden="1">
              <a:extLst>
                <a:ext uri="{63B3BB69-23CF-44E3-9099-C40C66FF867C}">
                  <a14:compatExt spid="_x0000_s4198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571500</xdr:colOff>
          <xdr:row>0</xdr:row>
          <xdr:rowOff>198120</xdr:rowOff>
        </xdr:from>
        <xdr:to>
          <xdr:col>197</xdr:col>
          <xdr:colOff>342900</xdr:colOff>
          <xdr:row>1</xdr:row>
          <xdr:rowOff>144780</xdr:rowOff>
        </xdr:to>
        <xdr:sp macro="" textlink="">
          <xdr:nvSpPr>
            <xdr:cNvPr id="41989" name="OptionButton2" hidden="1">
              <a:extLst>
                <a:ext uri="{63B3BB69-23CF-44E3-9099-C40C66FF867C}">
                  <a14:compatExt spid="_x0000_s4198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259080</xdr:colOff>
          <xdr:row>0</xdr:row>
          <xdr:rowOff>15240</xdr:rowOff>
        </xdr:from>
        <xdr:to>
          <xdr:col>4</xdr:col>
          <xdr:colOff>7620</xdr:colOff>
          <xdr:row>0</xdr:row>
          <xdr:rowOff>281940</xdr:rowOff>
        </xdr:to>
        <xdr:sp macro="" textlink="">
          <xdr:nvSpPr>
            <xdr:cNvPr id="28673" name="cmd_CS구축" hidden="1">
              <a:extLst>
                <a:ext uri="{63B3BB69-23CF-44E3-9099-C40C66FF867C}">
                  <a14:compatExt spid="_x0000_s28673"/>
                </a:ext>
                <a:ext uri="{FF2B5EF4-FFF2-40B4-BE49-F238E27FC236}">
                  <a16:creationId xmlns:a16="http://schemas.microsoft.com/office/drawing/2014/main" xmlns="" id="{00000000-0008-0000-0900-000001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403860</xdr:colOff>
          <xdr:row>0</xdr:row>
          <xdr:rowOff>38100</xdr:rowOff>
        </xdr:from>
        <xdr:to>
          <xdr:col>5</xdr:col>
          <xdr:colOff>891540</xdr:colOff>
          <xdr:row>0</xdr:row>
          <xdr:rowOff>304800</xdr:rowOff>
        </xdr:to>
        <xdr:sp macro="" textlink="">
          <xdr:nvSpPr>
            <xdr:cNvPr id="28680" name="OptionButton1" hidden="1">
              <a:extLst>
                <a:ext uri="{63B3BB69-23CF-44E3-9099-C40C66FF867C}">
                  <a14:compatExt spid="_x0000_s28680"/>
                </a:ext>
                <a:ext uri="{FF2B5EF4-FFF2-40B4-BE49-F238E27FC236}">
                  <a16:creationId xmlns:a16="http://schemas.microsoft.com/office/drawing/2014/main" xmlns="" id="{00000000-0008-0000-0900-000008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1303020</xdr:colOff>
          <xdr:row>0</xdr:row>
          <xdr:rowOff>0</xdr:rowOff>
        </xdr:from>
        <xdr:to>
          <xdr:col>6</xdr:col>
          <xdr:colOff>518160</xdr:colOff>
          <xdr:row>0</xdr:row>
          <xdr:rowOff>251460</xdr:rowOff>
        </xdr:to>
        <xdr:sp macro="" textlink="">
          <xdr:nvSpPr>
            <xdr:cNvPr id="28681" name="OptionButton2" hidden="1">
              <a:extLst>
                <a:ext uri="{63B3BB69-23CF-44E3-9099-C40C66FF867C}">
                  <a14:compatExt spid="_x0000_s28681"/>
                </a:ext>
                <a:ext uri="{FF2B5EF4-FFF2-40B4-BE49-F238E27FC236}">
                  <a16:creationId xmlns:a16="http://schemas.microsoft.com/office/drawing/2014/main" xmlns="" id="{00000000-0008-0000-0900-000009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0</xdr:row>
          <xdr:rowOff>30480</xdr:rowOff>
        </xdr:from>
        <xdr:to>
          <xdr:col>3</xdr:col>
          <xdr:colOff>358140</xdr:colOff>
          <xdr:row>0</xdr:row>
          <xdr:rowOff>289560</xdr:rowOff>
        </xdr:to>
        <xdr:sp macro="" textlink="">
          <xdr:nvSpPr>
            <xdr:cNvPr id="45057" name="cmd_CS수행" hidden="1">
              <a:extLst>
                <a:ext uri="{63B3BB69-23CF-44E3-9099-C40C66FF867C}">
                  <a14:compatExt spid="_x0000_s45057"/>
                </a:ext>
                <a:ext uri="{FF2B5EF4-FFF2-40B4-BE49-F238E27FC236}">
                  <a16:creationId xmlns:a16="http://schemas.microsoft.com/office/drawing/2014/main" xmlns="" id="{00000000-0008-0000-0A00-000001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0</xdr:row>
          <xdr:rowOff>0</xdr:rowOff>
        </xdr:from>
        <xdr:to>
          <xdr:col>4</xdr:col>
          <xdr:colOff>1165860</xdr:colOff>
          <xdr:row>0</xdr:row>
          <xdr:rowOff>266700</xdr:rowOff>
        </xdr:to>
        <xdr:sp macro="" textlink="">
          <xdr:nvSpPr>
            <xdr:cNvPr id="45058" name="OptionButton1" hidden="1">
              <a:extLst>
                <a:ext uri="{63B3BB69-23CF-44E3-9099-C40C66FF867C}">
                  <a14:compatExt spid="_x0000_s45058"/>
                </a:ext>
                <a:ext uri="{FF2B5EF4-FFF2-40B4-BE49-F238E27FC236}">
                  <a16:creationId xmlns:a16="http://schemas.microsoft.com/office/drawing/2014/main" xmlns="" id="{00000000-0008-0000-0A00-000002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906780</xdr:colOff>
          <xdr:row>0</xdr:row>
          <xdr:rowOff>0</xdr:rowOff>
        </xdr:from>
        <xdr:to>
          <xdr:col>6</xdr:col>
          <xdr:colOff>129540</xdr:colOff>
          <xdr:row>0</xdr:row>
          <xdr:rowOff>236220</xdr:rowOff>
        </xdr:to>
        <xdr:sp macro="" textlink="">
          <xdr:nvSpPr>
            <xdr:cNvPr id="45059" name="OptionButton2" hidden="1">
              <a:extLst>
                <a:ext uri="{63B3BB69-23CF-44E3-9099-C40C66FF867C}">
                  <a14:compatExt spid="_x0000_s45059"/>
                </a:ext>
                <a:ext uri="{FF2B5EF4-FFF2-40B4-BE49-F238E27FC236}">
                  <a16:creationId xmlns:a16="http://schemas.microsoft.com/office/drawing/2014/main" xmlns="" id="{00000000-0008-0000-0A00-000003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0</xdr:colOff>
      <xdr:row>21</xdr:row>
      <xdr:rowOff>0</xdr:rowOff>
    </xdr:from>
    <xdr:to>
      <xdr:col>6</xdr:col>
      <xdr:colOff>342900</xdr:colOff>
      <xdr:row>25</xdr:row>
      <xdr:rowOff>120650</xdr:rowOff>
    </xdr:to>
    <xdr:grpSp>
      <xdr:nvGrpSpPr>
        <xdr:cNvPr id="2" name="그룹 2">
          <a:extLst>
            <a:ext uri="{FF2B5EF4-FFF2-40B4-BE49-F238E27FC236}">
              <a16:creationId xmlns:a16="http://schemas.microsoft.com/office/drawing/2014/main" xmlns="" id="{00000000-0008-0000-1000-000002000000}"/>
            </a:ext>
          </a:extLst>
        </xdr:cNvPr>
        <xdr:cNvGrpSpPr>
          <a:grpSpLocks/>
        </xdr:cNvGrpSpPr>
      </xdr:nvGrpSpPr>
      <xdr:grpSpPr bwMode="auto">
        <a:xfrm>
          <a:off x="4191000" y="5246914"/>
          <a:ext cx="3717471" cy="1296307"/>
          <a:chOff x="3492500" y="508000"/>
          <a:chExt cx="3708400" cy="469900"/>
        </a:xfrm>
      </xdr:grpSpPr>
      <xdr:sp macro="" textlink="">
        <xdr:nvSpPr>
          <xdr:cNvPr id="3" name="직사각형 2">
            <a:extLst>
              <a:ext uri="{FF2B5EF4-FFF2-40B4-BE49-F238E27FC236}">
                <a16:creationId xmlns:a16="http://schemas.microsoft.com/office/drawing/2014/main" xmlns="" id="{00000000-0008-0000-1000-000003000000}"/>
              </a:ext>
            </a:extLst>
          </xdr:cNvPr>
          <xdr:cNvSpPr/>
        </xdr:nvSpPr>
        <xdr:spPr>
          <a:xfrm>
            <a:off x="3492500" y="508000"/>
            <a:ext cx="3708400" cy="459220"/>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lnSpc>
                <a:spcPts val="3500"/>
              </a:lnSpc>
            </a:pPr>
            <a:r>
              <a:rPr lang="ko-KR" altLang="en-US" sz="2400" b="1" i="1">
                <a:solidFill>
                  <a:srgbClr val="FF0000"/>
                </a:solidFill>
                <a:latin typeface="+mn-ea"/>
                <a:ea typeface="+mn-ea"/>
              </a:rPr>
              <a:t>내용 필수 작성 또는</a:t>
            </a:r>
            <a:endParaRPr lang="en-US" altLang="ko-KR" sz="2400" b="1" i="1">
              <a:solidFill>
                <a:srgbClr val="FF0000"/>
              </a:solidFill>
              <a:latin typeface="+mn-ea"/>
              <a:ea typeface="+mn-ea"/>
            </a:endParaRPr>
          </a:p>
          <a:p>
            <a:pPr algn="ctr">
              <a:lnSpc>
                <a:spcPts val="3500"/>
              </a:lnSpc>
            </a:pPr>
            <a:r>
              <a:rPr lang="ko-KR" altLang="en-US" sz="2400" b="1" i="1">
                <a:solidFill>
                  <a:srgbClr val="FF0000"/>
                </a:solidFill>
                <a:latin typeface="+mn-ea"/>
                <a:ea typeface="+mn-ea"/>
              </a:rPr>
              <a:t>별도 자료 제출 要</a:t>
            </a:r>
            <a:endParaRPr lang="en-US" altLang="ko-KR" sz="2400" b="1" i="1">
              <a:solidFill>
                <a:srgbClr val="FF0000"/>
              </a:solidFill>
              <a:latin typeface="+mn-ea"/>
              <a:ea typeface="+mn-ea"/>
            </a:endParaRPr>
          </a:p>
        </xdr:txBody>
      </xdr:sp>
      <xdr:cxnSp macro="">
        <xdr:nvCxnSpPr>
          <xdr:cNvPr id="4" name="직선 연결선 3">
            <a:extLst>
              <a:ext uri="{FF2B5EF4-FFF2-40B4-BE49-F238E27FC236}">
                <a16:creationId xmlns:a16="http://schemas.microsoft.com/office/drawing/2014/main" xmlns="" id="{00000000-0008-0000-1000-000004000000}"/>
              </a:ext>
            </a:extLst>
          </xdr:cNvPr>
          <xdr:cNvCxnSpPr/>
        </xdr:nvCxnSpPr>
        <xdr:spPr>
          <a:xfrm>
            <a:off x="3500037" y="51868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직선 연결선 4">
            <a:extLst>
              <a:ext uri="{FF2B5EF4-FFF2-40B4-BE49-F238E27FC236}">
                <a16:creationId xmlns:a16="http://schemas.microsoft.com/office/drawing/2014/main" xmlns="" id="{00000000-0008-0000-1000-000005000000}"/>
              </a:ext>
            </a:extLst>
          </xdr:cNvPr>
          <xdr:cNvCxnSpPr/>
        </xdr:nvCxnSpPr>
        <xdr:spPr>
          <a:xfrm>
            <a:off x="3500037" y="97790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14abbea5d20da3b7/&#48148;&#53461;%20&#54868;&#47732;/1.%20AIG/2.%20pricing/(&#44221;&#51228;&#49457;&#48516;&#49437;_1&#50900;&#44060;&#49884;)%20&#50896;&#44032;&#48516;&#49437;_20201231_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0 실무진 미팅"/>
      <sheetName val="PRC 시나리오"/>
      <sheetName val="단가, 인원"/>
      <sheetName val="PRC안별 가격"/>
      <sheetName val="PRC조정"/>
      <sheetName val="BAU대비효과금액차이"/>
      <sheetName val="00. Index"/>
      <sheetName val="4. 견적_메타넷_0602 (2)"/>
      <sheetName val="목차"/>
      <sheetName val="투자효과요약(우창성T)"/>
      <sheetName val="Sheet1"/>
      <sheetName val="BAU"/>
      <sheetName val="실행계획"/>
      <sheetName val="2. 솔루션 효과"/>
      <sheetName val="2. Cost Sheet"/>
      <sheetName val="3. 월간매출계획"/>
      <sheetName val="매출시뮬레이션"/>
      <sheetName val="Sheet3"/>
      <sheetName val="1. 사업성분석"/>
      <sheetName val="1. 사업성_매출"/>
      <sheetName val="1. 사업성_투자"/>
      <sheetName val="1. 사업성_비용"/>
      <sheetName val="3. 솔루션효과 정산"/>
      <sheetName val="6. 수행비용_단가"/>
      <sheetName val="BAU_견적 차이"/>
      <sheetName val="5. 구축비용_1203"/>
      <sheetName val="인입호"/>
      <sheetName val="기대효과"/>
      <sheetName val="2. CC 내역"/>
      <sheetName val="6. 수행비용"/>
      <sheetName val="Sheet2"/>
      <sheetName val="15up"/>
      <sheetName val="2. Simul"/>
      <sheetName val="3. 가격변경조건"/>
      <sheetName val="3. 콜 절감계획"/>
      <sheetName val="3. 인력 절감계획"/>
      <sheetName val="4. 견적_메타넷_0403 (2)"/>
      <sheetName val="4. 견적_메타넷_0528 (2)"/>
      <sheetName val="3. 중도해지위약금"/>
      <sheetName val="4. 견적_메타넷_0630 (2)"/>
      <sheetName val="4. 견적_메타넷_0703 (2)"/>
      <sheetName val="4. 견적_메타넷_0717 (2)"/>
      <sheetName val="4. 견적_메타넷_0721 (2)"/>
      <sheetName val="4. 견적_메타넷_0917 (2)"/>
      <sheetName val="4. 견적_메타넷_1021 (2)"/>
      <sheetName val="4. 견적_메타넷_1103 (2)"/>
      <sheetName val="4. 견적_메타넷_1203"/>
      <sheetName val="4. 견적_메타넷_1211"/>
      <sheetName val="4. 하도_요약"/>
      <sheetName val="4. 하도_연도별 인력계획"/>
      <sheetName val="4. 하도_연도별 단가"/>
      <sheetName val="4. 하도_연도별 금액"/>
      <sheetName val="5. 구축비용"/>
      <sheetName val="5. 구축_KTH물품"/>
      <sheetName val="5. 구축_KTH용역"/>
      <sheetName val="5. 구축_지어소프트용역"/>
      <sheetName val="5. 구축_도연시스템물품"/>
      <sheetName val="5. 구축_도연시스템MA요약"/>
      <sheetName val="5. 구축_도연시스템용역"/>
      <sheetName val="5. 구축_도연시스템구축요약"/>
      <sheetName val="5. 구축_지어소프트요약"/>
      <sheetName val="5. 구축_KTH요약"/>
      <sheetName val="5. 구축_견적요약"/>
      <sheetName val="5. 구축_요약"/>
      <sheetName val="5. 구축_VDC-B대비"/>
      <sheetName val="별지_IB"/>
      <sheetName val="별지_IB회귀분석"/>
      <sheetName val="별지_OB"/>
      <sheetName val="별지_OB회귀분석"/>
      <sheetName val="투자비"/>
      <sheetName val="견적_유베이스_0403"/>
      <sheetName val="견적_최저가기준_0318"/>
      <sheetName val="솔루션효과 시나리오"/>
      <sheetName val="견적_유베이스"/>
      <sheetName val="견적_메타넷_0318"/>
      <sheetName val="견적_메타넷"/>
      <sheetName val="견적 간 차이_0318"/>
      <sheetName val="견적 간 합계차이_0318"/>
      <sheetName val="견적 인원 차이_0318"/>
      <sheetName val="견적_유베이스_0318"/>
      <sheetName val="BAU대비 인원감소"/>
      <sheetName val="매출시나리오"/>
      <sheetName val="E.T. Fee"/>
      <sheetName val="손익리스크"/>
      <sheetName val="단가차이"/>
      <sheetName val="PRC 로직"/>
      <sheetName val="PRC 로직0203"/>
      <sheetName val="PRC 스케쥴"/>
      <sheetName val="견적_차이"/>
      <sheetName val="베이스라인0904"/>
      <sheetName val="증권수 추이"/>
      <sheetName val="현재DT전환율"/>
      <sheetName val="빅데이터"/>
      <sheetName val="InBound_TAQA_효과"/>
      <sheetName val="컨설팅_1_효과"/>
      <sheetName val="컨설팅_2_효과"/>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5">
          <cell r="N25">
            <v>3344840356.000001</v>
          </cell>
        </row>
        <row r="37">
          <cell r="N37">
            <v>225000000</v>
          </cell>
        </row>
        <row r="40">
          <cell r="N40">
            <v>945000000</v>
          </cell>
        </row>
      </sheetData>
      <sheetData sheetId="15"/>
      <sheetData sheetId="16"/>
      <sheetData sheetId="17"/>
      <sheetData sheetId="18">
        <row r="22">
          <cell r="O22">
            <v>498234354.72102785</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6.vml"/><Relationship Id="rId7" Type="http://schemas.openxmlformats.org/officeDocument/2006/relationships/image" Target="../media/image12.emf"/><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 Id="rId9" Type="http://schemas.openxmlformats.org/officeDocument/2006/relationships/image" Target="../media/image13.emf"/></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7.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0.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1_Sheet">
    <tabColor theme="4" tint="0.59999389629810485"/>
  </sheetPr>
  <dimension ref="A1:K13"/>
  <sheetViews>
    <sheetView showGridLines="0" zoomScale="85" zoomScaleNormal="85" workbookViewId="0">
      <selection activeCell="J17" sqref="J17"/>
    </sheetView>
  </sheetViews>
  <sheetFormatPr defaultRowHeight="17.399999999999999"/>
  <sheetData>
    <row r="1" spans="1:11">
      <c r="A1" s="70" t="s">
        <v>279</v>
      </c>
    </row>
    <row r="2" spans="1:11" ht="36.6" thickBot="1">
      <c r="B2" s="632" t="s">
        <v>280</v>
      </c>
      <c r="C2" s="632"/>
      <c r="D2" s="632"/>
      <c r="E2" s="632"/>
      <c r="F2" s="632"/>
      <c r="G2" s="632"/>
      <c r="H2" s="632"/>
      <c r="I2" s="632"/>
      <c r="J2" s="632"/>
      <c r="K2" s="632"/>
    </row>
    <row r="3" spans="1:11" ht="13.2" customHeight="1" thickTop="1">
      <c r="B3" s="68"/>
      <c r="C3" s="68"/>
      <c r="D3" s="68"/>
      <c r="E3" s="68"/>
      <c r="F3" s="68"/>
      <c r="G3" s="68"/>
      <c r="H3" s="68"/>
      <c r="I3" s="68"/>
      <c r="J3" s="68"/>
      <c r="K3" s="68"/>
    </row>
    <row r="5" spans="1:11" ht="21">
      <c r="B5" s="69"/>
      <c r="H5" s="69"/>
    </row>
    <row r="6" spans="1:11" ht="21">
      <c r="B6" s="69"/>
      <c r="H6" s="69"/>
    </row>
    <row r="7" spans="1:11" ht="21">
      <c r="B7" s="69"/>
    </row>
    <row r="8" spans="1:11" ht="21">
      <c r="B8" s="69"/>
    </row>
    <row r="9" spans="1:11" ht="21">
      <c r="B9" s="69"/>
    </row>
    <row r="10" spans="1:11" ht="21">
      <c r="B10" s="69"/>
    </row>
    <row r="11" spans="1:11" ht="21">
      <c r="B11" s="69"/>
    </row>
    <row r="12" spans="1:11" ht="21">
      <c r="B12" s="69"/>
    </row>
    <row r="13" spans="1:11" ht="21">
      <c r="B13" s="69"/>
    </row>
  </sheetData>
  <mergeCells count="1">
    <mergeCell ref="B2:K2"/>
  </mergeCells>
  <phoneticPr fontId="1" type="noConversion"/>
  <hyperlinks>
    <hyperlink ref="A1" location="HOME!A1" display="HOM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1_Sheet">
    <tabColor rgb="FFFF0000"/>
  </sheetPr>
  <dimension ref="A1:K87"/>
  <sheetViews>
    <sheetView topLeftCell="A7" zoomScale="85" zoomScaleNormal="85" workbookViewId="0">
      <selection activeCell="H11" sqref="H11"/>
    </sheetView>
  </sheetViews>
  <sheetFormatPr defaultColWidth="15.296875" defaultRowHeight="17.399999999999999"/>
  <cols>
    <col min="1" max="1" width="10.59765625" style="289" customWidth="1"/>
    <col min="2" max="2" width="20.5" customWidth="1"/>
    <col min="3" max="3" width="16.8984375" bestFit="1" customWidth="1"/>
  </cols>
  <sheetData>
    <row r="1" spans="1:11" ht="25.2">
      <c r="A1" s="288" t="s">
        <v>279</v>
      </c>
      <c r="B1" s="118" t="s">
        <v>345</v>
      </c>
    </row>
    <row r="2" spans="1:11" ht="18" thickBot="1">
      <c r="A2" s="288"/>
      <c r="D2" s="110"/>
    </row>
    <row r="3" spans="1:11" ht="18.600000000000001" thickTop="1" thickBot="1">
      <c r="A3" s="288"/>
      <c r="B3" s="117" t="s">
        <v>346</v>
      </c>
      <c r="C3" s="119" t="s">
        <v>344</v>
      </c>
      <c r="D3" s="42"/>
      <c r="E3" s="42"/>
      <c r="F3" s="42"/>
    </row>
    <row r="4" spans="1:11" ht="18.600000000000001" thickTop="1" thickBot="1">
      <c r="A4" s="288"/>
      <c r="D4" s="116"/>
      <c r="E4" s="116"/>
      <c r="F4" s="116"/>
    </row>
    <row r="5" spans="1:11">
      <c r="B5" s="120"/>
      <c r="C5" s="121" t="s">
        <v>347</v>
      </c>
      <c r="D5" s="120" t="s">
        <v>344</v>
      </c>
      <c r="E5" s="122" t="s">
        <v>348</v>
      </c>
      <c r="F5" s="122" t="s">
        <v>349</v>
      </c>
    </row>
    <row r="6" spans="1:11">
      <c r="B6" s="110" t="s">
        <v>350</v>
      </c>
      <c r="C6" s="113">
        <f>C17</f>
        <v>31180982871.286606</v>
      </c>
      <c r="D6" s="110"/>
      <c r="E6" s="110"/>
      <c r="F6" s="110"/>
      <c r="G6" s="116"/>
      <c r="H6" s="116"/>
      <c r="I6" s="116"/>
    </row>
    <row r="7" spans="1:11">
      <c r="B7" s="110" t="s">
        <v>343</v>
      </c>
      <c r="C7" s="113" t="e">
        <f>SUM(C8:C9)</f>
        <v>#REF!</v>
      </c>
      <c r="D7" s="110"/>
      <c r="E7" s="110"/>
      <c r="F7" s="110"/>
      <c r="G7" s="116"/>
      <c r="H7" s="116"/>
      <c r="I7" s="116"/>
    </row>
    <row r="8" spans="1:11">
      <c r="B8" s="123" t="s">
        <v>351</v>
      </c>
      <c r="C8" s="113" t="e">
        <f>SUM(C24:C27,C34:C35)</f>
        <v>#REF!</v>
      </c>
      <c r="D8" s="110"/>
      <c r="E8" s="110"/>
      <c r="F8" s="110"/>
      <c r="G8" s="116"/>
      <c r="H8" s="116"/>
      <c r="I8" s="116"/>
    </row>
    <row r="9" spans="1:11">
      <c r="B9" s="123" t="s">
        <v>352</v>
      </c>
      <c r="C9" s="113" t="e">
        <f>SUM(C28:C33)</f>
        <v>#REF!</v>
      </c>
      <c r="D9" s="110"/>
      <c r="E9" s="110"/>
      <c r="F9" s="110"/>
      <c r="G9" s="116"/>
      <c r="H9" s="116"/>
      <c r="I9" s="116"/>
    </row>
    <row r="10" spans="1:11">
      <c r="B10" s="110" t="s">
        <v>353</v>
      </c>
      <c r="C10" s="113" t="e">
        <f>C37</f>
        <v>#REF!</v>
      </c>
      <c r="D10" s="110"/>
      <c r="E10" s="110"/>
      <c r="F10" s="110"/>
    </row>
    <row r="11" spans="1:11">
      <c r="B11" s="110" t="s">
        <v>342</v>
      </c>
      <c r="C11" s="124" t="e">
        <f>C38</f>
        <v>#REF!</v>
      </c>
      <c r="D11" s="116"/>
      <c r="E11" s="116"/>
      <c r="F11" s="116"/>
    </row>
    <row r="12" spans="1:11" ht="18" thickBot="1">
      <c r="B12" s="125" t="s">
        <v>354</v>
      </c>
      <c r="C12" s="126">
        <f>C39</f>
        <v>0</v>
      </c>
      <c r="D12" s="127"/>
      <c r="E12" s="127"/>
      <c r="F12" s="127"/>
    </row>
    <row r="13" spans="1:11">
      <c r="B13" s="117" t="s">
        <v>355</v>
      </c>
    </row>
    <row r="14" spans="1:11">
      <c r="B14" s="117"/>
      <c r="D14" s="109"/>
    </row>
    <row r="15" spans="1:11" ht="18" thickBot="1">
      <c r="C15" s="110"/>
      <c r="D15" s="110"/>
      <c r="E15" s="116"/>
      <c r="F15" s="116"/>
      <c r="G15" s="116"/>
      <c r="H15" s="116"/>
      <c r="I15" s="116"/>
    </row>
    <row r="16" spans="1:11" ht="18" thickBot="1">
      <c r="B16" s="120" t="s">
        <v>339</v>
      </c>
      <c r="C16" s="121" t="s">
        <v>356</v>
      </c>
      <c r="D16" s="120" t="s">
        <v>333</v>
      </c>
      <c r="E16" s="120" t="s">
        <v>232</v>
      </c>
      <c r="F16" s="120" t="s">
        <v>233</v>
      </c>
      <c r="G16" s="120" t="s">
        <v>234</v>
      </c>
      <c r="H16" s="120" t="s">
        <v>235</v>
      </c>
      <c r="I16" s="120" t="s">
        <v>236</v>
      </c>
      <c r="J16" s="120" t="s">
        <v>237</v>
      </c>
      <c r="K16" s="128" t="s">
        <v>357</v>
      </c>
    </row>
    <row r="17" spans="2:11">
      <c r="B17" s="400" t="s">
        <v>358</v>
      </c>
      <c r="C17" s="401">
        <f>SUM(C18:C21)</f>
        <v>31180982871.286606</v>
      </c>
      <c r="D17" s="402">
        <f>SUM(D18:D21)</f>
        <v>3735281241.4426227</v>
      </c>
      <c r="E17" s="402">
        <f t="shared" ref="E17:J17" si="0">SUM(E18:E21)</f>
        <v>4304352403.4731102</v>
      </c>
      <c r="F17" s="402">
        <f t="shared" si="0"/>
        <v>4408734673.8469162</v>
      </c>
      <c r="G17" s="402">
        <f t="shared" si="0"/>
        <v>4515758938.8144102</v>
      </c>
      <c r="H17" s="402">
        <f t="shared" si="0"/>
        <v>4625492069.2666731</v>
      </c>
      <c r="I17" s="402">
        <f t="shared" si="0"/>
        <v>4738002628.6478615</v>
      </c>
      <c r="J17" s="402">
        <f t="shared" si="0"/>
        <v>4853360915.7950115</v>
      </c>
      <c r="K17" s="129"/>
    </row>
    <row r="18" spans="2:11">
      <c r="B18" s="130" t="s">
        <v>289</v>
      </c>
      <c r="C18" s="113">
        <f>SUM(D18:J18)</f>
        <v>3606523951.7911925</v>
      </c>
      <c r="D18" s="110">
        <f>SUM(B.통합시트!Q6:Q7)</f>
        <v>879311276.70521832</v>
      </c>
      <c r="E18" s="110">
        <f>SUM(B.통합시트!R6:R7)</f>
        <v>426612266.03181404</v>
      </c>
      <c r="F18" s="110">
        <f>SUM(B.통합시트!S6:S7)</f>
        <v>437410146.71040142</v>
      </c>
      <c r="G18" s="110">
        <f>SUM(B.통합시트!T6:T7)</f>
        <v>448481329.95535314</v>
      </c>
      <c r="H18" s="110">
        <f>SUM(B.통합시트!U6:U7)</f>
        <v>459832733.26233381</v>
      </c>
      <c r="I18" s="110">
        <f>SUM(B.통합시트!V6:V7)</f>
        <v>471471449.21408081</v>
      </c>
      <c r="J18" s="110">
        <f>SUM(B.통합시트!W6:W7)</f>
        <v>483404749.91199058</v>
      </c>
      <c r="K18" s="131"/>
    </row>
    <row r="19" spans="2:11">
      <c r="B19" s="130" t="s">
        <v>290</v>
      </c>
      <c r="C19" s="113">
        <f t="shared" ref="C19:C21" si="1">SUM(D19:J19)</f>
        <v>13666241125.870716</v>
      </c>
      <c r="D19" s="110">
        <f>SUM(B.통합시트!Q8:Q9)</f>
        <v>1680422492.8217978</v>
      </c>
      <c r="E19" s="110">
        <f>SUM(B.통합시트!R8:R9)</f>
        <v>1874916941.3896718</v>
      </c>
      <c r="F19" s="110">
        <f>SUM(B.통합시트!S8:S9)</f>
        <v>1922372514.1131194</v>
      </c>
      <c r="G19" s="110">
        <f>SUM(B.통합시트!T8:T9)</f>
        <v>1971029223.4484332</v>
      </c>
      <c r="H19" s="110">
        <f>SUM(B.통합시트!U8:U9)</f>
        <v>2020917471.0761232</v>
      </c>
      <c r="I19" s="110">
        <f>SUM(B.통합시트!V8:V9)</f>
        <v>2072068428.166338</v>
      </c>
      <c r="J19" s="110">
        <f>SUM(B.통합시트!W8:W9)</f>
        <v>2124514054.8552332</v>
      </c>
      <c r="K19" s="131"/>
    </row>
    <row r="20" spans="2:11">
      <c r="B20" s="130" t="s">
        <v>291</v>
      </c>
      <c r="C20" s="113">
        <f t="shared" si="1"/>
        <v>12645943493.624697</v>
      </c>
      <c r="D20" s="110">
        <f>SUM(B.통합시트!Q10:Q11)</f>
        <v>995222571.91560662</v>
      </c>
      <c r="E20" s="110">
        <f>SUM(B.통합시트!R10:R11)</f>
        <v>1822498296.0516243</v>
      </c>
      <c r="F20" s="110">
        <f>SUM(B.통합시트!S10:S11)</f>
        <v>1868627113.0233958</v>
      </c>
      <c r="G20" s="110">
        <f>SUM(B.통합시트!T10:T11)</f>
        <v>1915923485.4106238</v>
      </c>
      <c r="H20" s="110">
        <f>SUM(B.통합시트!U10:U11)</f>
        <v>1964416964.928216</v>
      </c>
      <c r="I20" s="110">
        <f>SUM(B.통합시트!V10:V11)</f>
        <v>2014137851.2674425</v>
      </c>
      <c r="J20" s="110">
        <f>SUM(B.통합시트!W10:W11)</f>
        <v>2065117211.0277882</v>
      </c>
      <c r="K20" s="131"/>
    </row>
    <row r="21" spans="2:11">
      <c r="B21" s="130" t="s">
        <v>292</v>
      </c>
      <c r="C21" s="113">
        <f t="shared" si="1"/>
        <v>1262274299.9999998</v>
      </c>
      <c r="D21" s="110">
        <f>B.통합시트!Q12</f>
        <v>180324899.99999997</v>
      </c>
      <c r="E21" s="110">
        <f>B.통합시트!R12</f>
        <v>180324899.99999997</v>
      </c>
      <c r="F21" s="110">
        <f>B.통합시트!S12</f>
        <v>180324899.99999997</v>
      </c>
      <c r="G21" s="110">
        <f>B.통합시트!T12</f>
        <v>180324899.99999997</v>
      </c>
      <c r="H21" s="110">
        <f>B.통합시트!U12</f>
        <v>180324899.99999997</v>
      </c>
      <c r="I21" s="110">
        <f>B.통합시트!V12</f>
        <v>180324899.99999997</v>
      </c>
      <c r="J21" s="110">
        <f>B.통합시트!W12</f>
        <v>180324899.99999997</v>
      </c>
      <c r="K21" s="131"/>
    </row>
    <row r="22" spans="2:11">
      <c r="B22" s="403" t="s">
        <v>359</v>
      </c>
      <c r="C22" s="404" t="e">
        <f>SUM(C23,C29:C35)</f>
        <v>#REF!</v>
      </c>
      <c r="D22" s="405" t="e">
        <f>SUM(D23,D29:D35)</f>
        <v>#REF!</v>
      </c>
      <c r="E22" s="405" t="e">
        <f t="shared" ref="E22:J22" si="2">SUM(E23,E29:E35)</f>
        <v>#REF!</v>
      </c>
      <c r="F22" s="405" t="e">
        <f t="shared" si="2"/>
        <v>#REF!</v>
      </c>
      <c r="G22" s="405" t="e">
        <f t="shared" si="2"/>
        <v>#REF!</v>
      </c>
      <c r="H22" s="405" t="e">
        <f t="shared" si="2"/>
        <v>#REF!</v>
      </c>
      <c r="I22" s="405" t="e">
        <f t="shared" si="2"/>
        <v>#REF!</v>
      </c>
      <c r="J22" s="405" t="e">
        <f t="shared" si="2"/>
        <v>#REF!</v>
      </c>
      <c r="K22" s="132"/>
    </row>
    <row r="23" spans="2:11">
      <c r="B23" t="s">
        <v>360</v>
      </c>
      <c r="C23" s="394" t="e">
        <f>SUM(D23:J23)</f>
        <v>#REF!</v>
      </c>
      <c r="D23" s="395" t="e">
        <f t="shared" ref="D23:J23" si="3">SUM(D24:D28)</f>
        <v>#REF!</v>
      </c>
      <c r="E23" s="395" t="e">
        <f t="shared" si="3"/>
        <v>#REF!</v>
      </c>
      <c r="F23" s="395" t="e">
        <f t="shared" si="3"/>
        <v>#REF!</v>
      </c>
      <c r="G23" s="395" t="e">
        <f t="shared" si="3"/>
        <v>#REF!</v>
      </c>
      <c r="H23" s="395" t="e">
        <f t="shared" si="3"/>
        <v>#REF!</v>
      </c>
      <c r="I23" s="395" t="e">
        <f t="shared" si="3"/>
        <v>#REF!</v>
      </c>
      <c r="J23" s="395" t="e">
        <f t="shared" si="3"/>
        <v>#REF!</v>
      </c>
      <c r="K23" s="131"/>
    </row>
    <row r="24" spans="2:11">
      <c r="B24" s="130" t="s">
        <v>289</v>
      </c>
      <c r="C24" s="396">
        <f t="shared" ref="C24:C36" si="4">SUM(D24:J24)</f>
        <v>5472607193.1404076</v>
      </c>
      <c r="D24" s="397">
        <f>B.통합시트!Q18</f>
        <v>640710425.1740129</v>
      </c>
      <c r="E24" s="397">
        <f>B.통합시트!R18</f>
        <v>755843667.14229882</v>
      </c>
      <c r="F24" s="397">
        <f>B.통합시트!S18</f>
        <v>774974644.79885769</v>
      </c>
      <c r="G24" s="397">
        <f>B.통합시트!T18</f>
        <v>794589842.03944695</v>
      </c>
      <c r="H24" s="397">
        <f>B.통합시트!U18</f>
        <v>814701514.82974505</v>
      </c>
      <c r="I24" s="397">
        <f>B.통합시트!V18</f>
        <v>835322229.3432374</v>
      </c>
      <c r="J24" s="397">
        <f>B.통합시트!W18</f>
        <v>856464869.81280875</v>
      </c>
      <c r="K24" s="131"/>
    </row>
    <row r="25" spans="2:11">
      <c r="B25" s="130" t="s">
        <v>290</v>
      </c>
      <c r="C25" s="396">
        <f t="shared" si="4"/>
        <v>22225126940.738747</v>
      </c>
      <c r="D25" s="397">
        <f>B.통합시트!Q19</f>
        <v>2757992157.1741629</v>
      </c>
      <c r="E25" s="397">
        <f>B.통합시트!R19</f>
        <v>3128698422.9599752</v>
      </c>
      <c r="F25" s="397">
        <f>B.통합시트!S19</f>
        <v>3207888157.8558912</v>
      </c>
      <c r="G25" s="397">
        <f>B.통합시트!T19</f>
        <v>3160603530.4220238</v>
      </c>
      <c r="H25" s="397">
        <f>B.통합시트!U19</f>
        <v>3240600807.8356867</v>
      </c>
      <c r="I25" s="397">
        <f>B.통합시트!V19</f>
        <v>3322622877.1386223</v>
      </c>
      <c r="J25" s="397">
        <f>B.통합시트!W19</f>
        <v>3406720987.3523884</v>
      </c>
      <c r="K25" s="131"/>
    </row>
    <row r="26" spans="2:11">
      <c r="B26" s="130" t="s">
        <v>291</v>
      </c>
      <c r="C26" s="396" t="e">
        <f t="shared" si="4"/>
        <v>#REF!</v>
      </c>
      <c r="D26" s="397" t="e">
        <f>B.통합시트!Q20</f>
        <v>#REF!</v>
      </c>
      <c r="E26" s="397" t="e">
        <f>B.통합시트!R20</f>
        <v>#REF!</v>
      </c>
      <c r="F26" s="397" t="e">
        <f>B.통합시트!S20</f>
        <v>#REF!</v>
      </c>
      <c r="G26" s="397" t="e">
        <f>B.통합시트!T20</f>
        <v>#REF!</v>
      </c>
      <c r="H26" s="397" t="e">
        <f>B.통합시트!U20</f>
        <v>#REF!</v>
      </c>
      <c r="I26" s="397" t="e">
        <f>B.통합시트!V20</f>
        <v>#REF!</v>
      </c>
      <c r="J26" s="397" t="e">
        <f>B.통합시트!W20</f>
        <v>#REF!</v>
      </c>
      <c r="K26" s="131"/>
    </row>
    <row r="27" spans="2:11">
      <c r="B27" s="130" t="s">
        <v>299</v>
      </c>
      <c r="C27" s="396" t="e">
        <f t="shared" si="4"/>
        <v>#REF!</v>
      </c>
      <c r="D27" s="397" t="e">
        <f>B.통합시트!Q21</f>
        <v>#REF!</v>
      </c>
      <c r="E27" s="397" t="e">
        <f>B.통합시트!R21</f>
        <v>#REF!</v>
      </c>
      <c r="F27" s="397" t="e">
        <f>B.통합시트!S21</f>
        <v>#REF!</v>
      </c>
      <c r="G27" s="397" t="e">
        <f>B.통합시트!T21</f>
        <v>#REF!</v>
      </c>
      <c r="H27" s="397" t="e">
        <f>B.통합시트!U21</f>
        <v>#REF!</v>
      </c>
      <c r="I27" s="397" t="e">
        <f>B.통합시트!V21</f>
        <v>#REF!</v>
      </c>
      <c r="J27" s="397" t="e">
        <f>B.통합시트!W21</f>
        <v>#REF!</v>
      </c>
      <c r="K27" s="131"/>
    </row>
    <row r="28" spans="2:11">
      <c r="B28" s="130" t="s">
        <v>361</v>
      </c>
      <c r="C28" s="398" t="e">
        <f t="shared" si="4"/>
        <v>#REF!</v>
      </c>
      <c r="D28" s="397" t="e">
        <f>B.통합시트!Q22</f>
        <v>#REF!</v>
      </c>
      <c r="E28" s="397" t="e">
        <f>B.통합시트!R22</f>
        <v>#REF!</v>
      </c>
      <c r="F28" s="397" t="e">
        <f>B.통합시트!S22</f>
        <v>#REF!</v>
      </c>
      <c r="G28" s="397" t="e">
        <f>B.통합시트!T22</f>
        <v>#REF!</v>
      </c>
      <c r="H28" s="397" t="e">
        <f>B.통합시트!U22</f>
        <v>#REF!</v>
      </c>
      <c r="I28" s="397" t="e">
        <f>B.통합시트!V22</f>
        <v>#REF!</v>
      </c>
      <c r="J28" s="397" t="e">
        <f>B.통합시트!W22</f>
        <v>#REF!</v>
      </c>
      <c r="K28" s="134"/>
    </row>
    <row r="29" spans="2:11">
      <c r="B29" t="s">
        <v>334</v>
      </c>
      <c r="C29" s="394">
        <f t="shared" si="4"/>
        <v>1072303117.5999999</v>
      </c>
      <c r="D29" s="395">
        <f>B.통합시트!Q39</f>
        <v>639657860</v>
      </c>
      <c r="E29" s="395">
        <f>B.통합시트!R39</f>
        <v>88192000</v>
      </c>
      <c r="F29" s="395">
        <f>B.통합시트!S39</f>
        <v>108072000</v>
      </c>
      <c r="G29" s="395">
        <f>B.통합시트!T39</f>
        <v>62470314.400000006</v>
      </c>
      <c r="H29" s="395">
        <f>B.통합시트!U39</f>
        <v>57970314.400000006</v>
      </c>
      <c r="I29" s="395">
        <f>B.통합시트!V39</f>
        <v>57970314.400000006</v>
      </c>
      <c r="J29" s="395">
        <f>B.통합시트!W39</f>
        <v>57970314.400000006</v>
      </c>
      <c r="K29" s="131"/>
    </row>
    <row r="30" spans="2:11">
      <c r="B30" t="s">
        <v>246</v>
      </c>
      <c r="C30" s="394">
        <f t="shared" si="4"/>
        <v>1650431315.8999255</v>
      </c>
      <c r="D30" s="395">
        <f>SUM(B.통합시트!Q40:Q42)</f>
        <v>613642973.69998944</v>
      </c>
      <c r="E30" s="395">
        <f>SUM(B.통합시트!R40:R42)</f>
        <v>137464723.69998941</v>
      </c>
      <c r="F30" s="395">
        <f>SUM(B.통합시트!S40:S42)</f>
        <v>129464723.69998938</v>
      </c>
      <c r="G30" s="395">
        <f>SUM(B.통합시트!T40:T42)</f>
        <v>192464723.69998938</v>
      </c>
      <c r="H30" s="395">
        <f>SUM(B.통합시트!U40:U42)</f>
        <v>192464723.69998938</v>
      </c>
      <c r="I30" s="395">
        <f>SUM(B.통합시트!V40:V42)</f>
        <v>192464723.69998938</v>
      </c>
      <c r="J30" s="395">
        <f>SUM(B.통합시트!W40:W42)</f>
        <v>192464723.69998938</v>
      </c>
      <c r="K30" s="131"/>
    </row>
    <row r="31" spans="2:11">
      <c r="B31" t="s">
        <v>335</v>
      </c>
      <c r="C31" s="394">
        <f t="shared" si="4"/>
        <v>0</v>
      </c>
      <c r="D31" s="395">
        <f>B.통합시트!Q43</f>
        <v>0</v>
      </c>
      <c r="E31" s="395">
        <f>B.통합시트!R43</f>
        <v>0</v>
      </c>
      <c r="F31" s="395">
        <f>B.통합시트!S43</f>
        <v>0</v>
      </c>
      <c r="G31" s="395">
        <f>B.통합시트!T43</f>
        <v>0</v>
      </c>
      <c r="H31" s="395">
        <f>B.통합시트!U43</f>
        <v>0</v>
      </c>
      <c r="I31" s="395">
        <f>B.통합시트!V43</f>
        <v>0</v>
      </c>
      <c r="J31" s="395">
        <f>B.통합시트!W43</f>
        <v>0</v>
      </c>
      <c r="K31" s="131"/>
    </row>
    <row r="32" spans="2:11">
      <c r="B32" t="s">
        <v>336</v>
      </c>
      <c r="C32" s="394">
        <f t="shared" si="4"/>
        <v>0</v>
      </c>
      <c r="D32" s="395">
        <f>B.통합시트!Q44</f>
        <v>0</v>
      </c>
      <c r="E32" s="395">
        <f>B.통합시트!R44</f>
        <v>0</v>
      </c>
      <c r="F32" s="395">
        <f>B.통합시트!S44</f>
        <v>0</v>
      </c>
      <c r="G32" s="395">
        <f>B.통합시트!T44</f>
        <v>0</v>
      </c>
      <c r="H32" s="395">
        <f>B.통합시트!U44</f>
        <v>0</v>
      </c>
      <c r="I32" s="395">
        <f>B.통합시트!V44</f>
        <v>0</v>
      </c>
      <c r="J32" s="395">
        <f>B.통합시트!W44</f>
        <v>0</v>
      </c>
      <c r="K32" s="131"/>
    </row>
    <row r="33" spans="2:11">
      <c r="B33" t="s">
        <v>337</v>
      </c>
      <c r="C33" s="394">
        <f t="shared" si="4"/>
        <v>0</v>
      </c>
      <c r="D33" s="395">
        <f>SUM(B.통합시트!Q45:Q47)</f>
        <v>0</v>
      </c>
      <c r="E33" s="395">
        <f>SUM(B.통합시트!R45:R47)</f>
        <v>0</v>
      </c>
      <c r="F33" s="395">
        <f>SUM(B.통합시트!S45:S47)</f>
        <v>0</v>
      </c>
      <c r="G33" s="395">
        <f>SUM(B.통합시트!T45:T47)</f>
        <v>0</v>
      </c>
      <c r="H33" s="395">
        <f>SUM(B.통합시트!U45:U47)</f>
        <v>0</v>
      </c>
      <c r="I33" s="395">
        <f>SUM(B.통합시트!V45:V47)</f>
        <v>0</v>
      </c>
      <c r="J33" s="395">
        <f>SUM(B.통합시트!W45:W47)</f>
        <v>0</v>
      </c>
      <c r="K33" s="131"/>
    </row>
    <row r="34" spans="2:11">
      <c r="B34" t="s">
        <v>338</v>
      </c>
      <c r="C34" s="399">
        <f t="shared" si="4"/>
        <v>0</v>
      </c>
      <c r="D34" s="395">
        <f>B.통합시트!Q48</f>
        <v>0</v>
      </c>
      <c r="E34" s="395">
        <f>B.통합시트!R48</f>
        <v>0</v>
      </c>
      <c r="F34" s="395">
        <f>B.통합시트!S48</f>
        <v>0</v>
      </c>
      <c r="G34" s="395">
        <f>B.통합시트!T48</f>
        <v>0</v>
      </c>
      <c r="H34" s="395">
        <f>B.통합시트!U48</f>
        <v>0</v>
      </c>
      <c r="I34" s="395">
        <f>B.통합시트!V48</f>
        <v>0</v>
      </c>
      <c r="J34" s="395">
        <f>B.통합시트!W48</f>
        <v>0</v>
      </c>
      <c r="K34" s="131"/>
    </row>
    <row r="35" spans="2:11">
      <c r="B35" t="s">
        <v>339</v>
      </c>
      <c r="C35" s="399">
        <f t="shared" si="4"/>
        <v>0</v>
      </c>
      <c r="D35" s="395">
        <f>SUM(B.통합시트!Q49:Q50)</f>
        <v>0</v>
      </c>
      <c r="E35" s="395">
        <f>SUM(B.통합시트!R49:R50)</f>
        <v>0</v>
      </c>
      <c r="F35" s="395">
        <f>SUM(B.통합시트!S49:S50)</f>
        <v>0</v>
      </c>
      <c r="G35" s="395">
        <f>SUM(B.통합시트!T49:T50)</f>
        <v>0</v>
      </c>
      <c r="H35" s="395">
        <f>SUM(B.통합시트!U49:U50)</f>
        <v>0</v>
      </c>
      <c r="I35" s="395">
        <f>SUM(B.통합시트!V49:V50)</f>
        <v>0</v>
      </c>
      <c r="J35" s="395">
        <f>SUM(B.통합시트!W49:W50)</f>
        <v>0</v>
      </c>
      <c r="K35" s="131"/>
    </row>
    <row r="36" spans="2:11">
      <c r="B36" t="s">
        <v>362</v>
      </c>
      <c r="C36" s="133">
        <f t="shared" si="4"/>
        <v>0</v>
      </c>
      <c r="D36" s="116"/>
      <c r="E36" s="116"/>
      <c r="F36" s="116"/>
      <c r="G36" s="116"/>
      <c r="H36" s="116"/>
      <c r="I36" s="116"/>
      <c r="J36" s="116"/>
      <c r="K36" s="131"/>
    </row>
    <row r="37" spans="2:11">
      <c r="B37" s="135" t="s">
        <v>353</v>
      </c>
      <c r="C37" s="111" t="e">
        <f>C17-C22</f>
        <v>#REF!</v>
      </c>
      <c r="D37" s="136"/>
      <c r="E37" s="136"/>
      <c r="F37" s="136"/>
      <c r="G37" s="136"/>
      <c r="H37" s="136"/>
      <c r="I37" s="136"/>
      <c r="J37" s="136"/>
      <c r="K37" s="137"/>
    </row>
    <row r="38" spans="2:11">
      <c r="B38" s="41" t="s">
        <v>342</v>
      </c>
      <c r="C38" s="138" t="e">
        <f>C37/C17</f>
        <v>#REF!</v>
      </c>
      <c r="D38" s="110"/>
      <c r="E38" s="110"/>
      <c r="F38" s="110"/>
      <c r="G38" s="110"/>
      <c r="H38" s="110"/>
      <c r="I38" s="110"/>
      <c r="J38" s="110"/>
      <c r="K38" s="131"/>
    </row>
    <row r="39" spans="2:11" ht="18" thickBot="1">
      <c r="B39" s="139" t="s">
        <v>354</v>
      </c>
      <c r="C39" s="126"/>
      <c r="D39" s="125"/>
      <c r="E39" s="125"/>
      <c r="F39" s="125"/>
      <c r="G39" s="125"/>
      <c r="H39" s="125"/>
      <c r="I39" s="125"/>
      <c r="J39" s="125"/>
      <c r="K39" s="140"/>
    </row>
    <row r="40" spans="2:11" ht="18" thickBot="1">
      <c r="C40" s="110"/>
      <c r="D40" s="110"/>
      <c r="E40" s="110"/>
      <c r="F40" s="110"/>
      <c r="G40" s="110"/>
      <c r="H40" s="110"/>
      <c r="I40" s="110"/>
      <c r="J40" s="110"/>
      <c r="K40" s="110"/>
    </row>
    <row r="41" spans="2:11">
      <c r="B41" s="141" t="s">
        <v>363</v>
      </c>
      <c r="C41" s="142" t="s">
        <v>356</v>
      </c>
      <c r="D41" s="141" t="s">
        <v>333</v>
      </c>
      <c r="E41" s="141" t="s">
        <v>232</v>
      </c>
      <c r="F41" s="141" t="s">
        <v>233</v>
      </c>
      <c r="G41" s="141" t="s">
        <v>234</v>
      </c>
      <c r="H41" s="141" t="s">
        <v>235</v>
      </c>
      <c r="I41" s="141" t="s">
        <v>236</v>
      </c>
      <c r="J41" s="143" t="s">
        <v>237</v>
      </c>
      <c r="K41" s="144"/>
    </row>
    <row r="42" spans="2:11">
      <c r="B42" s="145" t="s">
        <v>364</v>
      </c>
      <c r="C42" s="111" t="e">
        <f>SUM(D42:J42)</f>
        <v>#REF!</v>
      </c>
      <c r="D42" s="136" t="e">
        <f>SUM(D43:D47)</f>
        <v>#REF!</v>
      </c>
      <c r="E42" s="136" t="e">
        <f t="shared" ref="E42:J42" si="5">SUM(E43:E47)</f>
        <v>#REF!</v>
      </c>
      <c r="F42" s="136" t="e">
        <f t="shared" si="5"/>
        <v>#REF!</v>
      </c>
      <c r="G42" s="136" t="e">
        <f t="shared" si="5"/>
        <v>#REF!</v>
      </c>
      <c r="H42" s="136" t="e">
        <f t="shared" si="5"/>
        <v>#REF!</v>
      </c>
      <c r="I42" s="136" t="e">
        <f t="shared" si="5"/>
        <v>#REF!</v>
      </c>
      <c r="J42" s="136" t="e">
        <f t="shared" si="5"/>
        <v>#REF!</v>
      </c>
      <c r="K42" s="136"/>
    </row>
    <row r="43" spans="2:11">
      <c r="B43" s="130" t="s">
        <v>289</v>
      </c>
      <c r="C43" s="390">
        <f t="shared" ref="C43:C47" si="6">SUM(D43:J43)</f>
        <v>5472607193.1404076</v>
      </c>
      <c r="D43" s="391">
        <f>B.통합시트!Q18</f>
        <v>640710425.1740129</v>
      </c>
      <c r="E43" s="391">
        <f>B.통합시트!R18</f>
        <v>755843667.14229882</v>
      </c>
      <c r="F43" s="391">
        <f>B.통합시트!S18</f>
        <v>774974644.79885769</v>
      </c>
      <c r="G43" s="391">
        <f>B.통합시트!T18</f>
        <v>794589842.03944695</v>
      </c>
      <c r="H43" s="391">
        <f>B.통합시트!U18</f>
        <v>814701514.82974505</v>
      </c>
      <c r="I43" s="391">
        <f>B.통합시트!V18</f>
        <v>835322229.3432374</v>
      </c>
      <c r="J43" s="391">
        <f>B.통합시트!W18</f>
        <v>856464869.81280875</v>
      </c>
      <c r="K43" s="114"/>
    </row>
    <row r="44" spans="2:11">
      <c r="B44" s="130" t="s">
        <v>290</v>
      </c>
      <c r="C44" s="390">
        <f t="shared" si="6"/>
        <v>22225126940.738747</v>
      </c>
      <c r="D44" s="391">
        <f>B.통합시트!Q19</f>
        <v>2757992157.1741629</v>
      </c>
      <c r="E44" s="391">
        <f>B.통합시트!R19</f>
        <v>3128698422.9599752</v>
      </c>
      <c r="F44" s="391">
        <f>B.통합시트!S19</f>
        <v>3207888157.8558912</v>
      </c>
      <c r="G44" s="391">
        <f>B.통합시트!T19</f>
        <v>3160603530.4220238</v>
      </c>
      <c r="H44" s="391">
        <f>B.통합시트!U19</f>
        <v>3240600807.8356867</v>
      </c>
      <c r="I44" s="391">
        <f>B.통합시트!V19</f>
        <v>3322622877.1386223</v>
      </c>
      <c r="J44" s="391">
        <f>B.통합시트!W19</f>
        <v>3406720987.3523884</v>
      </c>
      <c r="K44" s="114"/>
    </row>
    <row r="45" spans="2:11">
      <c r="B45" s="130" t="s">
        <v>291</v>
      </c>
      <c r="C45" s="390" t="e">
        <f t="shared" si="6"/>
        <v>#REF!</v>
      </c>
      <c r="D45" s="391" t="e">
        <f>B.통합시트!Q20</f>
        <v>#REF!</v>
      </c>
      <c r="E45" s="391" t="e">
        <f>B.통합시트!R20</f>
        <v>#REF!</v>
      </c>
      <c r="F45" s="391" t="e">
        <f>B.통합시트!S20</f>
        <v>#REF!</v>
      </c>
      <c r="G45" s="391" t="e">
        <f>B.통합시트!T20</f>
        <v>#REF!</v>
      </c>
      <c r="H45" s="391" t="e">
        <f>B.통합시트!U20</f>
        <v>#REF!</v>
      </c>
      <c r="I45" s="391" t="e">
        <f>B.통합시트!V20</f>
        <v>#REF!</v>
      </c>
      <c r="J45" s="391" t="e">
        <f>B.통합시트!W20</f>
        <v>#REF!</v>
      </c>
      <c r="K45" s="114"/>
    </row>
    <row r="46" spans="2:11">
      <c r="B46" s="130" t="s">
        <v>299</v>
      </c>
      <c r="C46" s="390" t="e">
        <f t="shared" si="6"/>
        <v>#REF!</v>
      </c>
      <c r="D46" s="391" t="e">
        <f>B.통합시트!Q21</f>
        <v>#REF!</v>
      </c>
      <c r="E46" s="391" t="e">
        <f>B.통합시트!R21</f>
        <v>#REF!</v>
      </c>
      <c r="F46" s="391" t="e">
        <f>B.통합시트!S21</f>
        <v>#REF!</v>
      </c>
      <c r="G46" s="391" t="e">
        <f>B.통합시트!T21</f>
        <v>#REF!</v>
      </c>
      <c r="H46" s="391" t="e">
        <f>B.통합시트!U21</f>
        <v>#REF!</v>
      </c>
      <c r="I46" s="391" t="e">
        <f>B.통합시트!V21</f>
        <v>#REF!</v>
      </c>
      <c r="J46" s="391" t="e">
        <f>B.통합시트!W21</f>
        <v>#REF!</v>
      </c>
      <c r="K46" s="114"/>
    </row>
    <row r="47" spans="2:11">
      <c r="B47" s="130" t="s">
        <v>361</v>
      </c>
      <c r="C47" s="390" t="e">
        <f t="shared" si="6"/>
        <v>#REF!</v>
      </c>
      <c r="D47" s="391" t="e">
        <f>B.통합시트!Q22</f>
        <v>#REF!</v>
      </c>
      <c r="E47" s="391" t="e">
        <f>B.통합시트!R22</f>
        <v>#REF!</v>
      </c>
      <c r="F47" s="391" t="e">
        <f>B.통합시트!S22</f>
        <v>#REF!</v>
      </c>
      <c r="G47" s="391" t="e">
        <f>B.통합시트!T22</f>
        <v>#REF!</v>
      </c>
      <c r="H47" s="391" t="e">
        <f>B.통합시트!U22</f>
        <v>#REF!</v>
      </c>
      <c r="I47" s="391" t="e">
        <f>B.통합시트!V22</f>
        <v>#REF!</v>
      </c>
      <c r="J47" s="391" t="e">
        <f>B.통합시트!W22</f>
        <v>#REF!</v>
      </c>
      <c r="K47" s="114"/>
    </row>
    <row r="48" spans="2:11">
      <c r="B48" s="147" t="s">
        <v>365</v>
      </c>
      <c r="C48" s="148"/>
      <c r="D48" s="149"/>
      <c r="E48" s="150"/>
      <c r="F48" s="149"/>
      <c r="G48" s="149"/>
      <c r="H48" s="149"/>
      <c r="I48" s="149"/>
      <c r="J48" s="151"/>
      <c r="K48" s="152"/>
    </row>
    <row r="49" spans="2:11">
      <c r="B49" s="145" t="s">
        <v>366</v>
      </c>
      <c r="C49" s="111">
        <v>0</v>
      </c>
      <c r="D49" s="136">
        <v>0</v>
      </c>
      <c r="E49" s="136">
        <v>0</v>
      </c>
      <c r="F49" s="136">
        <v>0</v>
      </c>
      <c r="G49" s="136">
        <v>0</v>
      </c>
      <c r="H49" s="136">
        <v>0</v>
      </c>
      <c r="I49" s="136">
        <v>0</v>
      </c>
      <c r="J49" s="146">
        <v>0</v>
      </c>
      <c r="K49" s="153"/>
    </row>
    <row r="50" spans="2:11">
      <c r="B50" s="130" t="s">
        <v>289</v>
      </c>
      <c r="C50" s="112">
        <v>0</v>
      </c>
      <c r="D50" s="114">
        <v>0</v>
      </c>
      <c r="E50" s="114">
        <v>0</v>
      </c>
      <c r="F50" s="114">
        <v>0</v>
      </c>
      <c r="G50" s="114">
        <v>0</v>
      </c>
      <c r="H50" s="114">
        <v>0</v>
      </c>
      <c r="I50" s="114">
        <v>0</v>
      </c>
      <c r="J50" s="115">
        <v>0</v>
      </c>
      <c r="K50" s="110"/>
    </row>
    <row r="51" spans="2:11">
      <c r="B51" s="130" t="s">
        <v>290</v>
      </c>
      <c r="C51" s="112">
        <v>0</v>
      </c>
      <c r="D51" s="114">
        <v>0</v>
      </c>
      <c r="E51" s="114">
        <v>0</v>
      </c>
      <c r="F51" s="114">
        <v>0</v>
      </c>
      <c r="G51" s="114">
        <v>0</v>
      </c>
      <c r="H51" s="114">
        <v>0</v>
      </c>
      <c r="I51" s="114">
        <v>0</v>
      </c>
      <c r="J51" s="115">
        <v>0</v>
      </c>
      <c r="K51" s="110"/>
    </row>
    <row r="52" spans="2:11">
      <c r="B52" s="130" t="s">
        <v>291</v>
      </c>
      <c r="C52" s="112">
        <v>0</v>
      </c>
      <c r="D52" s="114">
        <v>0</v>
      </c>
      <c r="E52" s="114">
        <v>0</v>
      </c>
      <c r="F52" s="114">
        <v>0</v>
      </c>
      <c r="G52" s="114">
        <v>0</v>
      </c>
      <c r="H52" s="114">
        <v>0</v>
      </c>
      <c r="I52" s="114">
        <v>0</v>
      </c>
      <c r="J52" s="115">
        <v>0</v>
      </c>
      <c r="K52" s="110"/>
    </row>
    <row r="53" spans="2:11">
      <c r="B53" s="130" t="s">
        <v>299</v>
      </c>
      <c r="C53" s="112"/>
      <c r="D53" s="114"/>
      <c r="E53" s="114"/>
      <c r="F53" s="114"/>
      <c r="G53" s="114"/>
      <c r="H53" s="114"/>
      <c r="I53" s="114"/>
      <c r="J53" s="115"/>
      <c r="K53" s="110"/>
    </row>
    <row r="54" spans="2:11">
      <c r="B54" s="154" t="s">
        <v>361</v>
      </c>
      <c r="C54" s="155">
        <v>0</v>
      </c>
      <c r="D54" s="156">
        <v>0</v>
      </c>
      <c r="E54" s="156">
        <v>0</v>
      </c>
      <c r="F54" s="156">
        <v>0</v>
      </c>
      <c r="G54" s="156">
        <v>0</v>
      </c>
      <c r="H54" s="156">
        <v>0</v>
      </c>
      <c r="I54" s="156">
        <v>0</v>
      </c>
      <c r="J54" s="157">
        <v>0</v>
      </c>
      <c r="K54" s="158"/>
    </row>
    <row r="55" spans="2:11">
      <c r="B55" s="159" t="s">
        <v>367</v>
      </c>
      <c r="C55" s="160" t="e">
        <f>C42-C49</f>
        <v>#REF!</v>
      </c>
      <c r="D55" s="161" t="e">
        <f>D42-D49</f>
        <v>#REF!</v>
      </c>
      <c r="E55" s="161" t="e">
        <f t="shared" ref="E55:J55" si="7">E42-E49</f>
        <v>#REF!</v>
      </c>
      <c r="F55" s="161" t="e">
        <f t="shared" si="7"/>
        <v>#REF!</v>
      </c>
      <c r="G55" s="161" t="e">
        <f t="shared" si="7"/>
        <v>#REF!</v>
      </c>
      <c r="H55" s="161" t="e">
        <f t="shared" si="7"/>
        <v>#REF!</v>
      </c>
      <c r="I55" s="161" t="e">
        <f t="shared" si="7"/>
        <v>#REF!</v>
      </c>
      <c r="J55" s="161" t="e">
        <f t="shared" si="7"/>
        <v>#REF!</v>
      </c>
      <c r="K55" s="162"/>
    </row>
    <row r="56" spans="2:11">
      <c r="B56" s="130" t="s">
        <v>289</v>
      </c>
      <c r="C56" s="392">
        <f>C43-C50</f>
        <v>5472607193.1404076</v>
      </c>
      <c r="D56" s="274">
        <f>D43-D50</f>
        <v>640710425.1740129</v>
      </c>
      <c r="E56" s="274">
        <f t="shared" ref="E56:J56" si="8">E43-E50</f>
        <v>755843667.14229882</v>
      </c>
      <c r="F56" s="274">
        <f t="shared" si="8"/>
        <v>774974644.79885769</v>
      </c>
      <c r="G56" s="274">
        <f t="shared" si="8"/>
        <v>794589842.03944695</v>
      </c>
      <c r="H56" s="274">
        <f t="shared" si="8"/>
        <v>814701514.82974505</v>
      </c>
      <c r="I56" s="274">
        <f t="shared" si="8"/>
        <v>835322229.3432374</v>
      </c>
      <c r="J56" s="274">
        <f t="shared" si="8"/>
        <v>856464869.81280875</v>
      </c>
      <c r="K56" s="110"/>
    </row>
    <row r="57" spans="2:11">
      <c r="B57" s="130" t="s">
        <v>290</v>
      </c>
      <c r="C57" s="392">
        <f t="shared" ref="C57:D60" si="9">C44-C51</f>
        <v>22225126940.738747</v>
      </c>
      <c r="D57" s="274">
        <f t="shared" si="9"/>
        <v>2757992157.1741629</v>
      </c>
      <c r="E57" s="274">
        <f t="shared" ref="E57:J57" si="10">E44-E51</f>
        <v>3128698422.9599752</v>
      </c>
      <c r="F57" s="274">
        <f t="shared" si="10"/>
        <v>3207888157.8558912</v>
      </c>
      <c r="G57" s="274">
        <f t="shared" si="10"/>
        <v>3160603530.4220238</v>
      </c>
      <c r="H57" s="274">
        <f t="shared" si="10"/>
        <v>3240600807.8356867</v>
      </c>
      <c r="I57" s="274">
        <f t="shared" si="10"/>
        <v>3322622877.1386223</v>
      </c>
      <c r="J57" s="274">
        <f t="shared" si="10"/>
        <v>3406720987.3523884</v>
      </c>
      <c r="K57" s="110"/>
    </row>
    <row r="58" spans="2:11">
      <c r="B58" s="130" t="s">
        <v>291</v>
      </c>
      <c r="C58" s="392" t="e">
        <f t="shared" si="9"/>
        <v>#REF!</v>
      </c>
      <c r="D58" s="274" t="e">
        <f t="shared" si="9"/>
        <v>#REF!</v>
      </c>
      <c r="E58" s="274" t="e">
        <f t="shared" ref="E58:J58" si="11">E45-E52</f>
        <v>#REF!</v>
      </c>
      <c r="F58" s="274" t="e">
        <f t="shared" si="11"/>
        <v>#REF!</v>
      </c>
      <c r="G58" s="274" t="e">
        <f t="shared" si="11"/>
        <v>#REF!</v>
      </c>
      <c r="H58" s="274" t="e">
        <f t="shared" si="11"/>
        <v>#REF!</v>
      </c>
      <c r="I58" s="274" t="e">
        <f t="shared" si="11"/>
        <v>#REF!</v>
      </c>
      <c r="J58" s="274" t="e">
        <f t="shared" si="11"/>
        <v>#REF!</v>
      </c>
      <c r="K58" s="110"/>
    </row>
    <row r="59" spans="2:11">
      <c r="B59" s="130" t="s">
        <v>299</v>
      </c>
      <c r="C59" s="392" t="e">
        <f t="shared" si="9"/>
        <v>#REF!</v>
      </c>
      <c r="D59" s="274" t="e">
        <f t="shared" si="9"/>
        <v>#REF!</v>
      </c>
      <c r="E59" s="274" t="e">
        <f t="shared" ref="E59:J59" si="12">E46-E53</f>
        <v>#REF!</v>
      </c>
      <c r="F59" s="274" t="e">
        <f t="shared" si="12"/>
        <v>#REF!</v>
      </c>
      <c r="G59" s="274" t="e">
        <f t="shared" si="12"/>
        <v>#REF!</v>
      </c>
      <c r="H59" s="274" t="e">
        <f t="shared" si="12"/>
        <v>#REF!</v>
      </c>
      <c r="I59" s="274" t="e">
        <f t="shared" si="12"/>
        <v>#REF!</v>
      </c>
      <c r="J59" s="274" t="e">
        <f t="shared" si="12"/>
        <v>#REF!</v>
      </c>
      <c r="K59" s="110"/>
    </row>
    <row r="60" spans="2:11">
      <c r="B60" s="378" t="s">
        <v>361</v>
      </c>
      <c r="C60" s="392" t="e">
        <f t="shared" si="9"/>
        <v>#REF!</v>
      </c>
      <c r="D60" s="393" t="e">
        <f t="shared" si="9"/>
        <v>#REF!</v>
      </c>
      <c r="E60" s="393" t="e">
        <f t="shared" ref="E60:J60" si="13">E47-E54</f>
        <v>#REF!</v>
      </c>
      <c r="F60" s="393" t="e">
        <f t="shared" si="13"/>
        <v>#REF!</v>
      </c>
      <c r="G60" s="393" t="e">
        <f t="shared" si="13"/>
        <v>#REF!</v>
      </c>
      <c r="H60" s="393" t="e">
        <f t="shared" si="13"/>
        <v>#REF!</v>
      </c>
      <c r="I60" s="393" t="e">
        <f t="shared" si="13"/>
        <v>#REF!</v>
      </c>
      <c r="J60" s="393" t="e">
        <f t="shared" si="13"/>
        <v>#REF!</v>
      </c>
      <c r="K60" s="379"/>
    </row>
    <row r="61" spans="2:11">
      <c r="B61" s="58"/>
      <c r="C61" s="380"/>
      <c r="D61" s="380"/>
      <c r="E61" s="380"/>
      <c r="F61" s="380"/>
      <c r="G61" s="380"/>
      <c r="H61" s="380"/>
      <c r="I61" s="380"/>
      <c r="J61" s="380"/>
      <c r="K61" s="380"/>
    </row>
    <row r="62" spans="2:11">
      <c r="B62" s="58"/>
      <c r="C62" s="380"/>
      <c r="D62" s="380"/>
      <c r="E62" s="380"/>
      <c r="F62" s="380"/>
      <c r="G62" s="380"/>
      <c r="H62" s="380"/>
      <c r="I62" s="380"/>
      <c r="J62" s="380"/>
      <c r="K62" s="380"/>
    </row>
    <row r="63" spans="2:11">
      <c r="B63" s="58"/>
      <c r="C63" s="380"/>
      <c r="D63" s="380"/>
      <c r="E63" s="380"/>
      <c r="F63" s="380"/>
      <c r="G63" s="380"/>
      <c r="H63" s="380"/>
      <c r="I63" s="380"/>
      <c r="J63" s="380"/>
      <c r="K63" s="380"/>
    </row>
    <row r="64" spans="2:11">
      <c r="B64" s="58"/>
      <c r="C64" s="380"/>
      <c r="D64" s="380"/>
      <c r="E64" s="380"/>
      <c r="F64" s="380"/>
      <c r="G64" s="380"/>
      <c r="H64" s="380"/>
      <c r="I64" s="380"/>
      <c r="J64" s="380"/>
      <c r="K64" s="380"/>
    </row>
    <row r="65" spans="2:11">
      <c r="B65" s="58"/>
      <c r="C65" s="380"/>
      <c r="D65" s="380"/>
      <c r="E65" s="380"/>
      <c r="F65" s="380"/>
      <c r="G65" s="380"/>
      <c r="H65" s="380"/>
      <c r="I65" s="380"/>
      <c r="J65" s="380"/>
      <c r="K65" s="380"/>
    </row>
    <row r="66" spans="2:11">
      <c r="B66" s="58"/>
      <c r="C66" s="380"/>
      <c r="D66" s="380"/>
      <c r="E66" s="380"/>
      <c r="F66" s="380"/>
      <c r="G66" s="380"/>
      <c r="H66" s="380"/>
      <c r="I66" s="380"/>
      <c r="J66" s="380"/>
      <c r="K66" s="380"/>
    </row>
    <row r="67" spans="2:11">
      <c r="B67" s="58"/>
      <c r="C67" s="380"/>
      <c r="D67" s="380"/>
      <c r="E67" s="380"/>
      <c r="F67" s="380"/>
      <c r="G67" s="380"/>
      <c r="H67" s="380"/>
      <c r="I67" s="380"/>
      <c r="J67" s="380"/>
      <c r="K67" s="380"/>
    </row>
    <row r="68" spans="2:11">
      <c r="B68" s="58"/>
      <c r="C68" s="380"/>
      <c r="D68" s="381"/>
      <c r="E68" s="382"/>
      <c r="F68" s="381"/>
      <c r="G68" s="381"/>
      <c r="H68" s="381"/>
      <c r="I68" s="381"/>
      <c r="J68" s="381"/>
      <c r="K68" s="380"/>
    </row>
    <row r="69" spans="2:11">
      <c r="B69" s="58"/>
      <c r="C69" s="380"/>
      <c r="D69" s="380"/>
      <c r="E69" s="380"/>
      <c r="F69" s="380"/>
      <c r="G69" s="380"/>
      <c r="H69" s="380"/>
      <c r="I69" s="380"/>
      <c r="J69" s="380"/>
      <c r="K69" s="380"/>
    </row>
    <row r="70" spans="2:11">
      <c r="B70" s="58"/>
      <c r="C70" s="380"/>
      <c r="D70" s="380"/>
      <c r="E70" s="380"/>
      <c r="F70" s="380"/>
      <c r="G70" s="380"/>
      <c r="H70" s="380"/>
      <c r="I70" s="380"/>
      <c r="J70" s="380"/>
      <c r="K70" s="380"/>
    </row>
    <row r="71" spans="2:11">
      <c r="B71" s="58"/>
      <c r="C71" s="380"/>
      <c r="D71" s="380"/>
      <c r="E71" s="380"/>
      <c r="F71" s="380"/>
      <c r="G71" s="380"/>
      <c r="H71" s="380"/>
      <c r="I71" s="380"/>
      <c r="J71" s="380"/>
      <c r="K71" s="380"/>
    </row>
    <row r="72" spans="2:11">
      <c r="B72" s="58"/>
      <c r="C72" s="380"/>
      <c r="D72" s="380"/>
      <c r="E72" s="380"/>
      <c r="F72" s="380"/>
      <c r="G72" s="380"/>
      <c r="H72" s="380"/>
      <c r="I72" s="380"/>
      <c r="J72" s="380"/>
      <c r="K72" s="380"/>
    </row>
    <row r="73" spans="2:11">
      <c r="B73" s="58"/>
      <c r="C73" s="380"/>
      <c r="D73" s="380"/>
      <c r="E73" s="380"/>
      <c r="F73" s="380"/>
      <c r="G73" s="380"/>
      <c r="H73" s="380"/>
      <c r="I73" s="380"/>
      <c r="J73" s="380"/>
      <c r="K73" s="380"/>
    </row>
    <row r="74" spans="2:11">
      <c r="B74" s="383"/>
      <c r="C74" s="383"/>
      <c r="D74" s="383"/>
      <c r="E74" s="383"/>
      <c r="F74" s="383"/>
      <c r="G74" s="383"/>
      <c r="H74" s="383"/>
      <c r="I74" s="383"/>
      <c r="J74" s="383"/>
      <c r="K74" s="384"/>
    </row>
    <row r="75" spans="2:11">
      <c r="B75" s="58"/>
      <c r="C75" s="380"/>
      <c r="D75" s="380"/>
      <c r="E75" s="380"/>
      <c r="F75" s="380"/>
      <c r="G75" s="380"/>
      <c r="H75" s="380"/>
      <c r="I75" s="380"/>
      <c r="J75" s="380"/>
      <c r="K75" s="385"/>
    </row>
    <row r="76" spans="2:11">
      <c r="B76" s="386"/>
      <c r="C76" s="380"/>
      <c r="D76" s="380"/>
      <c r="E76" s="385"/>
      <c r="F76" s="385"/>
      <c r="G76" s="385"/>
      <c r="H76" s="385"/>
      <c r="I76" s="385"/>
      <c r="J76" s="385"/>
      <c r="K76" s="385"/>
    </row>
    <row r="77" spans="2:11">
      <c r="B77" s="387"/>
      <c r="C77" s="380"/>
      <c r="D77" s="380"/>
      <c r="E77" s="380"/>
      <c r="F77" s="380"/>
      <c r="G77" s="380"/>
      <c r="H77" s="380"/>
      <c r="I77" s="380"/>
      <c r="J77" s="380"/>
      <c r="K77" s="385"/>
    </row>
    <row r="78" spans="2:11">
      <c r="B78" s="386"/>
      <c r="C78" s="380"/>
      <c r="D78" s="380"/>
      <c r="E78" s="380"/>
      <c r="F78" s="380"/>
      <c r="G78" s="380"/>
      <c r="H78" s="380"/>
      <c r="I78" s="380"/>
      <c r="J78" s="380"/>
      <c r="K78" s="381"/>
    </row>
    <row r="79" spans="2:11">
      <c r="B79" s="386"/>
      <c r="C79" s="380"/>
      <c r="D79" s="380"/>
      <c r="E79" s="381"/>
      <c r="F79" s="381"/>
      <c r="G79" s="381"/>
      <c r="H79" s="381"/>
      <c r="I79" s="381"/>
      <c r="J79" s="381"/>
      <c r="K79" s="381"/>
    </row>
    <row r="80" spans="2:11">
      <c r="B80" s="386"/>
      <c r="C80" s="380"/>
      <c r="D80" s="380"/>
      <c r="E80" s="380"/>
      <c r="F80" s="380"/>
      <c r="G80" s="380"/>
      <c r="H80" s="380"/>
      <c r="I80" s="380"/>
      <c r="J80" s="380"/>
      <c r="K80" s="381"/>
    </row>
    <row r="81" spans="2:11">
      <c r="B81" s="386"/>
      <c r="C81" s="380"/>
      <c r="D81" s="380"/>
      <c r="E81" s="381"/>
      <c r="F81" s="381"/>
      <c r="G81" s="381"/>
      <c r="H81" s="381"/>
      <c r="I81" s="381"/>
      <c r="J81" s="381"/>
      <c r="K81" s="381"/>
    </row>
    <row r="82" spans="2:11">
      <c r="B82" s="386"/>
      <c r="C82" s="380"/>
      <c r="D82" s="380"/>
      <c r="E82" s="380"/>
      <c r="F82" s="380"/>
      <c r="G82" s="380"/>
      <c r="H82" s="380"/>
      <c r="I82" s="380"/>
      <c r="J82" s="380"/>
      <c r="K82" s="381"/>
    </row>
    <row r="83" spans="2:11">
      <c r="B83" s="386"/>
      <c r="C83" s="380"/>
      <c r="D83" s="380"/>
      <c r="E83" s="381"/>
      <c r="F83" s="381"/>
      <c r="G83" s="381"/>
      <c r="H83" s="381"/>
      <c r="I83" s="381"/>
      <c r="J83" s="381"/>
      <c r="K83" s="381"/>
    </row>
    <row r="84" spans="2:11">
      <c r="B84" s="58"/>
      <c r="C84" s="380"/>
      <c r="D84" s="380"/>
      <c r="E84" s="381"/>
      <c r="F84" s="381"/>
      <c r="G84" s="381"/>
      <c r="H84" s="381"/>
      <c r="I84" s="381"/>
      <c r="J84" s="381"/>
      <c r="K84" s="381"/>
    </row>
    <row r="85" spans="2:11">
      <c r="B85" s="388"/>
      <c r="C85" s="389"/>
      <c r="D85" s="389"/>
      <c r="E85" s="389"/>
      <c r="F85" s="389"/>
      <c r="G85" s="389"/>
      <c r="H85" s="389"/>
      <c r="I85" s="389"/>
      <c r="J85" s="389"/>
      <c r="K85" s="381"/>
    </row>
    <row r="86" spans="2:11">
      <c r="B86" s="386"/>
      <c r="C86" s="389"/>
      <c r="D86" s="389"/>
      <c r="E86" s="389"/>
      <c r="F86" s="389"/>
      <c r="G86" s="389"/>
      <c r="H86" s="389"/>
      <c r="I86" s="389"/>
      <c r="J86" s="389"/>
      <c r="K86" s="381"/>
    </row>
    <row r="87" spans="2:11">
      <c r="B87" s="386"/>
      <c r="C87" s="389"/>
      <c r="D87" s="389"/>
      <c r="E87" s="389"/>
      <c r="F87" s="389"/>
      <c r="G87" s="389"/>
      <c r="H87" s="389"/>
      <c r="I87" s="389"/>
      <c r="J87" s="389"/>
      <c r="K87" s="381"/>
    </row>
  </sheetData>
  <phoneticPr fontId="1" type="noConversion"/>
  <dataValidations disablePrompts="1" count="1">
    <dataValidation type="list" allowBlank="1" showInputMessage="1" showErrorMessage="1" sqref="C3">
      <formula1>$S$5:$S$7</formula1>
    </dataValidation>
  </dataValidations>
  <hyperlinks>
    <hyperlink ref="A1" location="HOME!A1" display="HOM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2_Sheet">
    <tabColor rgb="FFFF0000"/>
  </sheetPr>
  <dimension ref="A1:AA58"/>
  <sheetViews>
    <sheetView showGridLines="0" topLeftCell="A13" zoomScale="85" zoomScaleNormal="85" workbookViewId="0">
      <selection activeCell="G47" sqref="G47"/>
    </sheetView>
  </sheetViews>
  <sheetFormatPr defaultColWidth="11.5" defaultRowHeight="22.2" customHeight="1"/>
  <cols>
    <col min="1" max="1" width="7.19921875" style="289" bestFit="1" customWidth="1"/>
    <col min="2" max="2" width="15.5" style="292" bestFit="1" customWidth="1"/>
    <col min="3" max="3" width="12.5" style="292" bestFit="1" customWidth="1"/>
    <col min="4" max="4" width="17.796875" style="292" bestFit="1" customWidth="1"/>
    <col min="5" max="5" width="28.09765625" style="47" hidden="1" customWidth="1"/>
    <col min="6" max="6" width="40.09765625" style="47" bestFit="1" customWidth="1"/>
    <col min="7" max="7" width="22.59765625" style="47" customWidth="1"/>
    <col min="8" max="8" width="8.296875" style="47" hidden="1" customWidth="1"/>
    <col min="9" max="10" width="9.19921875" style="47" hidden="1" customWidth="1"/>
    <col min="11" max="11" width="15" style="47" bestFit="1" customWidth="1"/>
    <col min="12" max="12" width="7.19921875" style="47" hidden="1" customWidth="1"/>
    <col min="13" max="13" width="5.296875" style="47" hidden="1" customWidth="1"/>
    <col min="14" max="14" width="5.3984375" style="47" hidden="1" customWidth="1"/>
    <col min="15" max="15" width="2.796875" style="47" customWidth="1"/>
    <col min="16" max="16" width="16.09765625" style="47" bestFit="1" customWidth="1"/>
    <col min="17" max="17" width="15.69921875" style="47" customWidth="1"/>
    <col min="18" max="23" width="15.69921875" style="47" bestFit="1" customWidth="1"/>
    <col min="24" max="25" width="4.09765625" style="47" bestFit="1" customWidth="1"/>
    <col min="26" max="27" width="4.796875" style="47" bestFit="1" customWidth="1"/>
    <col min="28" max="16384" width="11.5" style="47"/>
  </cols>
  <sheetData>
    <row r="1" spans="1:27" ht="22.2" customHeight="1">
      <c r="A1" s="288" t="s">
        <v>279</v>
      </c>
      <c r="B1" s="332" t="s">
        <v>460</v>
      </c>
      <c r="F1" s="47">
        <f>600*1.15</f>
        <v>690</v>
      </c>
    </row>
    <row r="2" spans="1:27" ht="22.2" customHeight="1">
      <c r="A2" s="288"/>
      <c r="B2" s="332"/>
    </row>
    <row r="3" spans="1:27" ht="16.2" customHeight="1">
      <c r="A3" s="288"/>
      <c r="B3" s="332" t="s">
        <v>479</v>
      </c>
    </row>
    <row r="4" spans="1:27" ht="5.4" customHeight="1">
      <c r="A4" s="288"/>
      <c r="B4" s="332"/>
    </row>
    <row r="5" spans="1:27" ht="16.2" customHeight="1">
      <c r="B5" s="349" t="s">
        <v>468</v>
      </c>
      <c r="C5" s="349" t="s">
        <v>2</v>
      </c>
      <c r="D5" s="349" t="s">
        <v>3</v>
      </c>
      <c r="E5" s="349" t="s">
        <v>475</v>
      </c>
      <c r="F5" s="349" t="s">
        <v>476</v>
      </c>
      <c r="G5" s="349" t="s">
        <v>477</v>
      </c>
      <c r="H5" s="349" t="s">
        <v>478</v>
      </c>
      <c r="I5" s="349" t="s">
        <v>462</v>
      </c>
      <c r="J5" s="349" t="s">
        <v>465</v>
      </c>
      <c r="K5" s="350" t="s">
        <v>463</v>
      </c>
      <c r="L5" s="349" t="s">
        <v>464</v>
      </c>
      <c r="M5" s="349" t="s">
        <v>466</v>
      </c>
      <c r="N5" s="349" t="s">
        <v>16</v>
      </c>
      <c r="P5" s="342" t="s">
        <v>231</v>
      </c>
      <c r="Q5" s="290" t="s">
        <v>41</v>
      </c>
      <c r="R5" s="290" t="s">
        <v>139</v>
      </c>
      <c r="S5" s="290" t="s">
        <v>140</v>
      </c>
      <c r="T5" s="290" t="s">
        <v>141</v>
      </c>
      <c r="U5" s="290" t="s">
        <v>142</v>
      </c>
      <c r="V5" s="290" t="s">
        <v>143</v>
      </c>
      <c r="W5" s="290" t="s">
        <v>144</v>
      </c>
      <c r="X5" s="290" t="s">
        <v>145</v>
      </c>
      <c r="Y5" s="290" t="s">
        <v>146</v>
      </c>
      <c r="Z5" s="290" t="s">
        <v>147</v>
      </c>
      <c r="AA5" s="290" t="s">
        <v>173</v>
      </c>
    </row>
    <row r="6" spans="1:27" ht="16.2" customHeight="1">
      <c r="B6" s="268" t="s">
        <v>845</v>
      </c>
      <c r="C6" s="268" t="s">
        <v>296</v>
      </c>
      <c r="D6" s="268" t="s">
        <v>842</v>
      </c>
      <c r="E6" s="291"/>
      <c r="F6" s="291" t="s">
        <v>840</v>
      </c>
      <c r="G6" s="291"/>
      <c r="H6" s="291"/>
      <c r="I6" s="291"/>
      <c r="J6" s="291"/>
      <c r="K6" s="300">
        <f>P6</f>
        <v>4668166497.2207022</v>
      </c>
      <c r="L6" s="291"/>
      <c r="M6" s="291"/>
      <c r="N6" s="291"/>
      <c r="P6" s="341">
        <f>SUM(Q6:AA6)</f>
        <v>4668166497.2207022</v>
      </c>
      <c r="Q6" s="300">
        <f>'1.인건비_요약'!H19</f>
        <v>416080941.18880993</v>
      </c>
      <c r="R6" s="300">
        <f>'1.인건비_요약'!I19</f>
        <v>426612266.03181404</v>
      </c>
      <c r="S6" s="300">
        <f>'1.인건비_요약'!J19</f>
        <v>437410146.71040142</v>
      </c>
      <c r="T6" s="300">
        <f>'1.인건비_요약'!K19</f>
        <v>448481329.95535314</v>
      </c>
      <c r="U6" s="300">
        <f>'1.인건비_요약'!L19</f>
        <v>459832733.26233381</v>
      </c>
      <c r="V6" s="300">
        <f>'1.인건비_요약'!M19</f>
        <v>471471449.21408081</v>
      </c>
      <c r="W6" s="300">
        <f>'1.인건비_요약'!N19</f>
        <v>483404749.91199058</v>
      </c>
      <c r="X6" s="300">
        <f>'1.인건비_요약'!O19</f>
        <v>495640091.51987308</v>
      </c>
      <c r="Y6" s="300">
        <f>'1.인건비_요약'!P19</f>
        <v>508185118.92271042</v>
      </c>
      <c r="Z6" s="300">
        <f>'1.인건비_요약'!Q19</f>
        <v>521047670.50333464</v>
      </c>
      <c r="AA6" s="300">
        <f>'1.인건비_요약'!R19</f>
        <v>0</v>
      </c>
    </row>
    <row r="7" spans="1:27" ht="16.2" customHeight="1">
      <c r="B7" s="337" t="s">
        <v>845</v>
      </c>
      <c r="C7" s="337" t="s">
        <v>296</v>
      </c>
      <c r="D7" s="337" t="s">
        <v>843</v>
      </c>
      <c r="E7" s="303"/>
      <c r="F7" s="377" t="s">
        <v>973</v>
      </c>
      <c r="G7" s="303"/>
      <c r="H7" s="303"/>
      <c r="I7" s="303"/>
      <c r="J7" s="303"/>
      <c r="K7" s="336">
        <f t="shared" ref="K7:K13" si="0">P7</f>
        <v>463230335.51640838</v>
      </c>
      <c r="L7" s="291"/>
      <c r="M7" s="291"/>
      <c r="N7" s="291"/>
      <c r="P7" s="346">
        <f t="shared" ref="P7:P12" si="1">SUM(Q7:AA7)</f>
        <v>463230335.51640838</v>
      </c>
      <c r="Q7" s="303">
        <v>463230335.51640838</v>
      </c>
      <c r="R7" s="291"/>
      <c r="S7" s="291"/>
      <c r="T7" s="291"/>
      <c r="U7" s="291"/>
      <c r="V7" s="291"/>
      <c r="W7" s="291"/>
      <c r="X7" s="291"/>
      <c r="Y7" s="291"/>
      <c r="Z7" s="291"/>
      <c r="AA7" s="291"/>
    </row>
    <row r="8" spans="1:27" s="292" customFormat="1" ht="16.2" customHeight="1">
      <c r="A8" s="289"/>
      <c r="B8" s="268" t="s">
        <v>845</v>
      </c>
      <c r="C8" s="268" t="s">
        <v>297</v>
      </c>
      <c r="D8" s="268" t="s">
        <v>842</v>
      </c>
      <c r="E8" s="291"/>
      <c r="F8" s="291" t="s">
        <v>841</v>
      </c>
      <c r="G8" s="291"/>
      <c r="H8" s="291"/>
      <c r="I8" s="268"/>
      <c r="J8" s="268"/>
      <c r="K8" s="300">
        <f t="shared" si="0"/>
        <v>20454598776.260658</v>
      </c>
      <c r="L8" s="268"/>
      <c r="M8" s="268"/>
      <c r="N8" s="268"/>
      <c r="P8" s="341">
        <f t="shared" si="1"/>
        <v>20454598776.260658</v>
      </c>
      <c r="Q8" s="319">
        <f>'1.인건비_요약'!H20+'1.인건비_요약'!H22</f>
        <v>1767120988.9998631</v>
      </c>
      <c r="R8" s="319">
        <f>'1.인건비_요약'!I20+'1.인건비_요약'!I22</f>
        <v>1874916941.3896718</v>
      </c>
      <c r="S8" s="319">
        <f>'1.인건비_요약'!J20+'1.인건비_요약'!J22</f>
        <v>1922372514.1131194</v>
      </c>
      <c r="T8" s="319">
        <f>'1.인건비_요약'!K20+'1.인건비_요약'!K22</f>
        <v>1971029223.4484332</v>
      </c>
      <c r="U8" s="319">
        <f>'1.인건비_요약'!L20+'1.인건비_요약'!L22</f>
        <v>2020917471.0761232</v>
      </c>
      <c r="V8" s="319">
        <f>'1.인건비_요약'!M20+'1.인건비_요약'!M22</f>
        <v>2072068428.166338</v>
      </c>
      <c r="W8" s="319">
        <f>'1.인건비_요약'!N20+'1.인건비_요약'!N22</f>
        <v>2124514054.8552332</v>
      </c>
      <c r="X8" s="319">
        <f>'1.인건비_요약'!O20+'1.인건비_요약'!O22</f>
        <v>2178287120.2143006</v>
      </c>
      <c r="Y8" s="319">
        <f>'1.인건비_요약'!P20+'1.인건비_요약'!P22</f>
        <v>2233421222.7251358</v>
      </c>
      <c r="Z8" s="319">
        <f>'1.인건비_요약'!Q20+'1.인건비_요약'!Q22</f>
        <v>2289950811.2724385</v>
      </c>
      <c r="AA8" s="319">
        <f>'1.인건비_요약'!R20+'1.인건비_요약'!R22</f>
        <v>0</v>
      </c>
    </row>
    <row r="9" spans="1:27" ht="16.2" customHeight="1">
      <c r="B9" s="337" t="s">
        <v>845</v>
      </c>
      <c r="C9" s="337" t="s">
        <v>297</v>
      </c>
      <c r="D9" s="337" t="s">
        <v>843</v>
      </c>
      <c r="E9" s="303"/>
      <c r="F9" s="377" t="s">
        <v>973</v>
      </c>
      <c r="G9" s="303"/>
      <c r="H9" s="303"/>
      <c r="I9" s="303"/>
      <c r="J9" s="303"/>
      <c r="K9" s="336">
        <f t="shared" si="0"/>
        <v>-86698496.178065181</v>
      </c>
      <c r="L9" s="291"/>
      <c r="M9" s="291"/>
      <c r="N9" s="291"/>
      <c r="P9" s="346">
        <f t="shared" si="1"/>
        <v>-86698496.178065181</v>
      </c>
      <c r="Q9" s="303">
        <v>-86698496.178065181</v>
      </c>
      <c r="R9" s="291"/>
      <c r="S9" s="291"/>
      <c r="T9" s="291"/>
      <c r="U9" s="291"/>
      <c r="V9" s="291"/>
      <c r="W9" s="291"/>
      <c r="X9" s="291"/>
      <c r="Y9" s="291"/>
      <c r="Z9" s="291"/>
      <c r="AA9" s="291"/>
    </row>
    <row r="10" spans="1:27" ht="16.2" customHeight="1">
      <c r="B10" s="268" t="s">
        <v>845</v>
      </c>
      <c r="C10" s="268" t="s">
        <v>298</v>
      </c>
      <c r="D10" s="268" t="s">
        <v>842</v>
      </c>
      <c r="E10" s="291"/>
      <c r="F10" s="291" t="s">
        <v>844</v>
      </c>
      <c r="G10" s="291"/>
      <c r="H10" s="291"/>
      <c r="I10" s="291"/>
      <c r="J10" s="291"/>
      <c r="K10" s="300">
        <f t="shared" si="0"/>
        <v>19113840134.678719</v>
      </c>
      <c r="L10" s="291"/>
      <c r="M10" s="291"/>
      <c r="N10" s="291"/>
      <c r="P10" s="341">
        <f t="shared" si="1"/>
        <v>19113840134.678719</v>
      </c>
      <c r="Q10" s="300">
        <f>'1.인건비_요약'!H23</f>
        <v>948824035.59650326</v>
      </c>
      <c r="R10" s="300">
        <f>'1.인건비_요약'!I23</f>
        <v>1822498296.0516243</v>
      </c>
      <c r="S10" s="300">
        <f>'1.인건비_요약'!J23</f>
        <v>1868627113.0233958</v>
      </c>
      <c r="T10" s="300">
        <f>'1.인건비_요약'!K23</f>
        <v>1915923485.4106238</v>
      </c>
      <c r="U10" s="300">
        <f>'1.인건비_요약'!L23</f>
        <v>1964416964.928216</v>
      </c>
      <c r="V10" s="300">
        <f>'1.인건비_요약'!M23</f>
        <v>2014137851.2674425</v>
      </c>
      <c r="W10" s="300">
        <f>'1.인건비_요약'!N23</f>
        <v>2065117211.0277882</v>
      </c>
      <c r="X10" s="300">
        <f>'1.인건비_요약'!O23</f>
        <v>2117386897.1279817</v>
      </c>
      <c r="Y10" s="300">
        <f>'1.인건비_요약'!P23</f>
        <v>2170979568.7083325</v>
      </c>
      <c r="Z10" s="300">
        <f>'1.인건비_요약'!Q23</f>
        <v>2225928711.5368128</v>
      </c>
      <c r="AA10" s="300">
        <f>'1.인건비_요약'!R23</f>
        <v>0</v>
      </c>
    </row>
    <row r="11" spans="1:27" ht="16.2" customHeight="1">
      <c r="B11" s="337" t="s">
        <v>845</v>
      </c>
      <c r="C11" s="337" t="s">
        <v>298</v>
      </c>
      <c r="D11" s="337" t="s">
        <v>843</v>
      </c>
      <c r="E11" s="303"/>
      <c r="F11" s="377" t="s">
        <v>973</v>
      </c>
      <c r="G11" s="303"/>
      <c r="H11" s="303"/>
      <c r="I11" s="303"/>
      <c r="J11" s="303"/>
      <c r="K11" s="336">
        <f t="shared" si="0"/>
        <v>46398536.31910336</v>
      </c>
      <c r="L11" s="291"/>
      <c r="M11" s="291"/>
      <c r="N11" s="291"/>
      <c r="P11" s="346">
        <f t="shared" si="1"/>
        <v>46398536.31910336</v>
      </c>
      <c r="Q11" s="303">
        <v>46398536.31910336</v>
      </c>
      <c r="R11" s="291">
        <v>0</v>
      </c>
      <c r="S11" s="291">
        <v>0</v>
      </c>
      <c r="T11" s="291">
        <v>0</v>
      </c>
      <c r="U11" s="291">
        <v>0</v>
      </c>
      <c r="V11" s="291">
        <v>0</v>
      </c>
      <c r="W11" s="291">
        <v>0</v>
      </c>
      <c r="X11" s="291">
        <v>0</v>
      </c>
      <c r="Y11" s="291">
        <v>0</v>
      </c>
      <c r="Z11" s="291">
        <v>0</v>
      </c>
      <c r="AA11" s="291">
        <v>0</v>
      </c>
    </row>
    <row r="12" spans="1:27" s="294" customFormat="1" ht="16.2" customHeight="1">
      <c r="A12" s="289"/>
      <c r="B12" s="268" t="s">
        <v>845</v>
      </c>
      <c r="C12" s="268" t="s">
        <v>461</v>
      </c>
      <c r="D12" s="268" t="s">
        <v>846</v>
      </c>
      <c r="E12" s="291"/>
      <c r="F12" s="376" t="s">
        <v>974</v>
      </c>
      <c r="G12" s="291"/>
      <c r="H12" s="291"/>
      <c r="I12" s="293"/>
      <c r="J12" s="293"/>
      <c r="K12" s="300">
        <f t="shared" si="0"/>
        <v>1262274299.9999998</v>
      </c>
      <c r="L12" s="293"/>
      <c r="M12" s="293"/>
      <c r="N12" s="293"/>
      <c r="P12" s="341">
        <f t="shared" si="1"/>
        <v>1262274299.9999998</v>
      </c>
      <c r="Q12" s="293">
        <v>180324899.99999997</v>
      </c>
      <c r="R12" s="293">
        <v>180324899.99999997</v>
      </c>
      <c r="S12" s="293">
        <v>180324899.99999997</v>
      </c>
      <c r="T12" s="293">
        <v>180324899.99999997</v>
      </c>
      <c r="U12" s="293">
        <v>180324899.99999997</v>
      </c>
      <c r="V12" s="293">
        <v>180324899.99999997</v>
      </c>
      <c r="W12" s="293">
        <v>180324899.99999997</v>
      </c>
      <c r="X12" s="293"/>
      <c r="Y12" s="293"/>
      <c r="Z12" s="293"/>
      <c r="AA12" s="293"/>
    </row>
    <row r="13" spans="1:27" ht="16.2" customHeight="1">
      <c r="B13" s="339"/>
      <c r="C13" s="339"/>
      <c r="D13" s="339"/>
      <c r="E13" s="340"/>
      <c r="F13" s="340"/>
      <c r="G13" s="340"/>
      <c r="H13" s="340"/>
      <c r="I13" s="340"/>
      <c r="J13" s="340"/>
      <c r="K13" s="345">
        <f t="shared" si="0"/>
        <v>45921810083.817528</v>
      </c>
      <c r="L13" s="340"/>
      <c r="M13" s="340"/>
      <c r="N13" s="340"/>
      <c r="P13" s="343">
        <f>SUM(P6:P12)</f>
        <v>45921810083.817528</v>
      </c>
      <c r="Q13" s="338">
        <f t="shared" ref="Q13:AA13" si="2">SUM(Q6:Q12)</f>
        <v>3735281241.4426227</v>
      </c>
      <c r="R13" s="338">
        <f t="shared" si="2"/>
        <v>4304352403.4731102</v>
      </c>
      <c r="S13" s="338">
        <f t="shared" si="2"/>
        <v>4408734673.8469162</v>
      </c>
      <c r="T13" s="338">
        <f t="shared" si="2"/>
        <v>4515758938.8144102</v>
      </c>
      <c r="U13" s="338">
        <f t="shared" si="2"/>
        <v>4625492069.2666731</v>
      </c>
      <c r="V13" s="338">
        <f t="shared" si="2"/>
        <v>4738002628.6478615</v>
      </c>
      <c r="W13" s="338">
        <f t="shared" si="2"/>
        <v>4853360915.7950115</v>
      </c>
      <c r="X13" s="338">
        <f t="shared" si="2"/>
        <v>4791314108.8621559</v>
      </c>
      <c r="Y13" s="338">
        <f t="shared" si="2"/>
        <v>4912585910.3561783</v>
      </c>
      <c r="Z13" s="338">
        <f t="shared" si="2"/>
        <v>5036927193.3125858</v>
      </c>
      <c r="AA13" s="338">
        <f t="shared" si="2"/>
        <v>0</v>
      </c>
    </row>
    <row r="14" spans="1:27" s="297" customFormat="1" ht="16.2" customHeight="1">
      <c r="A14" s="289"/>
      <c r="B14" s="295"/>
      <c r="C14" s="295"/>
      <c r="D14" s="295"/>
      <c r="E14" s="296"/>
      <c r="F14" s="296"/>
      <c r="G14" s="296"/>
      <c r="H14" s="296"/>
      <c r="I14" s="296"/>
      <c r="J14" s="296"/>
      <c r="K14" s="296"/>
      <c r="L14" s="296"/>
      <c r="M14" s="296"/>
      <c r="N14" s="296"/>
    </row>
    <row r="15" spans="1:27" s="297" customFormat="1" ht="16.2" customHeight="1">
      <c r="A15" s="289"/>
      <c r="B15" s="332" t="s">
        <v>480</v>
      </c>
      <c r="C15" s="298"/>
      <c r="D15" s="298"/>
    </row>
    <row r="16" spans="1:27" s="297" customFormat="1" ht="5.4" customHeight="1">
      <c r="A16" s="289"/>
      <c r="B16" s="333"/>
      <c r="C16" s="333"/>
      <c r="D16" s="333"/>
      <c r="E16" s="299"/>
      <c r="F16" s="299"/>
      <c r="G16" s="299"/>
      <c r="H16" s="299"/>
      <c r="I16" s="299"/>
      <c r="J16" s="299"/>
      <c r="K16" s="299"/>
      <c r="L16" s="299"/>
      <c r="M16" s="299"/>
      <c r="N16" s="299"/>
    </row>
    <row r="17" spans="1:27" s="297" customFormat="1" ht="16.2" customHeight="1">
      <c r="A17" s="289"/>
      <c r="B17" s="349" t="s">
        <v>468</v>
      </c>
      <c r="C17" s="349" t="s">
        <v>2</v>
      </c>
      <c r="D17" s="349" t="s">
        <v>3</v>
      </c>
      <c r="E17" s="349" t="s">
        <v>475</v>
      </c>
      <c r="F17" s="349" t="s">
        <v>476</v>
      </c>
      <c r="G17" s="349" t="s">
        <v>477</v>
      </c>
      <c r="H17" s="349" t="s">
        <v>478</v>
      </c>
      <c r="I17" s="349" t="s">
        <v>462</v>
      </c>
      <c r="J17" s="349" t="s">
        <v>465</v>
      </c>
      <c r="K17" s="350" t="s">
        <v>463</v>
      </c>
      <c r="L17" s="349" t="s">
        <v>464</v>
      </c>
      <c r="M17" s="349" t="s">
        <v>466</v>
      </c>
      <c r="N17" s="349" t="s">
        <v>16</v>
      </c>
      <c r="P17" s="342" t="s">
        <v>231</v>
      </c>
      <c r="Q17" s="290" t="s">
        <v>41</v>
      </c>
      <c r="R17" s="290" t="s">
        <v>139</v>
      </c>
      <c r="S17" s="290" t="s">
        <v>140</v>
      </c>
      <c r="T17" s="290" t="s">
        <v>141</v>
      </c>
      <c r="U17" s="290" t="s">
        <v>142</v>
      </c>
      <c r="V17" s="290" t="s">
        <v>143</v>
      </c>
      <c r="W17" s="290" t="s">
        <v>144</v>
      </c>
      <c r="X17" s="290" t="s">
        <v>145</v>
      </c>
      <c r="Y17" s="290" t="s">
        <v>146</v>
      </c>
      <c r="Z17" s="290" t="s">
        <v>147</v>
      </c>
      <c r="AA17" s="290" t="s">
        <v>173</v>
      </c>
    </row>
    <row r="18" spans="1:27" ht="16.2" customHeight="1">
      <c r="B18" s="268" t="s">
        <v>467</v>
      </c>
      <c r="C18" s="335" t="s">
        <v>296</v>
      </c>
      <c r="D18" s="268"/>
      <c r="E18" s="291"/>
      <c r="F18" s="291" t="s">
        <v>804</v>
      </c>
      <c r="G18" s="291"/>
      <c r="H18" s="291"/>
      <c r="I18" s="291"/>
      <c r="J18" s="291"/>
      <c r="K18" s="271">
        <f>P18</f>
        <v>8174277074.7421103</v>
      </c>
      <c r="L18" s="291"/>
      <c r="M18" s="291"/>
      <c r="N18" s="291"/>
      <c r="P18" s="300">
        <f>SUM(Q18:AA18)</f>
        <v>8174277074.7421103</v>
      </c>
      <c r="Q18" s="300">
        <f>'1.인건비_요약'!H81+'1.인건비_요약'!H87</f>
        <v>640710425.1740129</v>
      </c>
      <c r="R18" s="300">
        <f>'1.인건비_요약'!I81+'1.인건비_요약'!I87</f>
        <v>755843667.14229882</v>
      </c>
      <c r="S18" s="300">
        <f>'1.인건비_요약'!J81+'1.인건비_요약'!J87</f>
        <v>774974644.79885769</v>
      </c>
      <c r="T18" s="300">
        <f>'1.인건비_요약'!K81+'1.인건비_요약'!K87</f>
        <v>794589842.03944695</v>
      </c>
      <c r="U18" s="300">
        <f>'1.인건비_요약'!L81+'1.인건비_요약'!L87</f>
        <v>814701514.82974505</v>
      </c>
      <c r="V18" s="300">
        <f>'1.인건비_요약'!M81+'1.인건비_요약'!M87</f>
        <v>835322229.3432374</v>
      </c>
      <c r="W18" s="300">
        <f>'1.인건비_요약'!N81+'1.인건비_요약'!N87</f>
        <v>856464869.81280875</v>
      </c>
      <c r="X18" s="300">
        <f>'1.인건비_요약'!O81+'1.인건비_요약'!O87</f>
        <v>878142646.58107209</v>
      </c>
      <c r="Y18" s="300">
        <f>'1.인건비_요약'!P81+'1.인건비_요약'!P87</f>
        <v>900369104.35445035</v>
      </c>
      <c r="Z18" s="300">
        <f>'1.인건비_요약'!Q81+'1.인건비_요약'!Q87</f>
        <v>923158130.66618097</v>
      </c>
      <c r="AA18" s="300">
        <f>'1.인건비_요약'!R81+'1.인건비_요약'!R87</f>
        <v>0</v>
      </c>
    </row>
    <row r="19" spans="1:27" ht="16.2" customHeight="1">
      <c r="B19" s="268" t="s">
        <v>467</v>
      </c>
      <c r="C19" s="268" t="s">
        <v>297</v>
      </c>
      <c r="D19" s="268"/>
      <c r="E19" s="291"/>
      <c r="F19" s="291" t="s">
        <v>804</v>
      </c>
      <c r="G19" s="291"/>
      <c r="H19" s="291"/>
      <c r="I19" s="291"/>
      <c r="J19" s="291"/>
      <c r="K19" s="300">
        <f t="shared" ref="K19:K22" si="3">P19</f>
        <v>32971435179.349838</v>
      </c>
      <c r="L19" s="291"/>
      <c r="M19" s="291"/>
      <c r="N19" s="291"/>
      <c r="P19" s="300">
        <f t="shared" ref="P19:P50" si="4">SUM(Q19:AA19)</f>
        <v>32971435179.349838</v>
      </c>
      <c r="Q19" s="300">
        <f>'1.인건비_요약'!H82+'1.인건비_요약'!H88</f>
        <v>2757992157.1741629</v>
      </c>
      <c r="R19" s="300">
        <f>'1.인건비_요약'!I82+'1.인건비_요약'!I88</f>
        <v>3128698422.9599752</v>
      </c>
      <c r="S19" s="300">
        <f>'1.인건비_요약'!J82+'1.인건비_요약'!J88</f>
        <v>3207888157.8558912</v>
      </c>
      <c r="T19" s="300">
        <f>'1.인건비_요약'!K82+'1.인건비_요약'!K88</f>
        <v>3160603530.4220238</v>
      </c>
      <c r="U19" s="300">
        <f>'1.인건비_요약'!L82+'1.인건비_요약'!L88</f>
        <v>3240600807.8356867</v>
      </c>
      <c r="V19" s="300">
        <f>'1.인건비_요약'!M82+'1.인건비_요약'!M88</f>
        <v>3322622877.1386223</v>
      </c>
      <c r="W19" s="300">
        <f>'1.인건비_요약'!N82+'1.인건비_요약'!N88</f>
        <v>3406720987.3523884</v>
      </c>
      <c r="X19" s="300">
        <f>'1.인건비_요약'!O82+'1.인건비_요약'!O88</f>
        <v>3492947684.6502275</v>
      </c>
      <c r="Y19" s="300">
        <f>'1.인건비_요약'!P82+'1.인건비_요약'!P88</f>
        <v>3581356845.1889648</v>
      </c>
      <c r="Z19" s="300">
        <f>'1.인건비_요약'!Q82+'1.인건비_요약'!Q88</f>
        <v>3672003708.7718992</v>
      </c>
      <c r="AA19" s="300">
        <f>'1.인건비_요약'!R82+'1.인건비_요약'!R88</f>
        <v>0</v>
      </c>
    </row>
    <row r="20" spans="1:27" ht="16.2" customHeight="1">
      <c r="B20" s="268" t="s">
        <v>467</v>
      </c>
      <c r="C20" s="268" t="s">
        <v>298</v>
      </c>
      <c r="D20" s="268"/>
      <c r="E20" s="291"/>
      <c r="F20" s="291" t="s">
        <v>804</v>
      </c>
      <c r="G20" s="291"/>
      <c r="H20" s="291"/>
      <c r="I20" s="291"/>
      <c r="J20" s="291"/>
      <c r="K20" s="300" t="e">
        <f t="shared" si="3"/>
        <v>#REF!</v>
      </c>
      <c r="L20" s="291"/>
      <c r="M20" s="291"/>
      <c r="N20" s="291"/>
      <c r="P20" s="300" t="e">
        <f t="shared" si="4"/>
        <v>#REF!</v>
      </c>
      <c r="Q20" s="300" t="e">
        <f>'1.인건비_요약'!H84+'1.인건비_요약'!#REF!</f>
        <v>#REF!</v>
      </c>
      <c r="R20" s="300" t="e">
        <f>'1.인건비_요약'!I84+'1.인건비_요약'!#REF!</f>
        <v>#REF!</v>
      </c>
      <c r="S20" s="300" t="e">
        <f>'1.인건비_요약'!J84+'1.인건비_요약'!#REF!</f>
        <v>#REF!</v>
      </c>
      <c r="T20" s="300" t="e">
        <f>'1.인건비_요약'!K84+'1.인건비_요약'!#REF!</f>
        <v>#REF!</v>
      </c>
      <c r="U20" s="300" t="e">
        <f>'1.인건비_요약'!L84+'1.인건비_요약'!#REF!</f>
        <v>#REF!</v>
      </c>
      <c r="V20" s="300" t="e">
        <f>'1.인건비_요약'!M84+'1.인건비_요약'!#REF!</f>
        <v>#REF!</v>
      </c>
      <c r="W20" s="300" t="e">
        <f>'1.인건비_요약'!N84+'1.인건비_요약'!#REF!</f>
        <v>#REF!</v>
      </c>
      <c r="X20" s="300" t="e">
        <f>'1.인건비_요약'!O84+'1.인건비_요약'!#REF!</f>
        <v>#REF!</v>
      </c>
      <c r="Y20" s="300" t="e">
        <f>'1.인건비_요약'!P84+'1.인건비_요약'!#REF!</f>
        <v>#REF!</v>
      </c>
      <c r="Z20" s="300" t="e">
        <f>'1.인건비_요약'!Q84+'1.인건비_요약'!#REF!</f>
        <v>#REF!</v>
      </c>
      <c r="AA20" s="300" t="e">
        <f>'1.인건비_요약'!R84+'1.인건비_요약'!#REF!</f>
        <v>#REF!</v>
      </c>
    </row>
    <row r="21" spans="1:27" ht="16.2" customHeight="1">
      <c r="B21" s="268" t="s">
        <v>467</v>
      </c>
      <c r="C21" s="268" t="s">
        <v>299</v>
      </c>
      <c r="D21" s="268"/>
      <c r="E21" s="291"/>
      <c r="F21" s="291" t="s">
        <v>804</v>
      </c>
      <c r="G21" s="291"/>
      <c r="H21" s="291"/>
      <c r="I21" s="291"/>
      <c r="J21" s="291"/>
      <c r="K21" s="300" t="e">
        <f t="shared" si="3"/>
        <v>#REF!</v>
      </c>
      <c r="L21" s="291"/>
      <c r="M21" s="291"/>
      <c r="N21" s="291"/>
      <c r="P21" s="300" t="e">
        <f t="shared" si="4"/>
        <v>#REF!</v>
      </c>
      <c r="Q21" s="300" t="e">
        <f>'1.인건비_요약'!H85+'1.인건비_요약'!#REF!</f>
        <v>#REF!</v>
      </c>
      <c r="R21" s="300" t="e">
        <f>'1.인건비_요약'!I85+'1.인건비_요약'!#REF!</f>
        <v>#REF!</v>
      </c>
      <c r="S21" s="300" t="e">
        <f>'1.인건비_요약'!J85+'1.인건비_요약'!#REF!</f>
        <v>#REF!</v>
      </c>
      <c r="T21" s="300" t="e">
        <f>'1.인건비_요약'!K85+'1.인건비_요약'!#REF!</f>
        <v>#REF!</v>
      </c>
      <c r="U21" s="300" t="e">
        <f>'1.인건비_요약'!L85+'1.인건비_요약'!#REF!</f>
        <v>#REF!</v>
      </c>
      <c r="V21" s="300" t="e">
        <f>'1.인건비_요약'!M85+'1.인건비_요약'!#REF!</f>
        <v>#REF!</v>
      </c>
      <c r="W21" s="300" t="e">
        <f>'1.인건비_요약'!N85+'1.인건비_요약'!#REF!</f>
        <v>#REF!</v>
      </c>
      <c r="X21" s="300" t="e">
        <f>'1.인건비_요약'!O85+'1.인건비_요약'!#REF!</f>
        <v>#REF!</v>
      </c>
      <c r="Y21" s="300" t="e">
        <f>'1.인건비_요약'!P85+'1.인건비_요약'!#REF!</f>
        <v>#REF!</v>
      </c>
      <c r="Z21" s="300" t="e">
        <f>'1.인건비_요약'!Q85+'1.인건비_요약'!#REF!</f>
        <v>#REF!</v>
      </c>
      <c r="AA21" s="300" t="e">
        <f>'1.인건비_요약'!R85+'1.인건비_요약'!#REF!</f>
        <v>#REF!</v>
      </c>
    </row>
    <row r="22" spans="1:27" ht="16.2" customHeight="1">
      <c r="B22" s="268" t="s">
        <v>467</v>
      </c>
      <c r="C22" s="268" t="s">
        <v>320</v>
      </c>
      <c r="D22" s="268"/>
      <c r="E22" s="291"/>
      <c r="F22" s="291" t="s">
        <v>804</v>
      </c>
      <c r="G22" s="291"/>
      <c r="H22" s="291"/>
      <c r="I22" s="291"/>
      <c r="J22" s="291"/>
      <c r="K22" s="300" t="e">
        <f t="shared" si="3"/>
        <v>#REF!</v>
      </c>
      <c r="L22" s="291"/>
      <c r="M22" s="291"/>
      <c r="N22" s="291"/>
      <c r="P22" s="300" t="e">
        <f t="shared" si="4"/>
        <v>#REF!</v>
      </c>
      <c r="Q22" s="300" t="e">
        <f>'1.인건비_요약'!#REF!+'1.인건비_요약'!#REF!</f>
        <v>#REF!</v>
      </c>
      <c r="R22" s="300" t="e">
        <f>'1.인건비_요약'!#REF!+'1.인건비_요약'!#REF!</f>
        <v>#REF!</v>
      </c>
      <c r="S22" s="300" t="e">
        <f>'1.인건비_요약'!#REF!+'1.인건비_요약'!#REF!</f>
        <v>#REF!</v>
      </c>
      <c r="T22" s="300" t="e">
        <f>'1.인건비_요약'!#REF!+'1.인건비_요약'!#REF!</f>
        <v>#REF!</v>
      </c>
      <c r="U22" s="300" t="e">
        <f>'1.인건비_요약'!#REF!+'1.인건비_요약'!#REF!</f>
        <v>#REF!</v>
      </c>
      <c r="V22" s="300" t="e">
        <f>'1.인건비_요약'!#REF!+'1.인건비_요약'!#REF!</f>
        <v>#REF!</v>
      </c>
      <c r="W22" s="300" t="e">
        <f>'1.인건비_요약'!#REF!+'1.인건비_요약'!#REF!</f>
        <v>#REF!</v>
      </c>
      <c r="X22" s="300" t="e">
        <f>'1.인건비_요약'!#REF!+'1.인건비_요약'!#REF!</f>
        <v>#REF!</v>
      </c>
      <c r="Y22" s="300" t="e">
        <f>'1.인건비_요약'!#REF!+'1.인건비_요약'!#REF!</f>
        <v>#REF!</v>
      </c>
      <c r="Z22" s="300" t="e">
        <f>'1.인건비_요약'!#REF!+'1.인건비_요약'!#REF!</f>
        <v>#REF!</v>
      </c>
      <c r="AA22" s="300" t="e">
        <f>'1.인건비_요약'!#REF!+'1.인건비_요약'!#REF!</f>
        <v>#REF!</v>
      </c>
    </row>
    <row r="23" spans="1:27" ht="16.2" customHeight="1">
      <c r="B23" s="334"/>
      <c r="C23" s="334"/>
      <c r="D23" s="334"/>
      <c r="E23" s="330"/>
      <c r="F23" s="330"/>
      <c r="G23" s="330"/>
      <c r="H23" s="330"/>
      <c r="I23" s="330"/>
      <c r="J23" s="330"/>
      <c r="K23" s="344" t="e">
        <f>SUM(K18:K22)</f>
        <v>#REF!</v>
      </c>
      <c r="L23" s="330"/>
      <c r="M23" s="330"/>
      <c r="N23" s="330"/>
      <c r="P23" s="344" t="e">
        <f>SUM(P18:P22)</f>
        <v>#REF!</v>
      </c>
      <c r="Q23" s="331" t="e">
        <f t="shared" ref="Q23:AA23" si="5">SUM(Q18:Q22)</f>
        <v>#REF!</v>
      </c>
      <c r="R23" s="331" t="e">
        <f t="shared" si="5"/>
        <v>#REF!</v>
      </c>
      <c r="S23" s="331" t="e">
        <f t="shared" si="5"/>
        <v>#REF!</v>
      </c>
      <c r="T23" s="331" t="e">
        <f t="shared" si="5"/>
        <v>#REF!</v>
      </c>
      <c r="U23" s="331" t="e">
        <f t="shared" si="5"/>
        <v>#REF!</v>
      </c>
      <c r="V23" s="331" t="e">
        <f t="shared" si="5"/>
        <v>#REF!</v>
      </c>
      <c r="W23" s="331" t="e">
        <f t="shared" si="5"/>
        <v>#REF!</v>
      </c>
      <c r="X23" s="331" t="e">
        <f t="shared" si="5"/>
        <v>#REF!</v>
      </c>
      <c r="Y23" s="331" t="e">
        <f t="shared" si="5"/>
        <v>#REF!</v>
      </c>
      <c r="Z23" s="331" t="e">
        <f t="shared" si="5"/>
        <v>#REF!</v>
      </c>
      <c r="AA23" s="331" t="e">
        <f t="shared" si="5"/>
        <v>#REF!</v>
      </c>
    </row>
    <row r="24" spans="1:27" ht="16.2" customHeight="1">
      <c r="B24" s="268" t="s">
        <v>469</v>
      </c>
      <c r="C24" s="268" t="s">
        <v>487</v>
      </c>
      <c r="D24" s="268" t="s">
        <v>247</v>
      </c>
      <c r="E24" s="291"/>
      <c r="F24" s="291" t="s">
        <v>805</v>
      </c>
      <c r="G24" s="291"/>
      <c r="H24" s="291"/>
      <c r="I24" s="291"/>
      <c r="J24" s="291"/>
      <c r="K24" s="300">
        <f>P24</f>
        <v>608157860</v>
      </c>
      <c r="L24" s="291"/>
      <c r="M24" s="291"/>
      <c r="N24" s="291"/>
      <c r="P24" s="300">
        <f t="shared" si="4"/>
        <v>608157860</v>
      </c>
      <c r="Q24" s="319">
        <f>'2.구축비_요약'!H10+'2.구축비_요약'!J10</f>
        <v>608157860</v>
      </c>
      <c r="R24" s="319">
        <f>'2.구축비_요약'!K10</f>
        <v>0</v>
      </c>
      <c r="S24" s="319">
        <f>'2.구축비_요약'!L10</f>
        <v>0</v>
      </c>
      <c r="T24" s="319">
        <f>'2.구축비_요약'!M10</f>
        <v>0</v>
      </c>
      <c r="U24" s="319">
        <f>'2.구축비_요약'!N10</f>
        <v>0</v>
      </c>
      <c r="V24" s="319">
        <f>'2.구축비_요약'!O10</f>
        <v>0</v>
      </c>
      <c r="W24" s="319">
        <f>'2.구축비_요약'!P10</f>
        <v>0</v>
      </c>
      <c r="X24" s="319">
        <f>'2.구축비_요약'!Q10</f>
        <v>0</v>
      </c>
      <c r="Y24" s="319">
        <f>'2.구축비_요약'!R10</f>
        <v>0</v>
      </c>
      <c r="Z24" s="319">
        <f>'2.구축비_요약'!S10</f>
        <v>0</v>
      </c>
      <c r="AA24" s="319">
        <f>'2.구축비_요약'!T10</f>
        <v>0</v>
      </c>
    </row>
    <row r="25" spans="1:27" ht="16.2" customHeight="1">
      <c r="B25" s="268" t="s">
        <v>469</v>
      </c>
      <c r="C25" s="268" t="s">
        <v>487</v>
      </c>
      <c r="D25" s="268" t="s">
        <v>270</v>
      </c>
      <c r="E25" s="291"/>
      <c r="F25" s="291" t="s">
        <v>806</v>
      </c>
      <c r="G25" s="291"/>
      <c r="H25" s="291"/>
      <c r="I25" s="291"/>
      <c r="J25" s="291"/>
      <c r="K25" s="300">
        <f t="shared" ref="K25:K38" si="6">P25</f>
        <v>144000000</v>
      </c>
      <c r="L25" s="291"/>
      <c r="M25" s="291"/>
      <c r="N25" s="291"/>
      <c r="P25" s="300">
        <f t="shared" si="4"/>
        <v>144000000</v>
      </c>
      <c r="Q25" s="319">
        <f>'2.구축비_요약'!H16+'2.구축비_요약'!J16</f>
        <v>31500000</v>
      </c>
      <c r="R25" s="319">
        <f>'2.구축비_요약'!K16</f>
        <v>54000000</v>
      </c>
      <c r="S25" s="319">
        <f>'2.구축비_요약'!L16</f>
        <v>54000000</v>
      </c>
      <c r="T25" s="319">
        <f>'2.구축비_요약'!M16</f>
        <v>4500000</v>
      </c>
      <c r="U25" s="319">
        <f>'2.구축비_요약'!N16</f>
        <v>0</v>
      </c>
      <c r="V25" s="319">
        <f>'2.구축비_요약'!O16</f>
        <v>0</v>
      </c>
      <c r="W25" s="319">
        <f>'2.구축비_요약'!P16</f>
        <v>0</v>
      </c>
      <c r="X25" s="319">
        <f>'2.구축비_요약'!Q16</f>
        <v>0</v>
      </c>
      <c r="Y25" s="319">
        <f>'2.구축비_요약'!R16</f>
        <v>0</v>
      </c>
      <c r="Z25" s="319">
        <f>'2.구축비_요약'!S16</f>
        <v>0</v>
      </c>
      <c r="AA25" s="319">
        <f>'2.구축비_요약'!T16</f>
        <v>0</v>
      </c>
    </row>
    <row r="26" spans="1:27" ht="16.2" customHeight="1">
      <c r="B26" s="268" t="s">
        <v>469</v>
      </c>
      <c r="C26" s="268" t="s">
        <v>487</v>
      </c>
      <c r="D26" s="268" t="s">
        <v>271</v>
      </c>
      <c r="E26" s="291"/>
      <c r="F26" s="291" t="s">
        <v>807</v>
      </c>
      <c r="G26" s="291"/>
      <c r="H26" s="291"/>
      <c r="I26" s="291"/>
      <c r="J26" s="291"/>
      <c r="K26" s="300">
        <f t="shared" si="6"/>
        <v>494056200.79999995</v>
      </c>
      <c r="L26" s="291"/>
      <c r="M26" s="291"/>
      <c r="N26" s="291"/>
      <c r="P26" s="300">
        <f t="shared" si="4"/>
        <v>494056200.79999995</v>
      </c>
      <c r="Q26" s="319">
        <f>'2.구축비_요약'!H22+'2.구축비_요약'!J22</f>
        <v>0</v>
      </c>
      <c r="R26" s="319">
        <f>'2.구축비_요약'!K22</f>
        <v>34192000</v>
      </c>
      <c r="S26" s="319">
        <f>'2.구축비_요약'!L22</f>
        <v>54072000</v>
      </c>
      <c r="T26" s="319">
        <f>'2.구축비_요약'!M22</f>
        <v>57970314.400000006</v>
      </c>
      <c r="U26" s="319">
        <f>'2.구축비_요약'!N22</f>
        <v>57970314.400000006</v>
      </c>
      <c r="V26" s="319">
        <f>'2.구축비_요약'!O22</f>
        <v>57970314.400000006</v>
      </c>
      <c r="W26" s="319">
        <f>'2.구축비_요약'!P22</f>
        <v>57970314.400000006</v>
      </c>
      <c r="X26" s="319">
        <f>'2.구축비_요약'!Q22</f>
        <v>57970314.400000006</v>
      </c>
      <c r="Y26" s="319">
        <f>'2.구축비_요약'!R22</f>
        <v>57970314.400000006</v>
      </c>
      <c r="Z26" s="319">
        <f>'2.구축비_요약'!S22</f>
        <v>57970314.400000006</v>
      </c>
      <c r="AA26" s="319">
        <f>'2.구축비_요약'!T22</f>
        <v>0</v>
      </c>
    </row>
    <row r="27" spans="1:27" ht="16.2" customHeight="1">
      <c r="B27" s="268" t="s">
        <v>469</v>
      </c>
      <c r="C27" s="268" t="s">
        <v>636</v>
      </c>
      <c r="D27" s="268" t="s">
        <v>247</v>
      </c>
      <c r="E27" s="291"/>
      <c r="F27" s="291" t="s">
        <v>808</v>
      </c>
      <c r="G27" s="291"/>
      <c r="H27" s="291"/>
      <c r="I27" s="291"/>
      <c r="J27" s="291"/>
      <c r="K27" s="300">
        <f t="shared" si="6"/>
        <v>0</v>
      </c>
      <c r="L27" s="291"/>
      <c r="M27" s="291"/>
      <c r="N27" s="291"/>
      <c r="P27" s="300">
        <f t="shared" si="4"/>
        <v>0</v>
      </c>
      <c r="Q27" s="319">
        <f>'2.구축비_요약'!H33+'2.구축비_요약'!J33</f>
        <v>0</v>
      </c>
      <c r="R27" s="319">
        <f>'2.구축비_요약'!K33</f>
        <v>0</v>
      </c>
      <c r="S27" s="319">
        <f>'2.구축비_요약'!L33</f>
        <v>0</v>
      </c>
      <c r="T27" s="319">
        <f>'2.구축비_요약'!M33</f>
        <v>0</v>
      </c>
      <c r="U27" s="319">
        <f>'2.구축비_요약'!N33</f>
        <v>0</v>
      </c>
      <c r="V27" s="319">
        <f>'2.구축비_요약'!O33</f>
        <v>0</v>
      </c>
      <c r="W27" s="319">
        <f>'2.구축비_요약'!P33</f>
        <v>0</v>
      </c>
      <c r="X27" s="319">
        <f>'2.구축비_요약'!Q33</f>
        <v>0</v>
      </c>
      <c r="Y27" s="319">
        <f>'2.구축비_요약'!R33</f>
        <v>0</v>
      </c>
      <c r="Z27" s="319">
        <f>'2.구축비_요약'!S33</f>
        <v>0</v>
      </c>
      <c r="AA27" s="319">
        <f>'2.구축비_요약'!T33</f>
        <v>0</v>
      </c>
    </row>
    <row r="28" spans="1:27" ht="16.2" customHeight="1">
      <c r="B28" s="268" t="s">
        <v>469</v>
      </c>
      <c r="C28" s="268" t="s">
        <v>636</v>
      </c>
      <c r="D28" s="268" t="s">
        <v>270</v>
      </c>
      <c r="E28" s="291"/>
      <c r="F28" s="291" t="s">
        <v>809</v>
      </c>
      <c r="G28" s="291"/>
      <c r="H28" s="291"/>
      <c r="I28" s="291"/>
      <c r="J28" s="291"/>
      <c r="K28" s="300">
        <f t="shared" si="6"/>
        <v>0</v>
      </c>
      <c r="L28" s="291"/>
      <c r="M28" s="291"/>
      <c r="N28" s="291"/>
      <c r="P28" s="300">
        <f t="shared" si="4"/>
        <v>0</v>
      </c>
      <c r="Q28" s="319">
        <f>'2.구축비_요약'!H39+'2.구축비_요약'!J39</f>
        <v>0</v>
      </c>
      <c r="R28" s="319">
        <f>'2.구축비_요약'!K39</f>
        <v>0</v>
      </c>
      <c r="S28" s="319">
        <f>'2.구축비_요약'!L39</f>
        <v>0</v>
      </c>
      <c r="T28" s="319">
        <f>'2.구축비_요약'!M39</f>
        <v>0</v>
      </c>
      <c r="U28" s="319">
        <f>'2.구축비_요약'!N39</f>
        <v>0</v>
      </c>
      <c r="V28" s="319">
        <f>'2.구축비_요약'!O39</f>
        <v>0</v>
      </c>
      <c r="W28" s="319">
        <f>'2.구축비_요약'!P39</f>
        <v>0</v>
      </c>
      <c r="X28" s="319">
        <f>'2.구축비_요약'!Q39</f>
        <v>0</v>
      </c>
      <c r="Y28" s="319">
        <f>'2.구축비_요약'!R39</f>
        <v>0</v>
      </c>
      <c r="Z28" s="319">
        <f>'2.구축비_요약'!S39</f>
        <v>0</v>
      </c>
      <c r="AA28" s="319">
        <f>'2.구축비_요약'!T39</f>
        <v>0</v>
      </c>
    </row>
    <row r="29" spans="1:27" ht="16.2" customHeight="1">
      <c r="B29" s="268" t="s">
        <v>469</v>
      </c>
      <c r="C29" s="268" t="s">
        <v>636</v>
      </c>
      <c r="D29" s="268" t="s">
        <v>271</v>
      </c>
      <c r="E29" s="291"/>
      <c r="F29" s="291" t="s">
        <v>810</v>
      </c>
      <c r="G29" s="291"/>
      <c r="H29" s="291"/>
      <c r="I29" s="291"/>
      <c r="J29" s="291"/>
      <c r="K29" s="300">
        <f t="shared" si="6"/>
        <v>0</v>
      </c>
      <c r="L29" s="291"/>
      <c r="M29" s="291"/>
      <c r="N29" s="291"/>
      <c r="P29" s="300">
        <f t="shared" si="4"/>
        <v>0</v>
      </c>
      <c r="Q29" s="319">
        <f>'2.구축비_요약'!H45+'2.구축비_요약'!J45</f>
        <v>0</v>
      </c>
      <c r="R29" s="319">
        <f>'2.구축비_요약'!K45</f>
        <v>0</v>
      </c>
      <c r="S29" s="319">
        <f>'2.구축비_요약'!L45</f>
        <v>0</v>
      </c>
      <c r="T29" s="319">
        <f>'2.구축비_요약'!M45</f>
        <v>0</v>
      </c>
      <c r="U29" s="319">
        <f>'2.구축비_요약'!N45</f>
        <v>0</v>
      </c>
      <c r="V29" s="319">
        <f>'2.구축비_요약'!O45</f>
        <v>0</v>
      </c>
      <c r="W29" s="319">
        <f>'2.구축비_요약'!P45</f>
        <v>0</v>
      </c>
      <c r="X29" s="319">
        <f>'2.구축비_요약'!Q45</f>
        <v>0</v>
      </c>
      <c r="Y29" s="319">
        <f>'2.구축비_요약'!R45</f>
        <v>0</v>
      </c>
      <c r="Z29" s="319">
        <f>'2.구축비_요약'!S45</f>
        <v>0</v>
      </c>
      <c r="AA29" s="319">
        <f>'2.구축비_요약'!T45</f>
        <v>0</v>
      </c>
    </row>
    <row r="30" spans="1:27" ht="16.2" customHeight="1">
      <c r="B30" s="268" t="s">
        <v>469</v>
      </c>
      <c r="C30" s="268" t="s">
        <v>1198</v>
      </c>
      <c r="D30" s="268" t="s">
        <v>247</v>
      </c>
      <c r="E30" s="291"/>
      <c r="F30" s="291" t="s">
        <v>811</v>
      </c>
      <c r="G30" s="291"/>
      <c r="H30" s="291"/>
      <c r="I30" s="291"/>
      <c r="J30" s="291"/>
      <c r="K30" s="300">
        <f t="shared" si="6"/>
        <v>0</v>
      </c>
      <c r="L30" s="291"/>
      <c r="M30" s="291"/>
      <c r="N30" s="291"/>
      <c r="P30" s="300">
        <f t="shared" si="4"/>
        <v>0</v>
      </c>
      <c r="Q30" s="319">
        <f>'2.구축비_요약'!H56+'2.구축비_요약'!J56</f>
        <v>0</v>
      </c>
      <c r="R30" s="319">
        <f>'2.구축비_요약'!K56</f>
        <v>0</v>
      </c>
      <c r="S30" s="319">
        <f>'2.구축비_요약'!L56</f>
        <v>0</v>
      </c>
      <c r="T30" s="319">
        <f>'2.구축비_요약'!M56</f>
        <v>0</v>
      </c>
      <c r="U30" s="319">
        <f>'2.구축비_요약'!N56</f>
        <v>0</v>
      </c>
      <c r="V30" s="319">
        <f>'2.구축비_요약'!O56</f>
        <v>0</v>
      </c>
      <c r="W30" s="319">
        <f>'2.구축비_요약'!P56</f>
        <v>0</v>
      </c>
      <c r="X30" s="319">
        <f>'2.구축비_요약'!Q56</f>
        <v>0</v>
      </c>
      <c r="Y30" s="319">
        <f>'2.구축비_요약'!R56</f>
        <v>0</v>
      </c>
      <c r="Z30" s="319">
        <f>'2.구축비_요약'!S56</f>
        <v>0</v>
      </c>
      <c r="AA30" s="319">
        <f>'2.구축비_요약'!T56</f>
        <v>0</v>
      </c>
    </row>
    <row r="31" spans="1:27" ht="16.2" customHeight="1">
      <c r="B31" s="268" t="s">
        <v>469</v>
      </c>
      <c r="C31" s="268" t="s">
        <v>1198</v>
      </c>
      <c r="D31" s="268" t="s">
        <v>270</v>
      </c>
      <c r="E31" s="291"/>
      <c r="F31" s="291" t="s">
        <v>812</v>
      </c>
      <c r="G31" s="291"/>
      <c r="H31" s="291"/>
      <c r="I31" s="291"/>
      <c r="J31" s="291"/>
      <c r="K31" s="300">
        <f t="shared" si="6"/>
        <v>0</v>
      </c>
      <c r="L31" s="291"/>
      <c r="M31" s="291"/>
      <c r="N31" s="291"/>
      <c r="P31" s="300">
        <f t="shared" si="4"/>
        <v>0</v>
      </c>
      <c r="Q31" s="319">
        <f>'2.구축비_요약'!H62+'2.구축비_요약'!J62</f>
        <v>0</v>
      </c>
      <c r="R31" s="319">
        <f>'2.구축비_요약'!K62</f>
        <v>0</v>
      </c>
      <c r="S31" s="319">
        <f>'2.구축비_요약'!L62</f>
        <v>0</v>
      </c>
      <c r="T31" s="319">
        <f>'2.구축비_요약'!M62</f>
        <v>0</v>
      </c>
      <c r="U31" s="319">
        <f>'2.구축비_요약'!N62</f>
        <v>0</v>
      </c>
      <c r="V31" s="319">
        <f>'2.구축비_요약'!O62</f>
        <v>0</v>
      </c>
      <c r="W31" s="319">
        <f>'2.구축비_요약'!P62</f>
        <v>0</v>
      </c>
      <c r="X31" s="319">
        <f>'2.구축비_요약'!Q62</f>
        <v>0</v>
      </c>
      <c r="Y31" s="319">
        <f>'2.구축비_요약'!R62</f>
        <v>0</v>
      </c>
      <c r="Z31" s="319">
        <f>'2.구축비_요약'!S62</f>
        <v>0</v>
      </c>
      <c r="AA31" s="319">
        <f>'2.구축비_요약'!T62</f>
        <v>0</v>
      </c>
    </row>
    <row r="32" spans="1:27" ht="16.2" customHeight="1">
      <c r="B32" s="268" t="s">
        <v>469</v>
      </c>
      <c r="C32" s="268" t="s">
        <v>1198</v>
      </c>
      <c r="D32" s="268" t="s">
        <v>271</v>
      </c>
      <c r="E32" s="291"/>
      <c r="F32" s="291" t="s">
        <v>813</v>
      </c>
      <c r="G32" s="291"/>
      <c r="H32" s="291"/>
      <c r="I32" s="291"/>
      <c r="J32" s="291"/>
      <c r="K32" s="300">
        <f t="shared" si="6"/>
        <v>0</v>
      </c>
      <c r="L32" s="291"/>
      <c r="M32" s="291"/>
      <c r="N32" s="291"/>
      <c r="P32" s="300">
        <f t="shared" si="4"/>
        <v>0</v>
      </c>
      <c r="Q32" s="319">
        <f>'2.구축비_요약'!H68+'2.구축비_요약'!J68</f>
        <v>0</v>
      </c>
      <c r="R32" s="319">
        <f>'2.구축비_요약'!K68</f>
        <v>0</v>
      </c>
      <c r="S32" s="319">
        <f>'2.구축비_요약'!L68</f>
        <v>0</v>
      </c>
      <c r="T32" s="319">
        <f>'2.구축비_요약'!M68</f>
        <v>0</v>
      </c>
      <c r="U32" s="319">
        <f>'2.구축비_요약'!N68</f>
        <v>0</v>
      </c>
      <c r="V32" s="319">
        <f>'2.구축비_요약'!O68</f>
        <v>0</v>
      </c>
      <c r="W32" s="319">
        <f>'2.구축비_요약'!P68</f>
        <v>0</v>
      </c>
      <c r="X32" s="319">
        <f>'2.구축비_요약'!Q68</f>
        <v>0</v>
      </c>
      <c r="Y32" s="319">
        <f>'2.구축비_요약'!R68</f>
        <v>0</v>
      </c>
      <c r="Z32" s="319">
        <f>'2.구축비_요약'!S68</f>
        <v>0</v>
      </c>
      <c r="AA32" s="319">
        <f>'2.구축비_요약'!T68</f>
        <v>0</v>
      </c>
    </row>
    <row r="33" spans="2:27" ht="16.2" customHeight="1">
      <c r="B33" s="268" t="s">
        <v>469</v>
      </c>
      <c r="C33" s="268" t="s">
        <v>673</v>
      </c>
      <c r="D33" s="268" t="s">
        <v>247</v>
      </c>
      <c r="E33" s="291"/>
      <c r="F33" s="291" t="s">
        <v>814</v>
      </c>
      <c r="G33" s="291"/>
      <c r="H33" s="291"/>
      <c r="I33" s="291"/>
      <c r="J33" s="291"/>
      <c r="K33" s="300">
        <f t="shared" si="6"/>
        <v>0</v>
      </c>
      <c r="L33" s="291"/>
      <c r="M33" s="291"/>
      <c r="N33" s="291"/>
      <c r="P33" s="300">
        <f t="shared" si="4"/>
        <v>0</v>
      </c>
      <c r="Q33" s="319">
        <f>'2.구축비_요약'!H79+'2.구축비_요약'!J79</f>
        <v>0</v>
      </c>
      <c r="R33" s="319">
        <f>'2.구축비_요약'!K79</f>
        <v>0</v>
      </c>
      <c r="S33" s="319">
        <f>'2.구축비_요약'!L79</f>
        <v>0</v>
      </c>
      <c r="T33" s="319">
        <f>'2.구축비_요약'!M79</f>
        <v>0</v>
      </c>
      <c r="U33" s="319">
        <f>'2.구축비_요약'!N79</f>
        <v>0</v>
      </c>
      <c r="V33" s="319">
        <f>'2.구축비_요약'!O79</f>
        <v>0</v>
      </c>
      <c r="W33" s="319">
        <f>'2.구축비_요약'!P79</f>
        <v>0</v>
      </c>
      <c r="X33" s="319">
        <f>'2.구축비_요약'!Q79</f>
        <v>0</v>
      </c>
      <c r="Y33" s="319">
        <f>'2.구축비_요약'!R79</f>
        <v>0</v>
      </c>
      <c r="Z33" s="319">
        <f>'2.구축비_요약'!S79</f>
        <v>0</v>
      </c>
      <c r="AA33" s="319">
        <f>'2.구축비_요약'!T79</f>
        <v>0</v>
      </c>
    </row>
    <row r="34" spans="2:27" ht="16.2" customHeight="1">
      <c r="B34" s="268" t="s">
        <v>469</v>
      </c>
      <c r="C34" s="268" t="s">
        <v>673</v>
      </c>
      <c r="D34" s="268" t="s">
        <v>270</v>
      </c>
      <c r="E34" s="291"/>
      <c r="F34" s="291" t="s">
        <v>815</v>
      </c>
      <c r="G34" s="291"/>
      <c r="H34" s="291"/>
      <c r="I34" s="291"/>
      <c r="J34" s="291"/>
      <c r="K34" s="300">
        <f t="shared" si="6"/>
        <v>0</v>
      </c>
      <c r="L34" s="291"/>
      <c r="M34" s="291"/>
      <c r="N34" s="291"/>
      <c r="P34" s="300">
        <f t="shared" si="4"/>
        <v>0</v>
      </c>
      <c r="Q34" s="319">
        <f>'2.구축비_요약'!H85+'2.구축비_요약'!J85</f>
        <v>0</v>
      </c>
      <c r="R34" s="319">
        <f>'2.구축비_요약'!K85</f>
        <v>0</v>
      </c>
      <c r="S34" s="319">
        <f>'2.구축비_요약'!L85</f>
        <v>0</v>
      </c>
      <c r="T34" s="319">
        <f>'2.구축비_요약'!M85</f>
        <v>0</v>
      </c>
      <c r="U34" s="319">
        <f>'2.구축비_요약'!N85</f>
        <v>0</v>
      </c>
      <c r="V34" s="319">
        <f>'2.구축비_요약'!O85</f>
        <v>0</v>
      </c>
      <c r="W34" s="319">
        <f>'2.구축비_요약'!P85</f>
        <v>0</v>
      </c>
      <c r="X34" s="319">
        <f>'2.구축비_요약'!Q85</f>
        <v>0</v>
      </c>
      <c r="Y34" s="319">
        <f>'2.구축비_요약'!R85</f>
        <v>0</v>
      </c>
      <c r="Z34" s="319">
        <f>'2.구축비_요약'!S85</f>
        <v>0</v>
      </c>
      <c r="AA34" s="319">
        <f>'2.구축비_요약'!T85</f>
        <v>0</v>
      </c>
    </row>
    <row r="35" spans="2:27" ht="16.2" customHeight="1">
      <c r="B35" s="268" t="s">
        <v>469</v>
      </c>
      <c r="C35" s="268" t="s">
        <v>673</v>
      </c>
      <c r="D35" s="268" t="s">
        <v>271</v>
      </c>
      <c r="E35" s="291"/>
      <c r="F35" s="291" t="s">
        <v>816</v>
      </c>
      <c r="G35" s="291"/>
      <c r="H35" s="291"/>
      <c r="I35" s="291"/>
      <c r="J35" s="291"/>
      <c r="K35" s="300">
        <f t="shared" si="6"/>
        <v>0</v>
      </c>
      <c r="L35" s="291"/>
      <c r="M35" s="291"/>
      <c r="N35" s="291"/>
      <c r="P35" s="300">
        <f t="shared" si="4"/>
        <v>0</v>
      </c>
      <c r="Q35" s="319">
        <f>'2.구축비_요약'!H91+'2.구축비_요약'!J91</f>
        <v>0</v>
      </c>
      <c r="R35" s="319">
        <f>'2.구축비_요약'!K91</f>
        <v>0</v>
      </c>
      <c r="S35" s="319">
        <f>'2.구축비_요약'!L91</f>
        <v>0</v>
      </c>
      <c r="T35" s="319">
        <f>'2.구축비_요약'!M91</f>
        <v>0</v>
      </c>
      <c r="U35" s="319">
        <f>'2.구축비_요약'!N91</f>
        <v>0</v>
      </c>
      <c r="V35" s="319">
        <f>'2.구축비_요약'!O91</f>
        <v>0</v>
      </c>
      <c r="W35" s="319">
        <f>'2.구축비_요약'!P91</f>
        <v>0</v>
      </c>
      <c r="X35" s="319">
        <f>'2.구축비_요약'!Q91</f>
        <v>0</v>
      </c>
      <c r="Y35" s="319">
        <f>'2.구축비_요약'!R91</f>
        <v>0</v>
      </c>
      <c r="Z35" s="319">
        <f>'2.구축비_요약'!S91</f>
        <v>0</v>
      </c>
      <c r="AA35" s="319">
        <f>'2.구축비_요약'!T91</f>
        <v>0</v>
      </c>
    </row>
    <row r="36" spans="2:27" ht="16.2" customHeight="1">
      <c r="B36" s="335" t="s">
        <v>469</v>
      </c>
      <c r="C36" s="335" t="s">
        <v>800</v>
      </c>
      <c r="D36" s="335" t="s">
        <v>247</v>
      </c>
      <c r="E36" s="293"/>
      <c r="F36" s="293" t="s">
        <v>817</v>
      </c>
      <c r="G36" s="293"/>
      <c r="H36" s="291"/>
      <c r="I36" s="291"/>
      <c r="J36" s="291"/>
      <c r="K36" s="300">
        <f t="shared" si="6"/>
        <v>0</v>
      </c>
      <c r="L36" s="291"/>
      <c r="M36" s="291"/>
      <c r="N36" s="291"/>
      <c r="P36" s="300">
        <f t="shared" si="4"/>
        <v>0</v>
      </c>
      <c r="Q36" s="319">
        <f>'2.구축비_요약'!H102+'2.구축비_요약'!J102</f>
        <v>0</v>
      </c>
      <c r="R36" s="319">
        <f>'2.구축비_요약'!K102</f>
        <v>0</v>
      </c>
      <c r="S36" s="319">
        <f>'2.구축비_요약'!L102</f>
        <v>0</v>
      </c>
      <c r="T36" s="319">
        <f>'2.구축비_요약'!M102</f>
        <v>0</v>
      </c>
      <c r="U36" s="319">
        <f>'2.구축비_요약'!N102</f>
        <v>0</v>
      </c>
      <c r="V36" s="319">
        <f>'2.구축비_요약'!O102</f>
        <v>0</v>
      </c>
      <c r="W36" s="319">
        <f>'2.구축비_요약'!P102</f>
        <v>0</v>
      </c>
      <c r="X36" s="319">
        <f>'2.구축비_요약'!Q102</f>
        <v>0</v>
      </c>
      <c r="Y36" s="319">
        <f>'2.구축비_요약'!R102</f>
        <v>0</v>
      </c>
      <c r="Z36" s="319">
        <f>'2.구축비_요약'!S102</f>
        <v>0</v>
      </c>
      <c r="AA36" s="319">
        <f>'2.구축비_요약'!T102</f>
        <v>0</v>
      </c>
    </row>
    <row r="37" spans="2:27" ht="16.2" customHeight="1">
      <c r="B37" s="268" t="s">
        <v>469</v>
      </c>
      <c r="C37" s="335" t="s">
        <v>800</v>
      </c>
      <c r="D37" s="335" t="s">
        <v>270</v>
      </c>
      <c r="E37" s="293"/>
      <c r="F37" s="293" t="s">
        <v>818</v>
      </c>
      <c r="G37" s="519"/>
      <c r="H37" s="291"/>
      <c r="I37" s="291"/>
      <c r="J37" s="291"/>
      <c r="K37" s="300">
        <f t="shared" si="6"/>
        <v>0</v>
      </c>
      <c r="L37" s="291"/>
      <c r="M37" s="291"/>
      <c r="N37" s="291"/>
      <c r="P37" s="300">
        <f t="shared" si="4"/>
        <v>0</v>
      </c>
      <c r="Q37" s="319">
        <f>'2.구축비_요약'!H108+'2.구축비_요약'!J108</f>
        <v>0</v>
      </c>
      <c r="R37" s="319">
        <f>'2.구축비_요약'!K108</f>
        <v>0</v>
      </c>
      <c r="S37" s="319">
        <f>'2.구축비_요약'!L108</f>
        <v>0</v>
      </c>
      <c r="T37" s="319">
        <f>'2.구축비_요약'!M108</f>
        <v>0</v>
      </c>
      <c r="U37" s="319">
        <f>'2.구축비_요약'!N108</f>
        <v>0</v>
      </c>
      <c r="V37" s="319">
        <f>'2.구축비_요약'!O108</f>
        <v>0</v>
      </c>
      <c r="W37" s="319">
        <f>'2.구축비_요약'!P108</f>
        <v>0</v>
      </c>
      <c r="X37" s="319">
        <f>'2.구축비_요약'!Q108</f>
        <v>0</v>
      </c>
      <c r="Y37" s="319">
        <f>'2.구축비_요약'!R108</f>
        <v>0</v>
      </c>
      <c r="Z37" s="319">
        <f>'2.구축비_요약'!S108</f>
        <v>0</v>
      </c>
      <c r="AA37" s="319">
        <f>'2.구축비_요약'!T108</f>
        <v>0</v>
      </c>
    </row>
    <row r="38" spans="2:27" ht="16.2" customHeight="1">
      <c r="B38" s="268" t="s">
        <v>469</v>
      </c>
      <c r="C38" s="268" t="s">
        <v>800</v>
      </c>
      <c r="D38" s="268" t="s">
        <v>271</v>
      </c>
      <c r="E38" s="291"/>
      <c r="F38" s="291" t="s">
        <v>819</v>
      </c>
      <c r="G38" s="291"/>
      <c r="H38" s="291"/>
      <c r="I38" s="291"/>
      <c r="J38" s="291"/>
      <c r="K38" s="300">
        <f t="shared" si="6"/>
        <v>0</v>
      </c>
      <c r="L38" s="291"/>
      <c r="M38" s="291"/>
      <c r="N38" s="291"/>
      <c r="P38" s="300">
        <f t="shared" si="4"/>
        <v>0</v>
      </c>
      <c r="Q38" s="319">
        <f>'2.구축비_요약'!H114+'2.구축비_요약'!J114</f>
        <v>0</v>
      </c>
      <c r="R38" s="319">
        <f>'2.구축비_요약'!K114</f>
        <v>0</v>
      </c>
      <c r="S38" s="319">
        <f>'2.구축비_요약'!L114</f>
        <v>0</v>
      </c>
      <c r="T38" s="319">
        <f>'2.구축비_요약'!M114</f>
        <v>0</v>
      </c>
      <c r="U38" s="319">
        <f>'2.구축비_요약'!N114</f>
        <v>0</v>
      </c>
      <c r="V38" s="319">
        <f>'2.구축비_요약'!O114</f>
        <v>0</v>
      </c>
      <c r="W38" s="319">
        <f>'2.구축비_요약'!P114</f>
        <v>0</v>
      </c>
      <c r="X38" s="319">
        <f>'2.구축비_요약'!Q114</f>
        <v>0</v>
      </c>
      <c r="Y38" s="319">
        <f>'2.구축비_요약'!R114</f>
        <v>0</v>
      </c>
      <c r="Z38" s="319">
        <f>'2.구축비_요약'!S114</f>
        <v>0</v>
      </c>
      <c r="AA38" s="319">
        <f>'2.구축비_요약'!T114</f>
        <v>0</v>
      </c>
    </row>
    <row r="39" spans="2:27" ht="16.2" customHeight="1">
      <c r="B39" s="334"/>
      <c r="C39" s="334"/>
      <c r="D39" s="334"/>
      <c r="E39" s="330"/>
      <c r="F39" s="330"/>
      <c r="G39" s="330"/>
      <c r="H39" s="330"/>
      <c r="I39" s="330"/>
      <c r="J39" s="330"/>
      <c r="K39" s="344">
        <f>SUM(K24:K38)</f>
        <v>1246214060.8</v>
      </c>
      <c r="L39" s="330"/>
      <c r="M39" s="330"/>
      <c r="N39" s="330"/>
      <c r="P39" s="344">
        <f>SUM(P24:P38)</f>
        <v>1246214060.8</v>
      </c>
      <c r="Q39" s="331">
        <f t="shared" ref="Q39:AA39" si="7">SUM(Q24:Q38)</f>
        <v>639657860</v>
      </c>
      <c r="R39" s="331">
        <f t="shared" si="7"/>
        <v>88192000</v>
      </c>
      <c r="S39" s="331">
        <f t="shared" si="7"/>
        <v>108072000</v>
      </c>
      <c r="T39" s="331">
        <f t="shared" si="7"/>
        <v>62470314.400000006</v>
      </c>
      <c r="U39" s="331">
        <f t="shared" si="7"/>
        <v>57970314.400000006</v>
      </c>
      <c r="V39" s="331">
        <f t="shared" si="7"/>
        <v>57970314.400000006</v>
      </c>
      <c r="W39" s="331">
        <f t="shared" si="7"/>
        <v>57970314.400000006</v>
      </c>
      <c r="X39" s="331">
        <f t="shared" si="7"/>
        <v>57970314.400000006</v>
      </c>
      <c r="Y39" s="331">
        <f t="shared" si="7"/>
        <v>57970314.400000006</v>
      </c>
      <c r="Z39" s="331">
        <f t="shared" si="7"/>
        <v>57970314.400000006</v>
      </c>
      <c r="AA39" s="331">
        <f t="shared" si="7"/>
        <v>0</v>
      </c>
    </row>
    <row r="40" spans="2:27" ht="16.2" customHeight="1">
      <c r="B40" s="268" t="s">
        <v>246</v>
      </c>
      <c r="C40" s="268" t="s">
        <v>820</v>
      </c>
      <c r="D40" s="268" t="s">
        <v>248</v>
      </c>
      <c r="E40" s="301"/>
      <c r="F40" s="301" t="s">
        <v>827</v>
      </c>
      <c r="G40" s="291"/>
      <c r="H40" s="291"/>
      <c r="I40" s="291"/>
      <c r="J40" s="291"/>
      <c r="K40" s="300">
        <f>P40</f>
        <v>2227825486.9998937</v>
      </c>
      <c r="L40" s="291"/>
      <c r="M40" s="291"/>
      <c r="N40" s="291"/>
      <c r="P40" s="300">
        <f t="shared" si="4"/>
        <v>2227825486.9998937</v>
      </c>
      <c r="Q40" s="319">
        <f>'3.수행비_요약'!H5</f>
        <v>613642973.69998944</v>
      </c>
      <c r="R40" s="319">
        <f>'3.수행비_요약'!I5</f>
        <v>137464723.69998941</v>
      </c>
      <c r="S40" s="319">
        <f>'3.수행비_요약'!J5</f>
        <v>129464723.69998938</v>
      </c>
      <c r="T40" s="319">
        <f>'3.수행비_요약'!K5</f>
        <v>192464723.69998938</v>
      </c>
      <c r="U40" s="319">
        <f>'3.수행비_요약'!L5</f>
        <v>192464723.69998938</v>
      </c>
      <c r="V40" s="319">
        <f>'3.수행비_요약'!M5</f>
        <v>192464723.69998938</v>
      </c>
      <c r="W40" s="319">
        <f>'3.수행비_요약'!N5</f>
        <v>192464723.69998938</v>
      </c>
      <c r="X40" s="319">
        <f>'3.수행비_요약'!O5</f>
        <v>192464723.69998938</v>
      </c>
      <c r="Y40" s="319">
        <f>'3.수행비_요약'!P5</f>
        <v>192464723.69998938</v>
      </c>
      <c r="Z40" s="319">
        <f>'3.수행비_요약'!Q5</f>
        <v>192464723.69998938</v>
      </c>
      <c r="AA40" s="319">
        <f>'3.수행비_요약'!R5</f>
        <v>0</v>
      </c>
    </row>
    <row r="41" spans="2:27" ht="16.2" customHeight="1">
      <c r="B41" s="335" t="s">
        <v>246</v>
      </c>
      <c r="C41" s="335" t="s">
        <v>820</v>
      </c>
      <c r="D41" s="335" t="s">
        <v>257</v>
      </c>
      <c r="E41" s="520"/>
      <c r="F41" s="520" t="s">
        <v>828</v>
      </c>
      <c r="G41" s="293"/>
      <c r="H41" s="293"/>
      <c r="I41" s="293"/>
      <c r="J41" s="293"/>
      <c r="K41" s="521">
        <f t="shared" ref="K41:K50" si="8">P41</f>
        <v>0</v>
      </c>
      <c r="L41" s="291"/>
      <c r="M41" s="291"/>
      <c r="N41" s="291"/>
      <c r="P41" s="300">
        <f t="shared" si="4"/>
        <v>0</v>
      </c>
      <c r="Q41" s="319">
        <f>'3.수행비_요약'!H6</f>
        <v>0</v>
      </c>
      <c r="R41" s="319">
        <f>'3.수행비_요약'!I6</f>
        <v>0</v>
      </c>
      <c r="S41" s="319">
        <f>'3.수행비_요약'!J6</f>
        <v>0</v>
      </c>
      <c r="T41" s="319">
        <f>'3.수행비_요약'!K6</f>
        <v>0</v>
      </c>
      <c r="U41" s="319">
        <f>'3.수행비_요약'!L6</f>
        <v>0</v>
      </c>
      <c r="V41" s="319">
        <f>'3.수행비_요약'!M6</f>
        <v>0</v>
      </c>
      <c r="W41" s="319">
        <f>'3.수행비_요약'!N6</f>
        <v>0</v>
      </c>
      <c r="X41" s="319">
        <f>'3.수행비_요약'!O6</f>
        <v>0</v>
      </c>
      <c r="Y41" s="319">
        <f>'3.수행비_요약'!P6</f>
        <v>0</v>
      </c>
      <c r="Z41" s="319">
        <f>'3.수행비_요약'!Q6</f>
        <v>0</v>
      </c>
      <c r="AA41" s="319">
        <f>'3.수행비_요약'!R6</f>
        <v>0</v>
      </c>
    </row>
    <row r="42" spans="2:27" ht="16.2" customHeight="1">
      <c r="B42" s="268" t="s">
        <v>246</v>
      </c>
      <c r="C42" s="268" t="s">
        <v>820</v>
      </c>
      <c r="D42" s="268" t="s">
        <v>825</v>
      </c>
      <c r="E42" s="301"/>
      <c r="F42" s="301" t="s">
        <v>829</v>
      </c>
      <c r="G42" s="291"/>
      <c r="H42" s="291"/>
      <c r="I42" s="291"/>
      <c r="J42" s="291"/>
      <c r="K42" s="300">
        <f t="shared" si="8"/>
        <v>0</v>
      </c>
      <c r="L42" s="291"/>
      <c r="M42" s="291"/>
      <c r="N42" s="291"/>
      <c r="P42" s="300">
        <f t="shared" si="4"/>
        <v>0</v>
      </c>
      <c r="Q42" s="319">
        <f>'3.수행비_요약'!H7</f>
        <v>0</v>
      </c>
      <c r="R42" s="319">
        <f>'3.수행비_요약'!I7</f>
        <v>0</v>
      </c>
      <c r="S42" s="319">
        <f>'3.수행비_요약'!J7</f>
        <v>0</v>
      </c>
      <c r="T42" s="319">
        <f>'3.수행비_요약'!K7</f>
        <v>0</v>
      </c>
      <c r="U42" s="319">
        <f>'3.수행비_요약'!L7</f>
        <v>0</v>
      </c>
      <c r="V42" s="319">
        <f>'3.수행비_요약'!M7</f>
        <v>0</v>
      </c>
      <c r="W42" s="319">
        <f>'3.수행비_요약'!N7</f>
        <v>0</v>
      </c>
      <c r="X42" s="319">
        <f>'3.수행비_요약'!O7</f>
        <v>0</v>
      </c>
      <c r="Y42" s="319">
        <f>'3.수행비_요약'!P7</f>
        <v>0</v>
      </c>
      <c r="Z42" s="319">
        <f>'3.수행비_요약'!Q7</f>
        <v>0</v>
      </c>
      <c r="AA42" s="300">
        <f t="shared" ref="AA42:AA50" si="9">SUM(AB42:AL42)</f>
        <v>0</v>
      </c>
    </row>
    <row r="43" spans="2:27" ht="16.2" customHeight="1">
      <c r="B43" s="268" t="s">
        <v>246</v>
      </c>
      <c r="C43" s="268" t="s">
        <v>335</v>
      </c>
      <c r="D43" s="268">
        <v>0</v>
      </c>
      <c r="E43" s="301"/>
      <c r="F43" s="301" t="s">
        <v>830</v>
      </c>
      <c r="G43" s="291"/>
      <c r="H43" s="291"/>
      <c r="I43" s="291"/>
      <c r="J43" s="291"/>
      <c r="K43" s="300">
        <f t="shared" si="8"/>
        <v>0</v>
      </c>
      <c r="L43" s="291"/>
      <c r="M43" s="291"/>
      <c r="N43" s="291"/>
      <c r="P43" s="300">
        <f t="shared" si="4"/>
        <v>0</v>
      </c>
      <c r="Q43" s="319">
        <f>'3.수행비_요약'!H8</f>
        <v>0</v>
      </c>
      <c r="R43" s="319">
        <f>'3.수행비_요약'!I8</f>
        <v>0</v>
      </c>
      <c r="S43" s="319">
        <f>'3.수행비_요약'!J8</f>
        <v>0</v>
      </c>
      <c r="T43" s="319">
        <f>'3.수행비_요약'!K8</f>
        <v>0</v>
      </c>
      <c r="U43" s="319">
        <f>'3.수행비_요약'!L8</f>
        <v>0</v>
      </c>
      <c r="V43" s="319">
        <f>'3.수행비_요약'!M8</f>
        <v>0</v>
      </c>
      <c r="W43" s="319">
        <f>'3.수행비_요약'!N8</f>
        <v>0</v>
      </c>
      <c r="X43" s="319">
        <f>'3.수행비_요약'!O8</f>
        <v>0</v>
      </c>
      <c r="Y43" s="319">
        <f>'3.수행비_요약'!P8</f>
        <v>0</v>
      </c>
      <c r="Z43" s="319">
        <f>'3.수행비_요약'!Q8</f>
        <v>0</v>
      </c>
      <c r="AA43" s="300">
        <f t="shared" si="9"/>
        <v>0</v>
      </c>
    </row>
    <row r="44" spans="2:27" ht="16.2" customHeight="1">
      <c r="B44" s="268" t="s">
        <v>246</v>
      </c>
      <c r="C44" s="268" t="s">
        <v>336</v>
      </c>
      <c r="D44" s="268">
        <v>0</v>
      </c>
      <c r="E44" s="302"/>
      <c r="F44" s="301" t="s">
        <v>831</v>
      </c>
      <c r="G44" s="291"/>
      <c r="H44" s="291"/>
      <c r="I44" s="291"/>
      <c r="J44" s="291"/>
      <c r="K44" s="300">
        <f t="shared" si="8"/>
        <v>0</v>
      </c>
      <c r="L44" s="291"/>
      <c r="M44" s="291"/>
      <c r="N44" s="291"/>
      <c r="P44" s="300">
        <f t="shared" si="4"/>
        <v>0</v>
      </c>
      <c r="Q44" s="319">
        <f>'3.수행비_요약'!H9</f>
        <v>0</v>
      </c>
      <c r="R44" s="319">
        <f>'3.수행비_요약'!I9</f>
        <v>0</v>
      </c>
      <c r="S44" s="319">
        <f>'3.수행비_요약'!J9</f>
        <v>0</v>
      </c>
      <c r="T44" s="319">
        <f>'3.수행비_요약'!K9</f>
        <v>0</v>
      </c>
      <c r="U44" s="319">
        <f>'3.수행비_요약'!L9</f>
        <v>0</v>
      </c>
      <c r="V44" s="319">
        <f>'3.수행비_요약'!M9</f>
        <v>0</v>
      </c>
      <c r="W44" s="319">
        <f>'3.수행비_요약'!N9</f>
        <v>0</v>
      </c>
      <c r="X44" s="319">
        <f>'3.수행비_요약'!O9</f>
        <v>0</v>
      </c>
      <c r="Y44" s="319">
        <f>'3.수행비_요약'!P9</f>
        <v>0</v>
      </c>
      <c r="Z44" s="319">
        <f>'3.수행비_요약'!Q9</f>
        <v>0</v>
      </c>
      <c r="AA44" s="300">
        <f t="shared" si="9"/>
        <v>0</v>
      </c>
    </row>
    <row r="45" spans="2:27" ht="16.2" customHeight="1">
      <c r="B45" s="268" t="s">
        <v>246</v>
      </c>
      <c r="C45" s="268" t="s">
        <v>822</v>
      </c>
      <c r="D45" s="268" t="s">
        <v>823</v>
      </c>
      <c r="E45" s="302"/>
      <c r="F45" s="301" t="s">
        <v>832</v>
      </c>
      <c r="G45" s="291"/>
      <c r="H45" s="291"/>
      <c r="I45" s="291"/>
      <c r="J45" s="291"/>
      <c r="K45" s="300">
        <f t="shared" si="8"/>
        <v>0</v>
      </c>
      <c r="L45" s="291"/>
      <c r="M45" s="291"/>
      <c r="N45" s="291"/>
      <c r="P45" s="300">
        <f t="shared" si="4"/>
        <v>0</v>
      </c>
      <c r="Q45" s="319">
        <f>'3.수행비_요약'!H10</f>
        <v>0</v>
      </c>
      <c r="R45" s="319">
        <f>'3.수행비_요약'!I10</f>
        <v>0</v>
      </c>
      <c r="S45" s="319">
        <f>'3.수행비_요약'!J10</f>
        <v>0</v>
      </c>
      <c r="T45" s="319">
        <f>'3.수행비_요약'!K10</f>
        <v>0</v>
      </c>
      <c r="U45" s="319">
        <f>'3.수행비_요약'!L10</f>
        <v>0</v>
      </c>
      <c r="V45" s="319">
        <f>'3.수행비_요약'!M10</f>
        <v>0</v>
      </c>
      <c r="W45" s="319">
        <f>'3.수행비_요약'!N10</f>
        <v>0</v>
      </c>
      <c r="X45" s="319">
        <f>'3.수행비_요약'!O10</f>
        <v>0</v>
      </c>
      <c r="Y45" s="319">
        <f>'3.수행비_요약'!P10</f>
        <v>0</v>
      </c>
      <c r="Z45" s="319">
        <f>'3.수행비_요약'!Q10</f>
        <v>0</v>
      </c>
      <c r="AA45" s="300">
        <f t="shared" si="9"/>
        <v>0</v>
      </c>
    </row>
    <row r="46" spans="2:27" ht="16.2" customHeight="1">
      <c r="B46" s="268" t="s">
        <v>246</v>
      </c>
      <c r="C46" s="268" t="s">
        <v>822</v>
      </c>
      <c r="D46" s="268" t="s">
        <v>14</v>
      </c>
      <c r="E46" s="302"/>
      <c r="F46" s="301" t="s">
        <v>833</v>
      </c>
      <c r="G46" s="291"/>
      <c r="H46" s="291"/>
      <c r="I46" s="291"/>
      <c r="J46" s="291"/>
      <c r="K46" s="300">
        <f t="shared" si="8"/>
        <v>0</v>
      </c>
      <c r="L46" s="291"/>
      <c r="M46" s="291"/>
      <c r="N46" s="291"/>
      <c r="P46" s="300">
        <f t="shared" si="4"/>
        <v>0</v>
      </c>
      <c r="Q46" s="319">
        <f>'3.수행비_요약'!H11</f>
        <v>0</v>
      </c>
      <c r="R46" s="319">
        <f>'3.수행비_요약'!I11</f>
        <v>0</v>
      </c>
      <c r="S46" s="319">
        <f>'3.수행비_요약'!J11</f>
        <v>0</v>
      </c>
      <c r="T46" s="319">
        <f>'3.수행비_요약'!K11</f>
        <v>0</v>
      </c>
      <c r="U46" s="319">
        <f>'3.수행비_요약'!L11</f>
        <v>0</v>
      </c>
      <c r="V46" s="319">
        <f>'3.수행비_요약'!M11</f>
        <v>0</v>
      </c>
      <c r="W46" s="319">
        <f>'3.수행비_요약'!N11</f>
        <v>0</v>
      </c>
      <c r="X46" s="319">
        <f>'3.수행비_요약'!O11</f>
        <v>0</v>
      </c>
      <c r="Y46" s="319">
        <f>'3.수행비_요약'!P11</f>
        <v>0</v>
      </c>
      <c r="Z46" s="319">
        <f>'3.수행비_요약'!Q11</f>
        <v>0</v>
      </c>
      <c r="AA46" s="300">
        <f t="shared" si="9"/>
        <v>0</v>
      </c>
    </row>
    <row r="47" spans="2:27" ht="16.2" customHeight="1">
      <c r="B47" s="268" t="s">
        <v>246</v>
      </c>
      <c r="C47" s="268" t="s">
        <v>822</v>
      </c>
      <c r="D47" s="268" t="s">
        <v>152</v>
      </c>
      <c r="E47" s="301"/>
      <c r="F47" s="301" t="s">
        <v>834</v>
      </c>
      <c r="G47" s="291"/>
      <c r="H47" s="291"/>
      <c r="I47" s="291"/>
      <c r="J47" s="291"/>
      <c r="K47" s="300">
        <f t="shared" si="8"/>
        <v>0</v>
      </c>
      <c r="L47" s="291"/>
      <c r="M47" s="291"/>
      <c r="N47" s="291"/>
      <c r="P47" s="300">
        <f t="shared" si="4"/>
        <v>0</v>
      </c>
      <c r="Q47" s="319">
        <f>'3.수행비_요약'!H12</f>
        <v>0</v>
      </c>
      <c r="R47" s="319">
        <f>'3.수행비_요약'!I12</f>
        <v>0</v>
      </c>
      <c r="S47" s="319">
        <f>'3.수행비_요약'!J12</f>
        <v>0</v>
      </c>
      <c r="T47" s="319">
        <f>'3.수행비_요약'!K12</f>
        <v>0</v>
      </c>
      <c r="U47" s="319">
        <f>'3.수행비_요약'!L12</f>
        <v>0</v>
      </c>
      <c r="V47" s="319">
        <f>'3.수행비_요약'!M12</f>
        <v>0</v>
      </c>
      <c r="W47" s="319">
        <f>'3.수행비_요약'!N12</f>
        <v>0</v>
      </c>
      <c r="X47" s="319">
        <f>'3.수행비_요약'!O12</f>
        <v>0</v>
      </c>
      <c r="Y47" s="319">
        <f>'3.수행비_요약'!P12</f>
        <v>0</v>
      </c>
      <c r="Z47" s="319">
        <f>'3.수행비_요약'!Q12</f>
        <v>0</v>
      </c>
      <c r="AA47" s="300">
        <f t="shared" si="9"/>
        <v>0</v>
      </c>
    </row>
    <row r="48" spans="2:27" ht="16.2" customHeight="1">
      <c r="B48" s="268" t="s">
        <v>246</v>
      </c>
      <c r="C48" s="268" t="s">
        <v>338</v>
      </c>
      <c r="D48" s="268">
        <v>0</v>
      </c>
      <c r="E48" s="301"/>
      <c r="F48" s="301" t="s">
        <v>835</v>
      </c>
      <c r="G48" s="291"/>
      <c r="H48" s="291"/>
      <c r="I48" s="291"/>
      <c r="J48" s="291"/>
      <c r="K48" s="300">
        <f t="shared" si="8"/>
        <v>0</v>
      </c>
      <c r="L48" s="291"/>
      <c r="M48" s="291"/>
      <c r="N48" s="291"/>
      <c r="P48" s="300">
        <f t="shared" si="4"/>
        <v>0</v>
      </c>
      <c r="Q48" s="319">
        <f>'3.수행비_요약'!H13</f>
        <v>0</v>
      </c>
      <c r="R48" s="319">
        <f>'3.수행비_요약'!I13</f>
        <v>0</v>
      </c>
      <c r="S48" s="319">
        <f>'3.수행비_요약'!J13</f>
        <v>0</v>
      </c>
      <c r="T48" s="319">
        <f>'3.수행비_요약'!K13</f>
        <v>0</v>
      </c>
      <c r="U48" s="319">
        <f>'3.수행비_요약'!L13</f>
        <v>0</v>
      </c>
      <c r="V48" s="319">
        <f>'3.수행비_요약'!M13</f>
        <v>0</v>
      </c>
      <c r="W48" s="319">
        <f>'3.수행비_요약'!N13</f>
        <v>0</v>
      </c>
      <c r="X48" s="319">
        <f>'3.수행비_요약'!O13</f>
        <v>0</v>
      </c>
      <c r="Y48" s="319">
        <f>'3.수행비_요약'!P13</f>
        <v>0</v>
      </c>
      <c r="Z48" s="319">
        <f>'3.수행비_요약'!Q13</f>
        <v>0</v>
      </c>
      <c r="AA48" s="300">
        <f t="shared" si="9"/>
        <v>0</v>
      </c>
    </row>
    <row r="49" spans="2:27" ht="16.2" customHeight="1">
      <c r="B49" s="268" t="s">
        <v>246</v>
      </c>
      <c r="C49" s="268" t="s">
        <v>339</v>
      </c>
      <c r="D49" s="268" t="s">
        <v>340</v>
      </c>
      <c r="E49" s="301"/>
      <c r="F49" s="301" t="s">
        <v>836</v>
      </c>
      <c r="G49" s="291"/>
      <c r="H49" s="291"/>
      <c r="I49" s="291"/>
      <c r="J49" s="291"/>
      <c r="K49" s="300">
        <f t="shared" si="8"/>
        <v>0</v>
      </c>
      <c r="L49" s="291"/>
      <c r="M49" s="291"/>
      <c r="N49" s="291"/>
      <c r="P49" s="300">
        <f t="shared" si="4"/>
        <v>0</v>
      </c>
      <c r="Q49" s="319">
        <f>'3.수행비_요약'!H14</f>
        <v>0</v>
      </c>
      <c r="R49" s="319">
        <f>'3.수행비_요약'!I14</f>
        <v>0</v>
      </c>
      <c r="S49" s="319">
        <f>'3.수행비_요약'!J14</f>
        <v>0</v>
      </c>
      <c r="T49" s="319">
        <f>'3.수행비_요약'!K14</f>
        <v>0</v>
      </c>
      <c r="U49" s="319">
        <f>'3.수행비_요약'!L14</f>
        <v>0</v>
      </c>
      <c r="V49" s="319">
        <f>'3.수행비_요약'!M14</f>
        <v>0</v>
      </c>
      <c r="W49" s="319">
        <f>'3.수행비_요약'!N14</f>
        <v>0</v>
      </c>
      <c r="X49" s="319">
        <f>'3.수행비_요약'!O14</f>
        <v>0</v>
      </c>
      <c r="Y49" s="319">
        <f>'3.수행비_요약'!P14</f>
        <v>0</v>
      </c>
      <c r="Z49" s="319">
        <f>'3.수행비_요약'!Q14</f>
        <v>0</v>
      </c>
      <c r="AA49" s="300">
        <f t="shared" si="9"/>
        <v>0</v>
      </c>
    </row>
    <row r="50" spans="2:27" ht="16.2" customHeight="1">
      <c r="B50" s="268" t="s">
        <v>246</v>
      </c>
      <c r="C50" s="268" t="s">
        <v>339</v>
      </c>
      <c r="D50" s="268" t="s">
        <v>341</v>
      </c>
      <c r="E50" s="291"/>
      <c r="F50" s="301" t="s">
        <v>837</v>
      </c>
      <c r="G50" s="291"/>
      <c r="H50" s="291"/>
      <c r="I50" s="291"/>
      <c r="J50" s="291"/>
      <c r="K50" s="300">
        <f t="shared" si="8"/>
        <v>0</v>
      </c>
      <c r="L50" s="291"/>
      <c r="M50" s="291"/>
      <c r="N50" s="291"/>
      <c r="P50" s="300">
        <f t="shared" si="4"/>
        <v>0</v>
      </c>
      <c r="Q50" s="319">
        <f>'3.수행비_요약'!H15</f>
        <v>0</v>
      </c>
      <c r="R50" s="319">
        <f>'3.수행비_요약'!I15</f>
        <v>0</v>
      </c>
      <c r="S50" s="319">
        <f>'3.수행비_요약'!J15</f>
        <v>0</v>
      </c>
      <c r="T50" s="319">
        <f>'3.수행비_요약'!K15</f>
        <v>0</v>
      </c>
      <c r="U50" s="319">
        <f>'3.수행비_요약'!L15</f>
        <v>0</v>
      </c>
      <c r="V50" s="319">
        <f>'3.수행비_요약'!M15</f>
        <v>0</v>
      </c>
      <c r="W50" s="319">
        <f>'3.수행비_요약'!N15</f>
        <v>0</v>
      </c>
      <c r="X50" s="319">
        <f>'3.수행비_요약'!O15</f>
        <v>0</v>
      </c>
      <c r="Y50" s="319">
        <f>'3.수행비_요약'!P15</f>
        <v>0</v>
      </c>
      <c r="Z50" s="319">
        <f>'3.수행비_요약'!Q15</f>
        <v>0</v>
      </c>
      <c r="AA50" s="300">
        <f t="shared" si="9"/>
        <v>0</v>
      </c>
    </row>
    <row r="51" spans="2:27" ht="16.2" customHeight="1">
      <c r="B51" s="334"/>
      <c r="C51" s="334"/>
      <c r="D51" s="334"/>
      <c r="E51" s="330"/>
      <c r="F51" s="330"/>
      <c r="G51" s="330"/>
      <c r="H51" s="330"/>
      <c r="I51" s="330"/>
      <c r="J51" s="330"/>
      <c r="K51" s="344">
        <f>SUM(K40:K50)</f>
        <v>2227825486.9998937</v>
      </c>
      <c r="L51" s="330"/>
      <c r="M51" s="330"/>
      <c r="N51" s="330"/>
      <c r="P51" s="344">
        <f>SUM(P40:P50)</f>
        <v>2227825486.9998937</v>
      </c>
      <c r="Q51" s="331">
        <f t="shared" ref="Q51:AA51" si="10">SUM(Q40:Q50)</f>
        <v>613642973.69998944</v>
      </c>
      <c r="R51" s="331">
        <f t="shared" si="10"/>
        <v>137464723.69998941</v>
      </c>
      <c r="S51" s="331">
        <f t="shared" si="10"/>
        <v>129464723.69998938</v>
      </c>
      <c r="T51" s="331">
        <f t="shared" si="10"/>
        <v>192464723.69998938</v>
      </c>
      <c r="U51" s="331">
        <f t="shared" si="10"/>
        <v>192464723.69998938</v>
      </c>
      <c r="V51" s="331">
        <f t="shared" si="10"/>
        <v>192464723.69998938</v>
      </c>
      <c r="W51" s="331">
        <f t="shared" si="10"/>
        <v>192464723.69998938</v>
      </c>
      <c r="X51" s="331">
        <f t="shared" si="10"/>
        <v>192464723.69998938</v>
      </c>
      <c r="Y51" s="331">
        <f t="shared" si="10"/>
        <v>192464723.69998938</v>
      </c>
      <c r="Z51" s="331">
        <f t="shared" si="10"/>
        <v>192464723.69998938</v>
      </c>
      <c r="AA51" s="331">
        <f t="shared" si="10"/>
        <v>0</v>
      </c>
    </row>
    <row r="52" spans="2:27" ht="16.2" customHeight="1">
      <c r="P52" s="329"/>
    </row>
    <row r="53" spans="2:27" ht="16.2" customHeight="1">
      <c r="B53" s="332" t="s">
        <v>481</v>
      </c>
      <c r="C53" s="298"/>
      <c r="D53" s="298"/>
      <c r="E53" s="297"/>
      <c r="F53" s="297"/>
      <c r="G53" s="297"/>
      <c r="H53" s="297"/>
      <c r="I53" s="297"/>
      <c r="J53" s="297"/>
      <c r="K53" s="297"/>
      <c r="L53" s="297"/>
      <c r="M53" s="297"/>
      <c r="N53" s="297"/>
    </row>
    <row r="54" spans="2:27" ht="5.4" customHeight="1">
      <c r="B54" s="333"/>
      <c r="C54" s="333"/>
      <c r="D54" s="333"/>
      <c r="E54" s="299"/>
      <c r="F54" s="299"/>
      <c r="G54" s="299"/>
      <c r="H54" s="299"/>
      <c r="I54" s="299"/>
      <c r="J54" s="299"/>
      <c r="K54" s="299"/>
      <c r="L54" s="299"/>
      <c r="M54" s="299"/>
      <c r="N54" s="299"/>
    </row>
    <row r="55" spans="2:27" ht="16.2" customHeight="1">
      <c r="B55" s="290" t="s">
        <v>468</v>
      </c>
      <c r="C55" s="290" t="s">
        <v>2</v>
      </c>
      <c r="D55" s="290" t="s">
        <v>3</v>
      </c>
      <c r="E55" s="290" t="s">
        <v>475</v>
      </c>
      <c r="F55" s="290" t="s">
        <v>476</v>
      </c>
      <c r="G55" s="290" t="s">
        <v>477</v>
      </c>
      <c r="H55" s="290" t="s">
        <v>478</v>
      </c>
      <c r="I55" s="290" t="s">
        <v>462</v>
      </c>
      <c r="J55" s="290" t="s">
        <v>465</v>
      </c>
      <c r="K55" s="348" t="s">
        <v>463</v>
      </c>
      <c r="L55" s="290" t="s">
        <v>464</v>
      </c>
      <c r="M55" s="290" t="s">
        <v>466</v>
      </c>
      <c r="N55" s="290" t="s">
        <v>16</v>
      </c>
      <c r="P55" s="290" t="s">
        <v>231</v>
      </c>
      <c r="Q55" s="290" t="s">
        <v>41</v>
      </c>
      <c r="R55" s="290" t="s">
        <v>139</v>
      </c>
      <c r="S55" s="290" t="s">
        <v>140</v>
      </c>
      <c r="T55" s="290" t="s">
        <v>141</v>
      </c>
      <c r="U55" s="290" t="s">
        <v>142</v>
      </c>
      <c r="V55" s="290" t="s">
        <v>143</v>
      </c>
      <c r="W55" s="290" t="s">
        <v>144</v>
      </c>
      <c r="X55" s="290" t="s">
        <v>145</v>
      </c>
      <c r="Y55" s="290" t="s">
        <v>146</v>
      </c>
      <c r="Z55" s="290" t="s">
        <v>147</v>
      </c>
      <c r="AA55" s="290" t="s">
        <v>173</v>
      </c>
    </row>
    <row r="56" spans="2:27" ht="16.2" customHeight="1">
      <c r="B56" s="335" t="s">
        <v>482</v>
      </c>
      <c r="C56" s="268" t="s">
        <v>483</v>
      </c>
      <c r="D56" s="268"/>
      <c r="E56" s="291"/>
      <c r="F56" s="291"/>
      <c r="G56" s="291"/>
      <c r="H56" s="291"/>
      <c r="I56" s="291"/>
      <c r="J56" s="291"/>
      <c r="K56" s="300" t="e">
        <f>K13-K23-K39-K51</f>
        <v>#REF!</v>
      </c>
      <c r="L56" s="291"/>
      <c r="M56" s="291"/>
      <c r="N56" s="291"/>
      <c r="P56" s="291"/>
      <c r="Q56" s="291"/>
      <c r="R56" s="291"/>
      <c r="S56" s="291"/>
      <c r="T56" s="291"/>
      <c r="U56" s="291"/>
      <c r="V56" s="291"/>
      <c r="W56" s="291"/>
      <c r="X56" s="291"/>
      <c r="Y56" s="291"/>
      <c r="Z56" s="291"/>
      <c r="AA56" s="291"/>
    </row>
    <row r="57" spans="2:27" ht="16.2" customHeight="1">
      <c r="B57" s="335" t="s">
        <v>482</v>
      </c>
      <c r="C57" s="268" t="s">
        <v>484</v>
      </c>
      <c r="D57" s="268"/>
      <c r="E57" s="291"/>
      <c r="F57" s="291"/>
      <c r="G57" s="291"/>
      <c r="H57" s="291"/>
      <c r="I57" s="291"/>
      <c r="J57" s="291"/>
      <c r="K57" s="347" t="e">
        <f>K56/K13</f>
        <v>#REF!</v>
      </c>
      <c r="L57" s="291"/>
      <c r="M57" s="291"/>
      <c r="N57" s="291"/>
      <c r="P57" s="291"/>
      <c r="Q57" s="291"/>
      <c r="R57" s="291"/>
      <c r="S57" s="291"/>
      <c r="T57" s="291"/>
      <c r="U57" s="291"/>
      <c r="V57" s="291"/>
      <c r="W57" s="291"/>
      <c r="X57" s="291"/>
      <c r="Y57" s="291"/>
      <c r="Z57" s="291"/>
      <c r="AA57" s="291"/>
    </row>
    <row r="58" spans="2:27" ht="16.2" customHeight="1">
      <c r="B58" s="268" t="s">
        <v>485</v>
      </c>
      <c r="C58" s="268" t="s">
        <v>486</v>
      </c>
      <c r="D58" s="268"/>
      <c r="E58" s="291"/>
      <c r="F58" s="291"/>
      <c r="G58" s="291"/>
      <c r="H58" s="291"/>
      <c r="I58" s="291"/>
      <c r="J58" s="291"/>
      <c r="K58" s="291"/>
      <c r="L58" s="291"/>
      <c r="M58" s="291"/>
      <c r="N58" s="291"/>
      <c r="P58" s="268"/>
      <c r="Q58" s="268"/>
      <c r="R58" s="268"/>
      <c r="S58" s="268"/>
      <c r="T58" s="268"/>
      <c r="U58" s="268"/>
      <c r="V58" s="268"/>
      <c r="W58" s="268"/>
      <c r="X58" s="268"/>
      <c r="Y58" s="268"/>
      <c r="Z58" s="268"/>
      <c r="AA58" s="268"/>
    </row>
  </sheetData>
  <phoneticPr fontId="1" type="noConversion"/>
  <hyperlinks>
    <hyperlink ref="A1" location="HOME!A1" display="HOM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G834"/>
  <sheetViews>
    <sheetView showGridLines="0" tabSelected="1" zoomScale="70" zoomScaleNormal="70" workbookViewId="0">
      <pane ySplit="4" topLeftCell="A20" activePane="bottomLeft" state="frozen"/>
      <selection pane="bottomLeft" activeCell="K2" sqref="K2"/>
    </sheetView>
  </sheetViews>
  <sheetFormatPr defaultRowHeight="17.399999999999999"/>
  <cols>
    <col min="1" max="1" width="11.09765625" style="410" bestFit="1" customWidth="1"/>
    <col min="2" max="2" width="1.5" style="57" customWidth="1"/>
    <col min="3" max="4" width="11.59765625" style="410" customWidth="1"/>
    <col min="5" max="6" width="8.796875" style="410"/>
    <col min="7" max="8" width="8.8984375" style="410" bestFit="1" customWidth="1"/>
    <col min="9" max="9" width="35.8984375" style="57" customWidth="1"/>
    <col min="10" max="10" width="35.59765625" style="57" customWidth="1"/>
    <col min="11" max="11" width="8.8984375" style="57" bestFit="1" customWidth="1"/>
    <col min="12" max="12" width="9" style="57" bestFit="1" customWidth="1"/>
    <col min="13" max="13" width="11.296875" style="57" customWidth="1"/>
    <col min="14" max="14" width="12.5" style="57" bestFit="1" customWidth="1"/>
    <col min="15" max="15" width="15.59765625" style="57" bestFit="1" customWidth="1"/>
    <col min="16" max="16" width="10.3984375" style="57" customWidth="1"/>
    <col min="17" max="18" width="9" style="57" customWidth="1"/>
    <col min="19" max="19" width="9.59765625" style="57" customWidth="1"/>
    <col min="20" max="20" width="16.8984375" style="57" bestFit="1" customWidth="1"/>
    <col min="21" max="21" width="13.3984375" style="57" bestFit="1" customWidth="1"/>
    <col min="22" max="22" width="14.3984375" style="57" bestFit="1" customWidth="1"/>
    <col min="23" max="27" width="13.3984375" style="57" bestFit="1" customWidth="1"/>
    <col min="28" max="30" width="13.19921875" style="57" bestFit="1" customWidth="1"/>
    <col min="31" max="31" width="9.09765625" style="57" bestFit="1" customWidth="1"/>
    <col min="32" max="32" width="13.09765625" style="410" bestFit="1" customWidth="1"/>
    <col min="33" max="16384" width="8.796875" style="57"/>
  </cols>
  <sheetData>
    <row r="1" spans="1:33" ht="30.6" customHeight="1" thickBot="1">
      <c r="A1" s="288" t="s">
        <v>279</v>
      </c>
      <c r="C1" s="298"/>
      <c r="D1" s="298"/>
      <c r="E1" s="298"/>
      <c r="F1" s="298"/>
      <c r="M1" s="406"/>
      <c r="N1" s="406"/>
      <c r="O1" s="406"/>
      <c r="P1" s="406"/>
      <c r="Q1" s="406"/>
      <c r="R1" s="406"/>
      <c r="S1" s="406"/>
      <c r="T1" s="406"/>
      <c r="U1" s="630"/>
      <c r="V1" s="406"/>
      <c r="W1" s="406"/>
      <c r="X1" s="406"/>
      <c r="Y1" s="406"/>
      <c r="Z1" s="406"/>
      <c r="AA1" s="406"/>
      <c r="AB1" s="406"/>
      <c r="AC1" s="406"/>
      <c r="AD1" s="406"/>
      <c r="AE1" s="406"/>
    </row>
    <row r="2" spans="1:33" s="58" customFormat="1" ht="20.399999999999999" customHeight="1">
      <c r="A2" s="411"/>
      <c r="C2" s="298"/>
      <c r="D2" s="298"/>
      <c r="E2" s="298"/>
      <c r="F2" s="298"/>
      <c r="G2" s="411"/>
      <c r="H2" s="411"/>
      <c r="M2" s="409"/>
      <c r="N2" s="409"/>
      <c r="O2" s="427">
        <f>SUBTOTAL(9, O5:O637)</f>
        <v>608157860</v>
      </c>
      <c r="P2" s="409"/>
      <c r="Q2" s="409"/>
      <c r="R2" s="409"/>
      <c r="S2" s="409"/>
      <c r="T2" s="427">
        <f>SUBTOTAL(9, T5:T637)</f>
        <v>64030563525.702667</v>
      </c>
      <c r="U2" s="631"/>
      <c r="V2" s="409"/>
      <c r="W2" s="409"/>
      <c r="X2" s="409"/>
      <c r="Y2" s="409"/>
      <c r="Z2" s="409"/>
      <c r="AA2" s="409"/>
      <c r="AB2" s="409"/>
      <c r="AC2" s="409"/>
      <c r="AD2" s="409"/>
      <c r="AE2" s="409"/>
      <c r="AF2" s="424"/>
      <c r="AG2" s="409"/>
    </row>
    <row r="3" spans="1:33" s="58" customFormat="1" ht="20.399999999999999" customHeight="1" thickBot="1">
      <c r="A3" s="411"/>
      <c r="C3" s="421"/>
      <c r="D3" s="421"/>
      <c r="E3" s="421"/>
      <c r="F3" s="421"/>
      <c r="G3" s="421"/>
      <c r="H3" s="421"/>
      <c r="I3" s="421"/>
      <c r="J3" s="421"/>
      <c r="K3" s="421"/>
      <c r="L3" s="421"/>
      <c r="M3" s="421"/>
      <c r="N3" s="421"/>
      <c r="O3" s="422"/>
      <c r="P3" s="423"/>
      <c r="Q3" s="423"/>
      <c r="R3" s="423"/>
      <c r="S3" s="423"/>
      <c r="T3" s="422"/>
      <c r="U3" s="423"/>
      <c r="V3" s="423"/>
      <c r="W3" s="423"/>
      <c r="X3" s="423"/>
      <c r="Y3" s="423"/>
      <c r="Z3" s="423"/>
      <c r="AA3" s="423"/>
      <c r="AB3" s="423"/>
      <c r="AC3" s="423"/>
      <c r="AD3" s="423"/>
      <c r="AE3" s="423"/>
      <c r="AF3" s="425"/>
      <c r="AG3" s="409"/>
    </row>
    <row r="4" spans="1:33" customFormat="1" ht="22.8" customHeight="1" thickBot="1">
      <c r="A4" s="407" t="s">
        <v>1083</v>
      </c>
      <c r="C4" s="445" t="s">
        <v>0</v>
      </c>
      <c r="D4" s="446" t="s">
        <v>1</v>
      </c>
      <c r="E4" s="446" t="s">
        <v>2</v>
      </c>
      <c r="F4" s="446" t="s">
        <v>3</v>
      </c>
      <c r="G4" s="446" t="s">
        <v>4</v>
      </c>
      <c r="H4" s="446" t="s">
        <v>148</v>
      </c>
      <c r="I4" s="446" t="s">
        <v>149</v>
      </c>
      <c r="J4" s="446" t="s">
        <v>150</v>
      </c>
      <c r="K4" s="446" t="s">
        <v>6</v>
      </c>
      <c r="L4" s="446" t="s">
        <v>7</v>
      </c>
      <c r="M4" s="446" t="s">
        <v>8</v>
      </c>
      <c r="N4" s="447" t="s">
        <v>9</v>
      </c>
      <c r="O4" s="448" t="s">
        <v>10</v>
      </c>
      <c r="P4" s="447" t="s">
        <v>11</v>
      </c>
      <c r="Q4" s="447" t="s">
        <v>12</v>
      </c>
      <c r="R4" s="447" t="s">
        <v>13</v>
      </c>
      <c r="S4" s="447" t="s">
        <v>42</v>
      </c>
      <c r="T4" s="448" t="s">
        <v>15</v>
      </c>
      <c r="U4" s="447" t="s">
        <v>41</v>
      </c>
      <c r="V4" s="447" t="s">
        <v>139</v>
      </c>
      <c r="W4" s="447" t="s">
        <v>140</v>
      </c>
      <c r="X4" s="447" t="s">
        <v>141</v>
      </c>
      <c r="Y4" s="447" t="s">
        <v>142</v>
      </c>
      <c r="Z4" s="447" t="s">
        <v>143</v>
      </c>
      <c r="AA4" s="447" t="s">
        <v>144</v>
      </c>
      <c r="AB4" s="447" t="s">
        <v>145</v>
      </c>
      <c r="AC4" s="447" t="s">
        <v>146</v>
      </c>
      <c r="AD4" s="447" t="s">
        <v>147</v>
      </c>
      <c r="AE4" s="447" t="s">
        <v>173</v>
      </c>
      <c r="AF4" s="449" t="s">
        <v>273</v>
      </c>
      <c r="AG4" s="27"/>
    </row>
    <row r="5" spans="1:33">
      <c r="A5" s="410" t="str">
        <f t="shared" ref="A5:A36" si="0">IF(C5&lt;&gt;"",IF(LEFT(C5,3)="인건비","운영하도급",IF(LEFT(C5,3)="구축비", "투자","수행비용")),"")</f>
        <v>투자</v>
      </c>
      <c r="C5" s="450" t="s">
        <v>1050</v>
      </c>
      <c r="D5" s="442" t="s">
        <v>1185</v>
      </c>
      <c r="E5" s="442" t="s">
        <v>1183</v>
      </c>
      <c r="F5" s="442" t="s">
        <v>14</v>
      </c>
      <c r="G5" s="442" t="s">
        <v>975</v>
      </c>
      <c r="H5" s="442" t="s">
        <v>1186</v>
      </c>
      <c r="I5" s="442" t="s">
        <v>1190</v>
      </c>
      <c r="J5" s="442">
        <v>0</v>
      </c>
      <c r="K5" s="442" t="s">
        <v>590</v>
      </c>
      <c r="L5" s="442">
        <v>1</v>
      </c>
      <c r="M5" s="442">
        <v>0</v>
      </c>
      <c r="N5" s="443">
        <v>7999999.9999999991</v>
      </c>
      <c r="O5" s="443">
        <v>7999999.9999999991</v>
      </c>
      <c r="P5" s="443">
        <v>0</v>
      </c>
      <c r="Q5" s="443">
        <v>0</v>
      </c>
      <c r="R5" s="443">
        <v>0</v>
      </c>
      <c r="S5" s="443">
        <v>1</v>
      </c>
      <c r="T5" s="443">
        <v>0</v>
      </c>
      <c r="U5" s="443">
        <v>0</v>
      </c>
      <c r="V5" s="443">
        <v>0</v>
      </c>
      <c r="W5" s="443">
        <v>0</v>
      </c>
      <c r="X5" s="443">
        <v>0</v>
      </c>
      <c r="Y5" s="443">
        <v>0</v>
      </c>
      <c r="Z5" s="443">
        <v>0</v>
      </c>
      <c r="AA5" s="443">
        <v>0</v>
      </c>
      <c r="AB5" s="443">
        <v>0</v>
      </c>
      <c r="AC5" s="443">
        <v>0</v>
      </c>
      <c r="AD5" s="443">
        <v>0</v>
      </c>
      <c r="AE5" s="443">
        <v>0</v>
      </c>
      <c r="AF5" s="33" t="s">
        <v>539</v>
      </c>
      <c r="AG5" s="406"/>
    </row>
    <row r="6" spans="1:33">
      <c r="A6" s="410" t="str">
        <f t="shared" si="0"/>
        <v>투자</v>
      </c>
      <c r="C6" s="450" t="s">
        <v>1051</v>
      </c>
      <c r="D6" s="442" t="s">
        <v>1185</v>
      </c>
      <c r="E6" s="442" t="s">
        <v>1183</v>
      </c>
      <c r="F6" s="442" t="s">
        <v>14</v>
      </c>
      <c r="G6" s="442" t="s">
        <v>975</v>
      </c>
      <c r="H6" s="442" t="s">
        <v>1188</v>
      </c>
      <c r="I6" s="442" t="s">
        <v>1450</v>
      </c>
      <c r="J6" s="442">
        <v>0</v>
      </c>
      <c r="K6" s="442" t="s">
        <v>590</v>
      </c>
      <c r="L6" s="442">
        <v>30</v>
      </c>
      <c r="M6" s="442">
        <v>0</v>
      </c>
      <c r="N6" s="443">
        <v>3000000</v>
      </c>
      <c r="O6" s="443">
        <v>90000000</v>
      </c>
      <c r="P6" s="443">
        <v>0</v>
      </c>
      <c r="Q6" s="443">
        <v>0</v>
      </c>
      <c r="R6" s="443">
        <v>0</v>
      </c>
      <c r="S6" s="443">
        <v>1</v>
      </c>
      <c r="T6" s="443">
        <v>0</v>
      </c>
      <c r="U6" s="443">
        <v>0</v>
      </c>
      <c r="V6" s="443">
        <v>0</v>
      </c>
      <c r="W6" s="443">
        <v>0</v>
      </c>
      <c r="X6" s="443">
        <v>0</v>
      </c>
      <c r="Y6" s="443">
        <v>0</v>
      </c>
      <c r="Z6" s="443">
        <v>0</v>
      </c>
      <c r="AA6" s="443">
        <v>0</v>
      </c>
      <c r="AB6" s="443">
        <v>0</v>
      </c>
      <c r="AC6" s="443">
        <v>0</v>
      </c>
      <c r="AD6" s="443">
        <v>0</v>
      </c>
      <c r="AE6" s="443">
        <v>0</v>
      </c>
      <c r="AF6" s="33" t="s">
        <v>539</v>
      </c>
      <c r="AG6" s="406"/>
    </row>
    <row r="7" spans="1:33">
      <c r="A7" s="410" t="str">
        <f t="shared" si="0"/>
        <v>투자</v>
      </c>
      <c r="C7" s="450" t="s">
        <v>1052</v>
      </c>
      <c r="D7" s="442" t="s">
        <v>1185</v>
      </c>
      <c r="E7" s="442" t="s">
        <v>1183</v>
      </c>
      <c r="F7" s="442" t="s">
        <v>14</v>
      </c>
      <c r="G7" s="442" t="s">
        <v>975</v>
      </c>
      <c r="H7" s="442" t="s">
        <v>1187</v>
      </c>
      <c r="I7" s="442" t="s">
        <v>1451</v>
      </c>
      <c r="J7" s="442">
        <v>0</v>
      </c>
      <c r="K7" s="442" t="s">
        <v>590</v>
      </c>
      <c r="L7" s="442">
        <v>2</v>
      </c>
      <c r="M7" s="442">
        <v>0</v>
      </c>
      <c r="N7" s="443">
        <v>15000000</v>
      </c>
      <c r="O7" s="443">
        <v>30000000</v>
      </c>
      <c r="P7" s="443">
        <v>0</v>
      </c>
      <c r="Q7" s="443">
        <v>0</v>
      </c>
      <c r="R7" s="443">
        <v>0</v>
      </c>
      <c r="S7" s="443">
        <v>1</v>
      </c>
      <c r="T7" s="443">
        <v>0</v>
      </c>
      <c r="U7" s="443">
        <v>0</v>
      </c>
      <c r="V7" s="443">
        <v>0</v>
      </c>
      <c r="W7" s="443">
        <v>0</v>
      </c>
      <c r="X7" s="443">
        <v>0</v>
      </c>
      <c r="Y7" s="443">
        <v>0</v>
      </c>
      <c r="Z7" s="443">
        <v>0</v>
      </c>
      <c r="AA7" s="443">
        <v>0</v>
      </c>
      <c r="AB7" s="443">
        <v>0</v>
      </c>
      <c r="AC7" s="443">
        <v>0</v>
      </c>
      <c r="AD7" s="443">
        <v>0</v>
      </c>
      <c r="AE7" s="443">
        <v>0</v>
      </c>
      <c r="AF7" s="33" t="s">
        <v>539</v>
      </c>
      <c r="AG7" s="406"/>
    </row>
    <row r="8" spans="1:33">
      <c r="A8" s="410" t="str">
        <f t="shared" si="0"/>
        <v>투자</v>
      </c>
      <c r="C8" s="450" t="s">
        <v>1053</v>
      </c>
      <c r="D8" s="442" t="s">
        <v>1185</v>
      </c>
      <c r="E8" s="442" t="s">
        <v>1183</v>
      </c>
      <c r="F8" s="442" t="s">
        <v>14</v>
      </c>
      <c r="G8" s="442" t="s">
        <v>975</v>
      </c>
      <c r="H8" s="442" t="s">
        <v>1452</v>
      </c>
      <c r="I8" s="442" t="s">
        <v>1453</v>
      </c>
      <c r="J8" s="442">
        <v>0</v>
      </c>
      <c r="K8" s="442" t="s">
        <v>590</v>
      </c>
      <c r="L8" s="442">
        <v>2</v>
      </c>
      <c r="M8" s="442">
        <v>0</v>
      </c>
      <c r="N8" s="443">
        <v>8000000</v>
      </c>
      <c r="O8" s="443">
        <v>16000000</v>
      </c>
      <c r="P8" s="443">
        <v>0</v>
      </c>
      <c r="Q8" s="443">
        <v>0</v>
      </c>
      <c r="R8" s="443">
        <v>0</v>
      </c>
      <c r="S8" s="443">
        <v>1</v>
      </c>
      <c r="T8" s="443">
        <v>0</v>
      </c>
      <c r="U8" s="443">
        <v>0</v>
      </c>
      <c r="V8" s="443">
        <v>0</v>
      </c>
      <c r="W8" s="443">
        <v>0</v>
      </c>
      <c r="X8" s="443">
        <v>0</v>
      </c>
      <c r="Y8" s="443">
        <v>0</v>
      </c>
      <c r="Z8" s="443">
        <v>0</v>
      </c>
      <c r="AA8" s="443">
        <v>0</v>
      </c>
      <c r="AB8" s="443">
        <v>0</v>
      </c>
      <c r="AC8" s="443">
        <v>0</v>
      </c>
      <c r="AD8" s="443">
        <v>0</v>
      </c>
      <c r="AE8" s="443">
        <v>0</v>
      </c>
      <c r="AF8" s="33" t="s">
        <v>539</v>
      </c>
      <c r="AG8" s="406"/>
    </row>
    <row r="9" spans="1:33">
      <c r="A9" s="410" t="str">
        <f t="shared" si="0"/>
        <v>투자</v>
      </c>
      <c r="C9" s="450" t="s">
        <v>1054</v>
      </c>
      <c r="D9" s="442" t="s">
        <v>1185</v>
      </c>
      <c r="E9" s="442" t="s">
        <v>1183</v>
      </c>
      <c r="F9" s="442" t="s">
        <v>14</v>
      </c>
      <c r="G9" s="442" t="s">
        <v>975</v>
      </c>
      <c r="H9" s="442" t="s">
        <v>1454</v>
      </c>
      <c r="I9" s="442" t="s">
        <v>1455</v>
      </c>
      <c r="J9" s="442">
        <v>0</v>
      </c>
      <c r="K9" s="442" t="s">
        <v>590</v>
      </c>
      <c r="L9" s="442">
        <v>1</v>
      </c>
      <c r="M9" s="442">
        <v>0</v>
      </c>
      <c r="N9" s="443">
        <v>16000000</v>
      </c>
      <c r="O9" s="443">
        <v>16000000</v>
      </c>
      <c r="P9" s="443">
        <v>0</v>
      </c>
      <c r="Q9" s="443">
        <v>0</v>
      </c>
      <c r="R9" s="443">
        <v>0</v>
      </c>
      <c r="S9" s="443">
        <v>1</v>
      </c>
      <c r="T9" s="443">
        <v>0</v>
      </c>
      <c r="U9" s="443">
        <v>0</v>
      </c>
      <c r="V9" s="443">
        <v>0</v>
      </c>
      <c r="W9" s="443">
        <v>0</v>
      </c>
      <c r="X9" s="443">
        <v>0</v>
      </c>
      <c r="Y9" s="443">
        <v>0</v>
      </c>
      <c r="Z9" s="443">
        <v>0</v>
      </c>
      <c r="AA9" s="443">
        <v>0</v>
      </c>
      <c r="AB9" s="443">
        <v>0</v>
      </c>
      <c r="AC9" s="443">
        <v>0</v>
      </c>
      <c r="AD9" s="443">
        <v>0</v>
      </c>
      <c r="AE9" s="443">
        <v>0</v>
      </c>
      <c r="AF9" s="33" t="s">
        <v>539</v>
      </c>
      <c r="AG9" s="406"/>
    </row>
    <row r="10" spans="1:33">
      <c r="A10" s="410" t="str">
        <f t="shared" si="0"/>
        <v>투자</v>
      </c>
      <c r="C10" s="450" t="s">
        <v>1055</v>
      </c>
      <c r="D10" s="442" t="s">
        <v>1185</v>
      </c>
      <c r="E10" s="442" t="s">
        <v>1183</v>
      </c>
      <c r="F10" s="442" t="s">
        <v>14</v>
      </c>
      <c r="G10" s="442" t="s">
        <v>975</v>
      </c>
      <c r="H10" s="442" t="s">
        <v>1454</v>
      </c>
      <c r="I10" s="442" t="s">
        <v>1456</v>
      </c>
      <c r="J10" s="442">
        <v>0</v>
      </c>
      <c r="K10" s="442" t="s">
        <v>590</v>
      </c>
      <c r="L10" s="442">
        <v>1</v>
      </c>
      <c r="M10" s="442">
        <v>0</v>
      </c>
      <c r="N10" s="443">
        <v>16000000</v>
      </c>
      <c r="O10" s="443">
        <v>16000000</v>
      </c>
      <c r="P10" s="443">
        <v>0</v>
      </c>
      <c r="Q10" s="443">
        <v>0</v>
      </c>
      <c r="R10" s="443">
        <v>0</v>
      </c>
      <c r="S10" s="443">
        <v>1</v>
      </c>
      <c r="T10" s="443">
        <v>0</v>
      </c>
      <c r="U10" s="443">
        <v>0</v>
      </c>
      <c r="V10" s="443">
        <v>0</v>
      </c>
      <c r="W10" s="443">
        <v>0</v>
      </c>
      <c r="X10" s="443">
        <v>0</v>
      </c>
      <c r="Y10" s="443">
        <v>0</v>
      </c>
      <c r="Z10" s="443">
        <v>0</v>
      </c>
      <c r="AA10" s="443">
        <v>0</v>
      </c>
      <c r="AB10" s="443">
        <v>0</v>
      </c>
      <c r="AC10" s="443">
        <v>0</v>
      </c>
      <c r="AD10" s="443">
        <v>0</v>
      </c>
      <c r="AE10" s="443">
        <v>0</v>
      </c>
      <c r="AF10" s="33" t="s">
        <v>539</v>
      </c>
      <c r="AG10" s="406"/>
    </row>
    <row r="11" spans="1:33">
      <c r="A11" s="410" t="str">
        <f t="shared" si="0"/>
        <v>투자</v>
      </c>
      <c r="C11" s="450" t="s">
        <v>1056</v>
      </c>
      <c r="D11" s="442" t="s">
        <v>1185</v>
      </c>
      <c r="E11" s="442" t="s">
        <v>1183</v>
      </c>
      <c r="F11" s="442" t="s">
        <v>14</v>
      </c>
      <c r="G11" s="442" t="s">
        <v>975</v>
      </c>
      <c r="H11" s="442" t="s">
        <v>1454</v>
      </c>
      <c r="I11" s="442" t="s">
        <v>1457</v>
      </c>
      <c r="J11" s="442">
        <v>0</v>
      </c>
      <c r="K11" s="442" t="s">
        <v>590</v>
      </c>
      <c r="L11" s="442">
        <v>1</v>
      </c>
      <c r="M11" s="442">
        <v>0</v>
      </c>
      <c r="N11" s="443">
        <v>6000000</v>
      </c>
      <c r="O11" s="443">
        <v>6000000</v>
      </c>
      <c r="P11" s="443">
        <v>0</v>
      </c>
      <c r="Q11" s="443">
        <v>0</v>
      </c>
      <c r="R11" s="443">
        <v>0</v>
      </c>
      <c r="S11" s="443">
        <v>1</v>
      </c>
      <c r="T11" s="443">
        <v>0</v>
      </c>
      <c r="U11" s="443">
        <v>0</v>
      </c>
      <c r="V11" s="443">
        <v>0</v>
      </c>
      <c r="W11" s="443">
        <v>0</v>
      </c>
      <c r="X11" s="443">
        <v>0</v>
      </c>
      <c r="Y11" s="443">
        <v>0</v>
      </c>
      <c r="Z11" s="443">
        <v>0</v>
      </c>
      <c r="AA11" s="443">
        <v>0</v>
      </c>
      <c r="AB11" s="443">
        <v>0</v>
      </c>
      <c r="AC11" s="443">
        <v>0</v>
      </c>
      <c r="AD11" s="443">
        <v>0</v>
      </c>
      <c r="AE11" s="443">
        <v>0</v>
      </c>
      <c r="AF11" s="33" t="s">
        <v>539</v>
      </c>
      <c r="AG11" s="406"/>
    </row>
    <row r="12" spans="1:33">
      <c r="A12" s="410" t="str">
        <f t="shared" si="0"/>
        <v>투자</v>
      </c>
      <c r="C12" s="450" t="s">
        <v>1057</v>
      </c>
      <c r="D12" s="442" t="s">
        <v>1185</v>
      </c>
      <c r="E12" s="442" t="s">
        <v>1183</v>
      </c>
      <c r="F12" s="442" t="s">
        <v>14</v>
      </c>
      <c r="G12" s="442" t="s">
        <v>975</v>
      </c>
      <c r="H12" s="442" t="s">
        <v>1454</v>
      </c>
      <c r="I12" s="442" t="s">
        <v>1458</v>
      </c>
      <c r="J12" s="442">
        <v>0</v>
      </c>
      <c r="K12" s="442" t="s">
        <v>590</v>
      </c>
      <c r="L12" s="442">
        <v>30</v>
      </c>
      <c r="M12" s="442">
        <v>0</v>
      </c>
      <c r="N12" s="443">
        <v>1200000</v>
      </c>
      <c r="O12" s="443">
        <v>36000000</v>
      </c>
      <c r="P12" s="443">
        <v>0</v>
      </c>
      <c r="Q12" s="443">
        <v>0</v>
      </c>
      <c r="R12" s="443">
        <v>0</v>
      </c>
      <c r="S12" s="443">
        <v>1</v>
      </c>
      <c r="T12" s="443">
        <v>0</v>
      </c>
      <c r="U12" s="443">
        <v>0</v>
      </c>
      <c r="V12" s="443">
        <v>0</v>
      </c>
      <c r="W12" s="443">
        <v>0</v>
      </c>
      <c r="X12" s="443">
        <v>0</v>
      </c>
      <c r="Y12" s="443">
        <v>0</v>
      </c>
      <c r="Z12" s="443">
        <v>0</v>
      </c>
      <c r="AA12" s="443">
        <v>0</v>
      </c>
      <c r="AB12" s="443">
        <v>0</v>
      </c>
      <c r="AC12" s="443">
        <v>0</v>
      </c>
      <c r="AD12" s="443">
        <v>0</v>
      </c>
      <c r="AE12" s="443">
        <v>0</v>
      </c>
      <c r="AF12" s="33" t="s">
        <v>539</v>
      </c>
      <c r="AG12" s="406"/>
    </row>
    <row r="13" spans="1:33">
      <c r="A13" s="410" t="str">
        <f t="shared" si="0"/>
        <v>투자</v>
      </c>
      <c r="C13" s="450" t="s">
        <v>1058</v>
      </c>
      <c r="D13" s="442" t="s">
        <v>1185</v>
      </c>
      <c r="E13" s="442" t="s">
        <v>1183</v>
      </c>
      <c r="F13" s="442" t="s">
        <v>14</v>
      </c>
      <c r="G13" s="442" t="s">
        <v>975</v>
      </c>
      <c r="H13" s="442" t="s">
        <v>1454</v>
      </c>
      <c r="I13" s="442" t="s">
        <v>1459</v>
      </c>
      <c r="J13" s="442">
        <v>0</v>
      </c>
      <c r="K13" s="442" t="s">
        <v>590</v>
      </c>
      <c r="L13" s="442">
        <v>1</v>
      </c>
      <c r="M13" s="442">
        <v>0</v>
      </c>
      <c r="N13" s="443">
        <v>16000000</v>
      </c>
      <c r="O13" s="443">
        <v>16000000</v>
      </c>
      <c r="P13" s="443">
        <v>0</v>
      </c>
      <c r="Q13" s="443">
        <v>0</v>
      </c>
      <c r="R13" s="443">
        <v>0</v>
      </c>
      <c r="S13" s="443">
        <v>1</v>
      </c>
      <c r="T13" s="443">
        <v>0</v>
      </c>
      <c r="U13" s="443">
        <v>0</v>
      </c>
      <c r="V13" s="443">
        <v>0</v>
      </c>
      <c r="W13" s="443">
        <v>0</v>
      </c>
      <c r="X13" s="443">
        <v>0</v>
      </c>
      <c r="Y13" s="443">
        <v>0</v>
      </c>
      <c r="Z13" s="443">
        <v>0</v>
      </c>
      <c r="AA13" s="443">
        <v>0</v>
      </c>
      <c r="AB13" s="443">
        <v>0</v>
      </c>
      <c r="AC13" s="443">
        <v>0</v>
      </c>
      <c r="AD13" s="443">
        <v>0</v>
      </c>
      <c r="AE13" s="443">
        <v>0</v>
      </c>
      <c r="AF13" s="33" t="s">
        <v>539</v>
      </c>
      <c r="AG13" s="406"/>
    </row>
    <row r="14" spans="1:33">
      <c r="A14" s="410" t="str">
        <f t="shared" si="0"/>
        <v>투자</v>
      </c>
      <c r="C14" s="450" t="s">
        <v>1059</v>
      </c>
      <c r="D14" s="442" t="s">
        <v>1185</v>
      </c>
      <c r="E14" s="442" t="s">
        <v>1183</v>
      </c>
      <c r="F14" s="442" t="s">
        <v>14</v>
      </c>
      <c r="G14" s="442" t="s">
        <v>975</v>
      </c>
      <c r="H14" s="442" t="s">
        <v>1454</v>
      </c>
      <c r="I14" s="442" t="s">
        <v>1460</v>
      </c>
      <c r="J14" s="442">
        <v>0</v>
      </c>
      <c r="K14" s="442" t="s">
        <v>590</v>
      </c>
      <c r="L14" s="442">
        <v>1</v>
      </c>
      <c r="M14" s="442">
        <v>0</v>
      </c>
      <c r="N14" s="443">
        <v>2000000</v>
      </c>
      <c r="O14" s="443">
        <v>2000000</v>
      </c>
      <c r="P14" s="443">
        <v>0</v>
      </c>
      <c r="Q14" s="443">
        <v>0</v>
      </c>
      <c r="R14" s="443">
        <v>0</v>
      </c>
      <c r="S14" s="443">
        <v>1</v>
      </c>
      <c r="T14" s="443">
        <v>0</v>
      </c>
      <c r="U14" s="443">
        <v>0</v>
      </c>
      <c r="V14" s="443">
        <v>0</v>
      </c>
      <c r="W14" s="443">
        <v>0</v>
      </c>
      <c r="X14" s="443">
        <v>0</v>
      </c>
      <c r="Y14" s="443">
        <v>0</v>
      </c>
      <c r="Z14" s="443">
        <v>0</v>
      </c>
      <c r="AA14" s="443">
        <v>0</v>
      </c>
      <c r="AB14" s="443">
        <v>0</v>
      </c>
      <c r="AC14" s="443">
        <v>0</v>
      </c>
      <c r="AD14" s="443">
        <v>0</v>
      </c>
      <c r="AE14" s="443">
        <v>0</v>
      </c>
      <c r="AF14" s="33" t="s">
        <v>539</v>
      </c>
      <c r="AG14" s="406"/>
    </row>
    <row r="15" spans="1:33">
      <c r="A15" s="410" t="str">
        <f t="shared" si="0"/>
        <v>투자</v>
      </c>
      <c r="C15" s="450" t="s">
        <v>1060</v>
      </c>
      <c r="D15" s="442" t="s">
        <v>1185</v>
      </c>
      <c r="E15" s="442" t="s">
        <v>1183</v>
      </c>
      <c r="F15" s="442" t="s">
        <v>976</v>
      </c>
      <c r="G15" s="442" t="s">
        <v>975</v>
      </c>
      <c r="H15" s="442" t="s">
        <v>1189</v>
      </c>
      <c r="I15" s="442" t="s">
        <v>1461</v>
      </c>
      <c r="J15" s="442">
        <v>0</v>
      </c>
      <c r="K15" s="442" t="s">
        <v>852</v>
      </c>
      <c r="L15" s="442">
        <v>101</v>
      </c>
      <c r="M15" s="442">
        <v>0</v>
      </c>
      <c r="N15" s="443">
        <v>0</v>
      </c>
      <c r="O15" s="443">
        <v>0</v>
      </c>
      <c r="P15" s="443">
        <v>19</v>
      </c>
      <c r="Q15" s="443">
        <v>101</v>
      </c>
      <c r="R15" s="443">
        <v>0.11881188118811881</v>
      </c>
      <c r="S15" s="443">
        <v>1</v>
      </c>
      <c r="T15" s="443">
        <v>238360000</v>
      </c>
      <c r="U15" s="443">
        <v>0</v>
      </c>
      <c r="V15" s="443">
        <v>11800000</v>
      </c>
      <c r="W15" s="443">
        <v>28320000</v>
      </c>
      <c r="X15" s="443">
        <v>28320000</v>
      </c>
      <c r="Y15" s="443">
        <v>28320000</v>
      </c>
      <c r="Z15" s="443">
        <v>28320000</v>
      </c>
      <c r="AA15" s="443">
        <v>28320000</v>
      </c>
      <c r="AB15" s="443">
        <v>28320000</v>
      </c>
      <c r="AC15" s="443">
        <v>28320000</v>
      </c>
      <c r="AD15" s="443">
        <v>28320000</v>
      </c>
      <c r="AE15" s="443">
        <v>0</v>
      </c>
      <c r="AF15" s="33" t="s">
        <v>539</v>
      </c>
      <c r="AG15" s="406"/>
    </row>
    <row r="16" spans="1:33">
      <c r="A16" s="410" t="str">
        <f t="shared" si="0"/>
        <v>투자</v>
      </c>
      <c r="C16" s="450" t="s">
        <v>1061</v>
      </c>
      <c r="D16" s="442" t="s">
        <v>1185</v>
      </c>
      <c r="E16" s="442" t="s">
        <v>1183</v>
      </c>
      <c r="F16" s="442" t="s">
        <v>14</v>
      </c>
      <c r="G16" s="442" t="s">
        <v>532</v>
      </c>
      <c r="H16" s="442" t="s">
        <v>245</v>
      </c>
      <c r="I16" s="442" t="s">
        <v>1177</v>
      </c>
      <c r="J16" s="442" t="s">
        <v>260</v>
      </c>
      <c r="K16" s="442" t="s">
        <v>980</v>
      </c>
      <c r="L16" s="442">
        <v>4</v>
      </c>
      <c r="M16" s="442">
        <v>0</v>
      </c>
      <c r="N16" s="443">
        <v>10000000</v>
      </c>
      <c r="O16" s="443">
        <v>40000000</v>
      </c>
      <c r="P16" s="443">
        <v>0</v>
      </c>
      <c r="Q16" s="443">
        <v>0</v>
      </c>
      <c r="R16" s="443">
        <v>0</v>
      </c>
      <c r="S16" s="443">
        <v>1</v>
      </c>
      <c r="T16" s="443">
        <v>0</v>
      </c>
      <c r="U16" s="443">
        <v>0</v>
      </c>
      <c r="V16" s="443">
        <v>0</v>
      </c>
      <c r="W16" s="443">
        <v>0</v>
      </c>
      <c r="X16" s="443">
        <v>0</v>
      </c>
      <c r="Y16" s="443">
        <v>0</v>
      </c>
      <c r="Z16" s="443">
        <v>0</v>
      </c>
      <c r="AA16" s="443">
        <v>0</v>
      </c>
      <c r="AB16" s="443">
        <v>0</v>
      </c>
      <c r="AC16" s="443">
        <v>0</v>
      </c>
      <c r="AD16" s="443">
        <v>0</v>
      </c>
      <c r="AE16" s="443">
        <v>0</v>
      </c>
      <c r="AF16" s="33" t="s">
        <v>539</v>
      </c>
      <c r="AG16" s="406"/>
    </row>
    <row r="17" spans="1:33">
      <c r="A17" s="410" t="str">
        <f t="shared" si="0"/>
        <v>투자</v>
      </c>
      <c r="C17" s="450" t="s">
        <v>1062</v>
      </c>
      <c r="D17" s="442" t="s">
        <v>1185</v>
      </c>
      <c r="E17" s="442" t="s">
        <v>1183</v>
      </c>
      <c r="F17" s="442" t="s">
        <v>14</v>
      </c>
      <c r="G17" s="442" t="s">
        <v>532</v>
      </c>
      <c r="H17" s="442" t="s">
        <v>245</v>
      </c>
      <c r="I17" s="442" t="s">
        <v>1178</v>
      </c>
      <c r="J17" s="442" t="s">
        <v>260</v>
      </c>
      <c r="K17" s="442" t="s">
        <v>980</v>
      </c>
      <c r="L17" s="442">
        <v>4</v>
      </c>
      <c r="M17" s="442">
        <v>0</v>
      </c>
      <c r="N17" s="443">
        <v>10000000</v>
      </c>
      <c r="O17" s="443">
        <v>40000000</v>
      </c>
      <c r="P17" s="443">
        <v>0</v>
      </c>
      <c r="Q17" s="443">
        <v>0</v>
      </c>
      <c r="R17" s="443">
        <v>0</v>
      </c>
      <c r="S17" s="443">
        <v>1</v>
      </c>
      <c r="T17" s="443">
        <v>0</v>
      </c>
      <c r="U17" s="443">
        <v>0</v>
      </c>
      <c r="V17" s="443">
        <v>0</v>
      </c>
      <c r="W17" s="443">
        <v>0</v>
      </c>
      <c r="X17" s="443">
        <v>0</v>
      </c>
      <c r="Y17" s="443">
        <v>0</v>
      </c>
      <c r="Z17" s="443">
        <v>0</v>
      </c>
      <c r="AA17" s="443">
        <v>0</v>
      </c>
      <c r="AB17" s="443">
        <v>0</v>
      </c>
      <c r="AC17" s="443">
        <v>0</v>
      </c>
      <c r="AD17" s="443">
        <v>0</v>
      </c>
      <c r="AE17" s="443">
        <v>0</v>
      </c>
      <c r="AF17" s="33" t="s">
        <v>539</v>
      </c>
      <c r="AG17" s="406"/>
    </row>
    <row r="18" spans="1:33">
      <c r="A18" s="410" t="str">
        <f t="shared" si="0"/>
        <v>투자</v>
      </c>
      <c r="C18" s="450" t="s">
        <v>1063</v>
      </c>
      <c r="D18" s="442" t="s">
        <v>1185</v>
      </c>
      <c r="E18" s="442" t="s">
        <v>1183</v>
      </c>
      <c r="F18" s="442" t="s">
        <v>14</v>
      </c>
      <c r="G18" s="442" t="s">
        <v>532</v>
      </c>
      <c r="H18" s="442" t="s">
        <v>245</v>
      </c>
      <c r="I18" s="442" t="s">
        <v>1178</v>
      </c>
      <c r="J18" s="442" t="s">
        <v>261</v>
      </c>
      <c r="K18" s="442" t="s">
        <v>980</v>
      </c>
      <c r="L18" s="442">
        <v>3</v>
      </c>
      <c r="M18" s="442">
        <v>0</v>
      </c>
      <c r="N18" s="443">
        <v>9000000</v>
      </c>
      <c r="O18" s="443">
        <v>27000000</v>
      </c>
      <c r="P18" s="443">
        <v>0</v>
      </c>
      <c r="Q18" s="443">
        <v>0</v>
      </c>
      <c r="R18" s="443">
        <v>0</v>
      </c>
      <c r="S18" s="443">
        <v>1</v>
      </c>
      <c r="T18" s="443">
        <v>0</v>
      </c>
      <c r="U18" s="443">
        <v>0</v>
      </c>
      <c r="V18" s="443">
        <v>0</v>
      </c>
      <c r="W18" s="443">
        <v>0</v>
      </c>
      <c r="X18" s="443">
        <v>0</v>
      </c>
      <c r="Y18" s="443">
        <v>0</v>
      </c>
      <c r="Z18" s="443">
        <v>0</v>
      </c>
      <c r="AA18" s="443">
        <v>0</v>
      </c>
      <c r="AB18" s="443">
        <v>0</v>
      </c>
      <c r="AC18" s="443">
        <v>0</v>
      </c>
      <c r="AD18" s="443">
        <v>0</v>
      </c>
      <c r="AE18" s="443">
        <v>0</v>
      </c>
      <c r="AF18" s="33" t="s">
        <v>539</v>
      </c>
      <c r="AG18" s="406"/>
    </row>
    <row r="19" spans="1:33">
      <c r="A19" s="410" t="str">
        <f t="shared" si="0"/>
        <v>투자</v>
      </c>
      <c r="C19" s="450" t="s">
        <v>1064</v>
      </c>
      <c r="D19" s="442" t="s">
        <v>1185</v>
      </c>
      <c r="E19" s="442" t="s">
        <v>1183</v>
      </c>
      <c r="F19" s="442" t="s">
        <v>14</v>
      </c>
      <c r="G19" s="442" t="s">
        <v>532</v>
      </c>
      <c r="H19" s="442" t="s">
        <v>245</v>
      </c>
      <c r="I19" s="442" t="s">
        <v>1179</v>
      </c>
      <c r="J19" s="442" t="s">
        <v>260</v>
      </c>
      <c r="K19" s="442" t="s">
        <v>980</v>
      </c>
      <c r="L19" s="442">
        <v>1.5</v>
      </c>
      <c r="M19" s="442">
        <v>0</v>
      </c>
      <c r="N19" s="443">
        <v>10000000</v>
      </c>
      <c r="O19" s="443">
        <v>15000000</v>
      </c>
      <c r="P19" s="443">
        <v>0</v>
      </c>
      <c r="Q19" s="443">
        <v>0</v>
      </c>
      <c r="R19" s="443">
        <v>0</v>
      </c>
      <c r="S19" s="443">
        <v>1</v>
      </c>
      <c r="T19" s="443">
        <v>0</v>
      </c>
      <c r="U19" s="443">
        <v>0</v>
      </c>
      <c r="V19" s="443">
        <v>0</v>
      </c>
      <c r="W19" s="443">
        <v>0</v>
      </c>
      <c r="X19" s="443">
        <v>0</v>
      </c>
      <c r="Y19" s="443">
        <v>0</v>
      </c>
      <c r="Z19" s="443">
        <v>0</v>
      </c>
      <c r="AA19" s="443">
        <v>0</v>
      </c>
      <c r="AB19" s="443">
        <v>0</v>
      </c>
      <c r="AC19" s="443">
        <v>0</v>
      </c>
      <c r="AD19" s="443">
        <v>0</v>
      </c>
      <c r="AE19" s="443">
        <v>0</v>
      </c>
      <c r="AF19" s="33" t="s">
        <v>539</v>
      </c>
      <c r="AG19" s="406"/>
    </row>
    <row r="20" spans="1:33">
      <c r="A20" s="410" t="str">
        <f t="shared" si="0"/>
        <v>투자</v>
      </c>
      <c r="C20" s="450" t="s">
        <v>1065</v>
      </c>
      <c r="D20" s="442" t="s">
        <v>1185</v>
      </c>
      <c r="E20" s="442" t="s">
        <v>1183</v>
      </c>
      <c r="F20" s="442" t="s">
        <v>14</v>
      </c>
      <c r="G20" s="442" t="s">
        <v>532</v>
      </c>
      <c r="H20" s="442" t="s">
        <v>245</v>
      </c>
      <c r="I20" s="442" t="s">
        <v>1180</v>
      </c>
      <c r="J20" s="442" t="s">
        <v>260</v>
      </c>
      <c r="K20" s="442" t="s">
        <v>980</v>
      </c>
      <c r="L20" s="442">
        <v>2</v>
      </c>
      <c r="M20" s="442">
        <v>0</v>
      </c>
      <c r="N20" s="443">
        <v>10000000</v>
      </c>
      <c r="O20" s="443">
        <v>20000000</v>
      </c>
      <c r="P20" s="443">
        <v>0</v>
      </c>
      <c r="Q20" s="443">
        <v>0</v>
      </c>
      <c r="R20" s="443">
        <v>0</v>
      </c>
      <c r="S20" s="443">
        <v>1</v>
      </c>
      <c r="T20" s="443">
        <v>0</v>
      </c>
      <c r="U20" s="443">
        <v>0</v>
      </c>
      <c r="V20" s="443">
        <v>0</v>
      </c>
      <c r="W20" s="443">
        <v>0</v>
      </c>
      <c r="X20" s="443">
        <v>0</v>
      </c>
      <c r="Y20" s="443">
        <v>0</v>
      </c>
      <c r="Z20" s="443">
        <v>0</v>
      </c>
      <c r="AA20" s="443">
        <v>0</v>
      </c>
      <c r="AB20" s="443">
        <v>0</v>
      </c>
      <c r="AC20" s="443">
        <v>0</v>
      </c>
      <c r="AD20" s="443">
        <v>0</v>
      </c>
      <c r="AE20" s="443">
        <v>0</v>
      </c>
      <c r="AF20" s="33" t="s">
        <v>539</v>
      </c>
      <c r="AG20" s="406"/>
    </row>
    <row r="21" spans="1:33">
      <c r="A21" s="410" t="str">
        <f t="shared" si="0"/>
        <v>투자</v>
      </c>
      <c r="C21" s="450" t="s">
        <v>1066</v>
      </c>
      <c r="D21" s="442" t="s">
        <v>1185</v>
      </c>
      <c r="E21" s="442" t="s">
        <v>1183</v>
      </c>
      <c r="F21" s="442" t="s">
        <v>14</v>
      </c>
      <c r="G21" s="442" t="s">
        <v>532</v>
      </c>
      <c r="H21" s="442" t="s">
        <v>245</v>
      </c>
      <c r="I21" s="442" t="s">
        <v>1181</v>
      </c>
      <c r="J21" s="442" t="s">
        <v>260</v>
      </c>
      <c r="K21" s="442" t="s">
        <v>980</v>
      </c>
      <c r="L21" s="442">
        <v>2</v>
      </c>
      <c r="M21" s="442">
        <v>0</v>
      </c>
      <c r="N21" s="443">
        <v>10000000</v>
      </c>
      <c r="O21" s="443">
        <v>20000000</v>
      </c>
      <c r="P21" s="443">
        <v>0</v>
      </c>
      <c r="Q21" s="443">
        <v>0</v>
      </c>
      <c r="R21" s="443">
        <v>0</v>
      </c>
      <c r="S21" s="443">
        <v>1</v>
      </c>
      <c r="T21" s="443">
        <v>0</v>
      </c>
      <c r="U21" s="443">
        <v>0</v>
      </c>
      <c r="V21" s="443">
        <v>0</v>
      </c>
      <c r="W21" s="443">
        <v>0</v>
      </c>
      <c r="X21" s="443">
        <v>0</v>
      </c>
      <c r="Y21" s="443">
        <v>0</v>
      </c>
      <c r="Z21" s="443">
        <v>0</v>
      </c>
      <c r="AA21" s="443">
        <v>0</v>
      </c>
      <c r="AB21" s="443">
        <v>0</v>
      </c>
      <c r="AC21" s="443">
        <v>0</v>
      </c>
      <c r="AD21" s="443">
        <v>0</v>
      </c>
      <c r="AE21" s="443">
        <v>0</v>
      </c>
      <c r="AF21" s="33" t="s">
        <v>539</v>
      </c>
      <c r="AG21" s="406"/>
    </row>
    <row r="22" spans="1:33">
      <c r="A22" s="410" t="str">
        <f t="shared" si="0"/>
        <v>투자</v>
      </c>
      <c r="C22" s="450" t="s">
        <v>1067</v>
      </c>
      <c r="D22" s="442" t="s">
        <v>1185</v>
      </c>
      <c r="E22" s="442" t="s">
        <v>1183</v>
      </c>
      <c r="F22" s="442" t="s">
        <v>14</v>
      </c>
      <c r="G22" s="442" t="s">
        <v>532</v>
      </c>
      <c r="H22" s="442" t="s">
        <v>245</v>
      </c>
      <c r="I22" s="442" t="s">
        <v>1182</v>
      </c>
      <c r="J22" s="442" t="s">
        <v>260</v>
      </c>
      <c r="K22" s="442" t="s">
        <v>980</v>
      </c>
      <c r="L22" s="442">
        <v>2</v>
      </c>
      <c r="M22" s="442">
        <v>0</v>
      </c>
      <c r="N22" s="443">
        <v>10000000</v>
      </c>
      <c r="O22" s="443">
        <v>20000000</v>
      </c>
      <c r="P22" s="443">
        <v>0</v>
      </c>
      <c r="Q22" s="443">
        <v>0</v>
      </c>
      <c r="R22" s="443">
        <v>0</v>
      </c>
      <c r="S22" s="443">
        <v>1</v>
      </c>
      <c r="T22" s="443">
        <v>0</v>
      </c>
      <c r="U22" s="443">
        <v>0</v>
      </c>
      <c r="V22" s="443">
        <v>0</v>
      </c>
      <c r="W22" s="443">
        <v>0</v>
      </c>
      <c r="X22" s="443">
        <v>0</v>
      </c>
      <c r="Y22" s="443">
        <v>0</v>
      </c>
      <c r="Z22" s="443">
        <v>0</v>
      </c>
      <c r="AA22" s="443">
        <v>0</v>
      </c>
      <c r="AB22" s="443">
        <v>0</v>
      </c>
      <c r="AC22" s="443">
        <v>0</v>
      </c>
      <c r="AD22" s="443">
        <v>0</v>
      </c>
      <c r="AE22" s="443">
        <v>0</v>
      </c>
      <c r="AF22" s="33" t="s">
        <v>539</v>
      </c>
      <c r="AG22" s="406"/>
    </row>
    <row r="23" spans="1:33">
      <c r="A23" s="410" t="str">
        <f t="shared" si="0"/>
        <v>투자</v>
      </c>
      <c r="C23" s="450" t="s">
        <v>1068</v>
      </c>
      <c r="D23" s="442" t="s">
        <v>1185</v>
      </c>
      <c r="E23" s="442" t="s">
        <v>1183</v>
      </c>
      <c r="F23" s="442" t="s">
        <v>152</v>
      </c>
      <c r="G23" s="442" t="s">
        <v>153</v>
      </c>
      <c r="H23" s="442" t="s">
        <v>1462</v>
      </c>
      <c r="I23" s="442" t="s">
        <v>1463</v>
      </c>
      <c r="J23" s="442">
        <v>0</v>
      </c>
      <c r="K23" s="442" t="s">
        <v>852</v>
      </c>
      <c r="L23" s="442">
        <v>32</v>
      </c>
      <c r="M23" s="442">
        <v>0</v>
      </c>
      <c r="N23" s="443">
        <v>0</v>
      </c>
      <c r="O23" s="443">
        <v>0</v>
      </c>
      <c r="P23" s="443">
        <v>5</v>
      </c>
      <c r="Q23" s="443">
        <v>32</v>
      </c>
      <c r="R23" s="443">
        <v>0.375</v>
      </c>
      <c r="S23" s="443">
        <v>1</v>
      </c>
      <c r="T23" s="443">
        <v>144000000</v>
      </c>
      <c r="U23" s="443">
        <v>31500000</v>
      </c>
      <c r="V23" s="443">
        <v>54000000</v>
      </c>
      <c r="W23" s="443">
        <v>54000000</v>
      </c>
      <c r="X23" s="443">
        <v>4500000</v>
      </c>
      <c r="Y23" s="443">
        <v>0</v>
      </c>
      <c r="Z23" s="443">
        <v>0</v>
      </c>
      <c r="AA23" s="443">
        <v>0</v>
      </c>
      <c r="AB23" s="443">
        <v>0</v>
      </c>
      <c r="AC23" s="443">
        <v>0</v>
      </c>
      <c r="AD23" s="443">
        <v>0</v>
      </c>
      <c r="AE23" s="443">
        <v>0</v>
      </c>
      <c r="AF23" s="33" t="s">
        <v>539</v>
      </c>
      <c r="AG23" s="406"/>
    </row>
    <row r="24" spans="1:33">
      <c r="A24" s="410" t="str">
        <f t="shared" si="0"/>
        <v>투자</v>
      </c>
      <c r="C24" s="450" t="s">
        <v>1069</v>
      </c>
      <c r="D24" s="442" t="s">
        <v>1185</v>
      </c>
      <c r="E24" s="442" t="s">
        <v>1183</v>
      </c>
      <c r="F24" s="442" t="s">
        <v>14</v>
      </c>
      <c r="G24" s="442" t="s">
        <v>979</v>
      </c>
      <c r="H24" s="442" t="s">
        <v>1464</v>
      </c>
      <c r="I24" s="442" t="s">
        <v>689</v>
      </c>
      <c r="J24" s="442" t="s">
        <v>1465</v>
      </c>
      <c r="K24" s="442" t="s">
        <v>734</v>
      </c>
      <c r="L24" s="442">
        <v>2</v>
      </c>
      <c r="M24" s="442">
        <v>0</v>
      </c>
      <c r="N24" s="443">
        <v>4674140</v>
      </c>
      <c r="O24" s="443">
        <v>9348280</v>
      </c>
      <c r="P24" s="443">
        <v>36</v>
      </c>
      <c r="Q24" s="443">
        <v>84</v>
      </c>
      <c r="R24" s="443">
        <v>0.04</v>
      </c>
      <c r="S24" s="443">
        <v>1</v>
      </c>
      <c r="T24" s="443">
        <v>2617518.4000000008</v>
      </c>
      <c r="U24" s="443">
        <v>0</v>
      </c>
      <c r="V24" s="443">
        <v>0</v>
      </c>
      <c r="W24" s="443">
        <v>0</v>
      </c>
      <c r="X24" s="443">
        <v>373931.20000000013</v>
      </c>
      <c r="Y24" s="443">
        <v>373931.20000000013</v>
      </c>
      <c r="Z24" s="443">
        <v>373931.20000000013</v>
      </c>
      <c r="AA24" s="443">
        <v>373931.20000000013</v>
      </c>
      <c r="AB24" s="443">
        <v>373931.20000000013</v>
      </c>
      <c r="AC24" s="443">
        <v>373931.20000000013</v>
      </c>
      <c r="AD24" s="443">
        <v>373931.20000000013</v>
      </c>
      <c r="AE24" s="443">
        <v>0</v>
      </c>
      <c r="AF24" s="33" t="s">
        <v>1084</v>
      </c>
      <c r="AG24" s="406"/>
    </row>
    <row r="25" spans="1:33">
      <c r="A25" s="410" t="str">
        <f t="shared" si="0"/>
        <v>투자</v>
      </c>
      <c r="C25" s="450" t="s">
        <v>1070</v>
      </c>
      <c r="D25" s="442" t="s">
        <v>1185</v>
      </c>
      <c r="E25" s="442" t="s">
        <v>1183</v>
      </c>
      <c r="F25" s="442" t="s">
        <v>14</v>
      </c>
      <c r="G25" s="442" t="s">
        <v>979</v>
      </c>
      <c r="H25" s="442" t="s">
        <v>1467</v>
      </c>
      <c r="I25" s="442" t="s">
        <v>689</v>
      </c>
      <c r="J25" s="442" t="s">
        <v>1465</v>
      </c>
      <c r="K25" s="442" t="s">
        <v>734</v>
      </c>
      <c r="L25" s="442">
        <v>2</v>
      </c>
      <c r="M25" s="442">
        <v>0</v>
      </c>
      <c r="N25" s="443">
        <v>4674140</v>
      </c>
      <c r="O25" s="443">
        <v>9348280</v>
      </c>
      <c r="P25" s="443">
        <v>36</v>
      </c>
      <c r="Q25" s="443">
        <v>84</v>
      </c>
      <c r="R25" s="443">
        <v>0.04</v>
      </c>
      <c r="S25" s="443">
        <v>1</v>
      </c>
      <c r="T25" s="443">
        <v>2617518.4000000008</v>
      </c>
      <c r="U25" s="443">
        <v>0</v>
      </c>
      <c r="V25" s="443">
        <v>0</v>
      </c>
      <c r="W25" s="443">
        <v>0</v>
      </c>
      <c r="X25" s="443">
        <v>373931.20000000013</v>
      </c>
      <c r="Y25" s="443">
        <v>373931.20000000013</v>
      </c>
      <c r="Z25" s="443">
        <v>373931.20000000013</v>
      </c>
      <c r="AA25" s="443">
        <v>373931.20000000013</v>
      </c>
      <c r="AB25" s="443">
        <v>373931.20000000013</v>
      </c>
      <c r="AC25" s="443">
        <v>373931.20000000013</v>
      </c>
      <c r="AD25" s="443">
        <v>373931.20000000013</v>
      </c>
      <c r="AE25" s="443">
        <v>0</v>
      </c>
      <c r="AF25" s="33" t="s">
        <v>1084</v>
      </c>
      <c r="AG25" s="406"/>
    </row>
    <row r="26" spans="1:33">
      <c r="A26" s="410" t="str">
        <f t="shared" si="0"/>
        <v>투자</v>
      </c>
      <c r="C26" s="450" t="s">
        <v>1071</v>
      </c>
      <c r="D26" s="442" t="s">
        <v>1185</v>
      </c>
      <c r="E26" s="442" t="s">
        <v>1183</v>
      </c>
      <c r="F26" s="442" t="s">
        <v>14</v>
      </c>
      <c r="G26" s="442" t="s">
        <v>979</v>
      </c>
      <c r="H26" s="442" t="s">
        <v>1468</v>
      </c>
      <c r="I26" s="442" t="s">
        <v>689</v>
      </c>
      <c r="J26" s="442" t="s">
        <v>1469</v>
      </c>
      <c r="K26" s="442" t="s">
        <v>734</v>
      </c>
      <c r="L26" s="442">
        <v>2</v>
      </c>
      <c r="M26" s="442">
        <v>0</v>
      </c>
      <c r="N26" s="443">
        <v>8053430</v>
      </c>
      <c r="O26" s="443">
        <v>16106860</v>
      </c>
      <c r="P26" s="443">
        <v>36</v>
      </c>
      <c r="Q26" s="443">
        <v>84</v>
      </c>
      <c r="R26" s="443">
        <v>0.04</v>
      </c>
      <c r="S26" s="443">
        <v>1</v>
      </c>
      <c r="T26" s="443">
        <v>4509920.8</v>
      </c>
      <c r="U26" s="443">
        <v>0</v>
      </c>
      <c r="V26" s="443">
        <v>0</v>
      </c>
      <c r="W26" s="443">
        <v>0</v>
      </c>
      <c r="X26" s="443">
        <v>644274.4</v>
      </c>
      <c r="Y26" s="443">
        <v>644274.4</v>
      </c>
      <c r="Z26" s="443">
        <v>644274.4</v>
      </c>
      <c r="AA26" s="443">
        <v>644274.4</v>
      </c>
      <c r="AB26" s="443">
        <v>644274.4</v>
      </c>
      <c r="AC26" s="443">
        <v>644274.4</v>
      </c>
      <c r="AD26" s="443">
        <v>644274.4</v>
      </c>
      <c r="AE26" s="443">
        <v>0</v>
      </c>
      <c r="AF26" s="33" t="s">
        <v>1084</v>
      </c>
      <c r="AG26" s="406"/>
    </row>
    <row r="27" spans="1:33">
      <c r="A27" s="410" t="str">
        <f t="shared" si="0"/>
        <v>투자</v>
      </c>
      <c r="C27" s="450" t="s">
        <v>1072</v>
      </c>
      <c r="D27" s="442" t="s">
        <v>1185</v>
      </c>
      <c r="E27" s="442" t="s">
        <v>1183</v>
      </c>
      <c r="F27" s="442" t="s">
        <v>14</v>
      </c>
      <c r="G27" s="442" t="s">
        <v>979</v>
      </c>
      <c r="H27" s="442" t="s">
        <v>702</v>
      </c>
      <c r="I27" s="442" t="s">
        <v>703</v>
      </c>
      <c r="J27" s="442" t="s">
        <v>1470</v>
      </c>
      <c r="K27" s="442" t="s">
        <v>734</v>
      </c>
      <c r="L27" s="442">
        <v>1</v>
      </c>
      <c r="M27" s="442">
        <v>0</v>
      </c>
      <c r="N27" s="443">
        <v>29000000</v>
      </c>
      <c r="O27" s="443">
        <v>29000000</v>
      </c>
      <c r="P27" s="443">
        <v>36</v>
      </c>
      <c r="Q27" s="443">
        <v>84</v>
      </c>
      <c r="R27" s="443">
        <v>0.08</v>
      </c>
      <c r="S27" s="443">
        <v>1</v>
      </c>
      <c r="T27" s="443">
        <v>16240000</v>
      </c>
      <c r="U27" s="443">
        <v>0</v>
      </c>
      <c r="V27" s="443">
        <v>0</v>
      </c>
      <c r="W27" s="443">
        <v>0</v>
      </c>
      <c r="X27" s="443">
        <v>2320000</v>
      </c>
      <c r="Y27" s="443">
        <v>2320000</v>
      </c>
      <c r="Z27" s="443">
        <v>2320000</v>
      </c>
      <c r="AA27" s="443">
        <v>2320000</v>
      </c>
      <c r="AB27" s="443">
        <v>2320000</v>
      </c>
      <c r="AC27" s="443">
        <v>2320000</v>
      </c>
      <c r="AD27" s="443">
        <v>2320000</v>
      </c>
      <c r="AE27" s="443">
        <v>0</v>
      </c>
      <c r="AF27" s="33" t="s">
        <v>1084</v>
      </c>
      <c r="AG27" s="406"/>
    </row>
    <row r="28" spans="1:33">
      <c r="A28" s="410" t="str">
        <f t="shared" si="0"/>
        <v>투자</v>
      </c>
      <c r="C28" s="450" t="s">
        <v>1073</v>
      </c>
      <c r="D28" s="442" t="s">
        <v>1185</v>
      </c>
      <c r="E28" s="442" t="s">
        <v>1183</v>
      </c>
      <c r="F28" s="442" t="s">
        <v>14</v>
      </c>
      <c r="G28" s="442" t="s">
        <v>979</v>
      </c>
      <c r="H28" s="442" t="s">
        <v>1471</v>
      </c>
      <c r="I28" s="442" t="s">
        <v>1472</v>
      </c>
      <c r="J28" s="442" t="s">
        <v>1473</v>
      </c>
      <c r="K28" s="442" t="s">
        <v>789</v>
      </c>
      <c r="L28" s="442">
        <v>6</v>
      </c>
      <c r="M28" s="442">
        <v>0</v>
      </c>
      <c r="N28" s="443">
        <v>1050000</v>
      </c>
      <c r="O28" s="443">
        <v>6300000</v>
      </c>
      <c r="P28" s="443">
        <v>12</v>
      </c>
      <c r="Q28" s="443">
        <v>108</v>
      </c>
      <c r="R28" s="443">
        <v>2</v>
      </c>
      <c r="S28" s="443">
        <v>1</v>
      </c>
      <c r="T28" s="443">
        <v>113400000</v>
      </c>
      <c r="U28" s="443">
        <v>0</v>
      </c>
      <c r="V28" s="443">
        <v>12600000</v>
      </c>
      <c r="W28" s="443">
        <v>12600000</v>
      </c>
      <c r="X28" s="443">
        <v>12600000</v>
      </c>
      <c r="Y28" s="443">
        <v>12600000</v>
      </c>
      <c r="Z28" s="443">
        <v>12600000</v>
      </c>
      <c r="AA28" s="443">
        <v>12600000</v>
      </c>
      <c r="AB28" s="443">
        <v>12600000</v>
      </c>
      <c r="AC28" s="443">
        <v>12600000</v>
      </c>
      <c r="AD28" s="443">
        <v>12600000</v>
      </c>
      <c r="AE28" s="443">
        <v>0</v>
      </c>
      <c r="AF28" s="33" t="s">
        <v>1084</v>
      </c>
      <c r="AG28" s="406"/>
    </row>
    <row r="29" spans="1:33">
      <c r="A29" s="410" t="str">
        <f t="shared" si="0"/>
        <v>투자</v>
      </c>
      <c r="C29" s="450" t="s">
        <v>1074</v>
      </c>
      <c r="D29" s="442" t="s">
        <v>1185</v>
      </c>
      <c r="E29" s="442" t="s">
        <v>1183</v>
      </c>
      <c r="F29" s="442" t="s">
        <v>14</v>
      </c>
      <c r="G29" s="442" t="s">
        <v>979</v>
      </c>
      <c r="H29" s="442" t="s">
        <v>728</v>
      </c>
      <c r="I29" s="442" t="s">
        <v>729</v>
      </c>
      <c r="J29" s="442" t="s">
        <v>1475</v>
      </c>
      <c r="K29" s="442" t="s">
        <v>734</v>
      </c>
      <c r="L29" s="442">
        <v>6</v>
      </c>
      <c r="M29" s="442">
        <v>0</v>
      </c>
      <c r="N29" s="443">
        <v>100000</v>
      </c>
      <c r="O29" s="443">
        <v>600000</v>
      </c>
      <c r="P29" s="443">
        <v>0</v>
      </c>
      <c r="Q29" s="443">
        <v>0</v>
      </c>
      <c r="R29" s="443">
        <v>0</v>
      </c>
      <c r="S29" s="443">
        <v>1</v>
      </c>
      <c r="T29" s="443">
        <v>0</v>
      </c>
      <c r="U29" s="443">
        <v>0</v>
      </c>
      <c r="V29" s="443">
        <v>0</v>
      </c>
      <c r="W29" s="443">
        <v>0</v>
      </c>
      <c r="X29" s="443">
        <v>0</v>
      </c>
      <c r="Y29" s="443">
        <v>0</v>
      </c>
      <c r="Z29" s="443">
        <v>0</v>
      </c>
      <c r="AA29" s="443">
        <v>0</v>
      </c>
      <c r="AB29" s="443">
        <v>0</v>
      </c>
      <c r="AC29" s="443">
        <v>0</v>
      </c>
      <c r="AD29" s="443">
        <v>0</v>
      </c>
      <c r="AE29" s="443">
        <v>0</v>
      </c>
      <c r="AF29" s="33" t="s">
        <v>1084</v>
      </c>
      <c r="AG29" s="406"/>
    </row>
    <row r="30" spans="1:33" ht="34.799999999999997">
      <c r="A30" s="410" t="str">
        <f t="shared" si="0"/>
        <v>투자</v>
      </c>
      <c r="C30" s="450" t="s">
        <v>1075</v>
      </c>
      <c r="D30" s="442" t="s">
        <v>1185</v>
      </c>
      <c r="E30" s="442" t="s">
        <v>1183</v>
      </c>
      <c r="F30" s="442" t="s">
        <v>14</v>
      </c>
      <c r="G30" s="442" t="s">
        <v>979</v>
      </c>
      <c r="H30" s="442" t="s">
        <v>722</v>
      </c>
      <c r="I30" s="442" t="s">
        <v>723</v>
      </c>
      <c r="J30" s="444" t="s">
        <v>724</v>
      </c>
      <c r="K30" s="442" t="s">
        <v>262</v>
      </c>
      <c r="L30" s="442">
        <v>4</v>
      </c>
      <c r="M30" s="442">
        <v>0</v>
      </c>
      <c r="N30" s="443">
        <v>250000</v>
      </c>
      <c r="O30" s="443">
        <v>1000000</v>
      </c>
      <c r="P30" s="443">
        <v>0</v>
      </c>
      <c r="Q30" s="443">
        <v>0</v>
      </c>
      <c r="R30" s="443">
        <v>0</v>
      </c>
      <c r="S30" s="443">
        <v>1</v>
      </c>
      <c r="T30" s="443">
        <v>0</v>
      </c>
      <c r="U30" s="443">
        <v>0</v>
      </c>
      <c r="V30" s="443">
        <v>0</v>
      </c>
      <c r="W30" s="443">
        <v>0</v>
      </c>
      <c r="X30" s="443">
        <v>0</v>
      </c>
      <c r="Y30" s="443">
        <v>0</v>
      </c>
      <c r="Z30" s="443">
        <v>0</v>
      </c>
      <c r="AA30" s="443">
        <v>0</v>
      </c>
      <c r="AB30" s="443">
        <v>0</v>
      </c>
      <c r="AC30" s="443">
        <v>0</v>
      </c>
      <c r="AD30" s="443">
        <v>0</v>
      </c>
      <c r="AE30" s="443">
        <v>0</v>
      </c>
      <c r="AF30" s="33" t="s">
        <v>1084</v>
      </c>
      <c r="AG30" s="406"/>
    </row>
    <row r="31" spans="1:33">
      <c r="A31" s="410" t="str">
        <f t="shared" si="0"/>
        <v>투자</v>
      </c>
      <c r="C31" s="450" t="s">
        <v>1076</v>
      </c>
      <c r="D31" s="442" t="s">
        <v>1185</v>
      </c>
      <c r="E31" s="442" t="s">
        <v>1183</v>
      </c>
      <c r="F31" s="442" t="s">
        <v>14</v>
      </c>
      <c r="G31" s="442" t="s">
        <v>979</v>
      </c>
      <c r="H31" s="442" t="s">
        <v>1191</v>
      </c>
      <c r="I31" s="442" t="s">
        <v>1192</v>
      </c>
      <c r="J31" s="442" t="s">
        <v>1193</v>
      </c>
      <c r="K31" s="442" t="s">
        <v>734</v>
      </c>
      <c r="L31" s="442">
        <v>2</v>
      </c>
      <c r="M31" s="442">
        <v>0</v>
      </c>
      <c r="N31" s="443">
        <v>5300000</v>
      </c>
      <c r="O31" s="443">
        <v>10600000</v>
      </c>
      <c r="P31" s="443">
        <v>12</v>
      </c>
      <c r="Q31" s="443">
        <v>108</v>
      </c>
      <c r="R31" s="443">
        <v>0.12</v>
      </c>
      <c r="S31" s="443">
        <v>1</v>
      </c>
      <c r="T31" s="443">
        <v>11448000</v>
      </c>
      <c r="U31" s="443">
        <v>0</v>
      </c>
      <c r="V31" s="443">
        <v>1272000</v>
      </c>
      <c r="W31" s="443">
        <v>1272000</v>
      </c>
      <c r="X31" s="443">
        <v>1272000</v>
      </c>
      <c r="Y31" s="443">
        <v>1272000</v>
      </c>
      <c r="Z31" s="443">
        <v>1272000</v>
      </c>
      <c r="AA31" s="443">
        <v>1272000</v>
      </c>
      <c r="AB31" s="443">
        <v>1272000</v>
      </c>
      <c r="AC31" s="443">
        <v>1272000</v>
      </c>
      <c r="AD31" s="443">
        <v>1272000</v>
      </c>
      <c r="AE31" s="443">
        <v>0</v>
      </c>
      <c r="AF31" s="33" t="s">
        <v>1084</v>
      </c>
      <c r="AG31" s="406"/>
    </row>
    <row r="32" spans="1:33">
      <c r="A32" s="410" t="str">
        <f t="shared" si="0"/>
        <v>투자</v>
      </c>
      <c r="C32" s="450" t="s">
        <v>1077</v>
      </c>
      <c r="D32" s="442" t="s">
        <v>1185</v>
      </c>
      <c r="E32" s="442" t="s">
        <v>1183</v>
      </c>
      <c r="F32" s="442" t="s">
        <v>14</v>
      </c>
      <c r="G32" s="442" t="s">
        <v>979</v>
      </c>
      <c r="H32" s="442" t="s">
        <v>1477</v>
      </c>
      <c r="I32" s="442" t="s">
        <v>689</v>
      </c>
      <c r="J32" s="442" t="s">
        <v>1478</v>
      </c>
      <c r="K32" s="442" t="s">
        <v>734</v>
      </c>
      <c r="L32" s="442">
        <v>2</v>
      </c>
      <c r="M32" s="442">
        <v>0</v>
      </c>
      <c r="N32" s="443">
        <v>2327220</v>
      </c>
      <c r="O32" s="443">
        <v>4654440</v>
      </c>
      <c r="P32" s="443">
        <v>36</v>
      </c>
      <c r="Q32" s="443">
        <v>84</v>
      </c>
      <c r="R32" s="443">
        <v>0.04</v>
      </c>
      <c r="S32" s="443">
        <v>1</v>
      </c>
      <c r="T32" s="443">
        <v>1303243.1999999997</v>
      </c>
      <c r="U32" s="443">
        <v>0</v>
      </c>
      <c r="V32" s="443">
        <v>0</v>
      </c>
      <c r="W32" s="443">
        <v>0</v>
      </c>
      <c r="X32" s="443">
        <v>186177.59999999998</v>
      </c>
      <c r="Y32" s="443">
        <v>186177.59999999998</v>
      </c>
      <c r="Z32" s="443">
        <v>186177.59999999998</v>
      </c>
      <c r="AA32" s="443">
        <v>186177.59999999998</v>
      </c>
      <c r="AB32" s="443">
        <v>186177.59999999998</v>
      </c>
      <c r="AC32" s="443">
        <v>186177.59999999998</v>
      </c>
      <c r="AD32" s="443">
        <v>186177.59999999998</v>
      </c>
      <c r="AE32" s="443">
        <v>0</v>
      </c>
      <c r="AF32" s="33" t="s">
        <v>1084</v>
      </c>
      <c r="AG32" s="406"/>
    </row>
    <row r="33" spans="1:33">
      <c r="A33" s="410" t="str">
        <f t="shared" si="0"/>
        <v>투자</v>
      </c>
      <c r="C33" s="450" t="s">
        <v>1078</v>
      </c>
      <c r="D33" s="442" t="s">
        <v>1185</v>
      </c>
      <c r="E33" s="442" t="s">
        <v>1183</v>
      </c>
      <c r="F33" s="442" t="s">
        <v>14</v>
      </c>
      <c r="G33" s="442" t="s">
        <v>977</v>
      </c>
      <c r="H33" s="442" t="s">
        <v>780</v>
      </c>
      <c r="I33" s="442" t="s">
        <v>781</v>
      </c>
      <c r="J33" s="442" t="s">
        <v>782</v>
      </c>
      <c r="K33" s="442" t="s">
        <v>789</v>
      </c>
      <c r="L33" s="442">
        <v>2</v>
      </c>
      <c r="M33" s="442">
        <v>0</v>
      </c>
      <c r="N33" s="443">
        <v>5000000</v>
      </c>
      <c r="O33" s="443">
        <v>10000000</v>
      </c>
      <c r="P33" s="443">
        <v>12</v>
      </c>
      <c r="Q33" s="443">
        <v>108</v>
      </c>
      <c r="R33" s="443">
        <v>0.12</v>
      </c>
      <c r="S33" s="443">
        <v>1</v>
      </c>
      <c r="T33" s="443">
        <v>10800000</v>
      </c>
      <c r="U33" s="443">
        <v>0</v>
      </c>
      <c r="V33" s="443">
        <v>1200000</v>
      </c>
      <c r="W33" s="443">
        <v>1200000</v>
      </c>
      <c r="X33" s="443">
        <v>1200000</v>
      </c>
      <c r="Y33" s="443">
        <v>1200000</v>
      </c>
      <c r="Z33" s="443">
        <v>1200000</v>
      </c>
      <c r="AA33" s="443">
        <v>1200000</v>
      </c>
      <c r="AB33" s="443">
        <v>1200000</v>
      </c>
      <c r="AC33" s="443">
        <v>1200000</v>
      </c>
      <c r="AD33" s="443">
        <v>1200000</v>
      </c>
      <c r="AE33" s="443">
        <v>0</v>
      </c>
      <c r="AF33" s="33" t="s">
        <v>1084</v>
      </c>
      <c r="AG33" s="406"/>
    </row>
    <row r="34" spans="1:33">
      <c r="A34" s="410" t="str">
        <f t="shared" si="0"/>
        <v>투자</v>
      </c>
      <c r="C34" s="450" t="s">
        <v>1079</v>
      </c>
      <c r="D34" s="442" t="s">
        <v>1185</v>
      </c>
      <c r="E34" s="442" t="s">
        <v>1183</v>
      </c>
      <c r="F34" s="442" t="s">
        <v>14</v>
      </c>
      <c r="G34" s="442" t="s">
        <v>977</v>
      </c>
      <c r="H34" s="442" t="s">
        <v>618</v>
      </c>
      <c r="I34" s="442" t="s">
        <v>1480</v>
      </c>
      <c r="J34" s="442" t="s">
        <v>1480</v>
      </c>
      <c r="K34" s="442" t="s">
        <v>590</v>
      </c>
      <c r="L34" s="442">
        <v>1</v>
      </c>
      <c r="M34" s="442">
        <v>0</v>
      </c>
      <c r="N34" s="443">
        <v>48000000</v>
      </c>
      <c r="O34" s="443">
        <v>48000000</v>
      </c>
      <c r="P34" s="443">
        <v>19</v>
      </c>
      <c r="Q34" s="443">
        <v>101</v>
      </c>
      <c r="R34" s="443">
        <v>0.12</v>
      </c>
      <c r="S34" s="443">
        <v>1</v>
      </c>
      <c r="T34" s="443">
        <v>48480000</v>
      </c>
      <c r="U34" s="443">
        <v>0</v>
      </c>
      <c r="V34" s="443">
        <v>2400000</v>
      </c>
      <c r="W34" s="443">
        <v>5760000</v>
      </c>
      <c r="X34" s="443">
        <v>5760000</v>
      </c>
      <c r="Y34" s="443">
        <v>5760000</v>
      </c>
      <c r="Z34" s="443">
        <v>5760000</v>
      </c>
      <c r="AA34" s="443">
        <v>5760000</v>
      </c>
      <c r="AB34" s="443">
        <v>5760000</v>
      </c>
      <c r="AC34" s="443">
        <v>5760000</v>
      </c>
      <c r="AD34" s="443">
        <v>5760000</v>
      </c>
      <c r="AE34" s="443">
        <v>0</v>
      </c>
      <c r="AF34" s="33" t="s">
        <v>539</v>
      </c>
      <c r="AG34" s="406"/>
    </row>
    <row r="35" spans="1:33">
      <c r="A35" s="410" t="str">
        <f t="shared" si="0"/>
        <v>투자</v>
      </c>
      <c r="C35" s="450" t="s">
        <v>1080</v>
      </c>
      <c r="D35" s="442" t="s">
        <v>1185</v>
      </c>
      <c r="E35" s="442" t="s">
        <v>1183</v>
      </c>
      <c r="F35" s="442" t="s">
        <v>14</v>
      </c>
      <c r="G35" s="442" t="s">
        <v>977</v>
      </c>
      <c r="H35" s="442" t="s">
        <v>780</v>
      </c>
      <c r="I35" s="442" t="s">
        <v>781</v>
      </c>
      <c r="J35" s="442" t="s">
        <v>782</v>
      </c>
      <c r="K35" s="442" t="s">
        <v>789</v>
      </c>
      <c r="L35" s="442">
        <v>4</v>
      </c>
      <c r="M35" s="442">
        <v>0</v>
      </c>
      <c r="N35" s="443">
        <v>5000000</v>
      </c>
      <c r="O35" s="443">
        <v>20000000</v>
      </c>
      <c r="P35" s="443">
        <v>12</v>
      </c>
      <c r="Q35" s="443">
        <v>108</v>
      </c>
      <c r="R35" s="443">
        <v>0.12</v>
      </c>
      <c r="S35" s="443">
        <v>1</v>
      </c>
      <c r="T35" s="443">
        <v>21600000</v>
      </c>
      <c r="U35" s="443">
        <v>0</v>
      </c>
      <c r="V35" s="443">
        <v>2400000</v>
      </c>
      <c r="W35" s="443">
        <v>2400000</v>
      </c>
      <c r="X35" s="443">
        <v>2400000</v>
      </c>
      <c r="Y35" s="443">
        <v>2400000</v>
      </c>
      <c r="Z35" s="443">
        <v>2400000</v>
      </c>
      <c r="AA35" s="443">
        <v>2400000</v>
      </c>
      <c r="AB35" s="443">
        <v>2400000</v>
      </c>
      <c r="AC35" s="443">
        <v>2400000</v>
      </c>
      <c r="AD35" s="443">
        <v>2400000</v>
      </c>
      <c r="AE35" s="443">
        <v>0</v>
      </c>
      <c r="AF35" s="33" t="s">
        <v>1084</v>
      </c>
      <c r="AG35" s="406"/>
    </row>
    <row r="36" spans="1:33">
      <c r="A36" s="410" t="str">
        <f t="shared" si="0"/>
        <v>투자</v>
      </c>
      <c r="C36" s="450" t="s">
        <v>1081</v>
      </c>
      <c r="D36" s="442" t="s">
        <v>1185</v>
      </c>
      <c r="E36" s="442" t="s">
        <v>1183</v>
      </c>
      <c r="F36" s="442" t="s">
        <v>14</v>
      </c>
      <c r="G36" s="442" t="s">
        <v>977</v>
      </c>
      <c r="H36" s="442" t="s">
        <v>783</v>
      </c>
      <c r="I36" s="442" t="s">
        <v>784</v>
      </c>
      <c r="J36" s="442" t="s">
        <v>785</v>
      </c>
      <c r="K36" s="442" t="s">
        <v>789</v>
      </c>
      <c r="L36" s="442">
        <v>6</v>
      </c>
      <c r="M36" s="442">
        <v>0</v>
      </c>
      <c r="N36" s="443">
        <v>200000</v>
      </c>
      <c r="O36" s="443">
        <v>1200000</v>
      </c>
      <c r="P36" s="443">
        <v>12</v>
      </c>
      <c r="Q36" s="443">
        <v>108</v>
      </c>
      <c r="R36" s="443">
        <v>0.1</v>
      </c>
      <c r="S36" s="443">
        <v>1</v>
      </c>
      <c r="T36" s="443">
        <v>1080000</v>
      </c>
      <c r="U36" s="443">
        <v>0</v>
      </c>
      <c r="V36" s="443">
        <v>120000</v>
      </c>
      <c r="W36" s="443">
        <v>120000</v>
      </c>
      <c r="X36" s="443">
        <v>120000</v>
      </c>
      <c r="Y36" s="443">
        <v>120000</v>
      </c>
      <c r="Z36" s="443">
        <v>120000</v>
      </c>
      <c r="AA36" s="443">
        <v>120000</v>
      </c>
      <c r="AB36" s="443">
        <v>120000</v>
      </c>
      <c r="AC36" s="443">
        <v>120000</v>
      </c>
      <c r="AD36" s="443">
        <v>120000</v>
      </c>
      <c r="AE36" s="443">
        <v>0</v>
      </c>
      <c r="AF36" s="33" t="s">
        <v>1084</v>
      </c>
      <c r="AG36" s="406"/>
    </row>
    <row r="37" spans="1:33">
      <c r="A37" s="410" t="str">
        <f t="shared" ref="A37:A68" si="1">IF(C37&lt;&gt;"",IF(LEFT(C37,3)="인건비","운영하도급",IF(LEFT(C37,3)="구축비", "투자","수행비용")),"")</f>
        <v>투자</v>
      </c>
      <c r="C37" s="450" t="s">
        <v>1082</v>
      </c>
      <c r="D37" s="442" t="s">
        <v>1185</v>
      </c>
      <c r="E37" s="442" t="s">
        <v>1183</v>
      </c>
      <c r="F37" s="442" t="s">
        <v>14</v>
      </c>
      <c r="G37" s="442" t="s">
        <v>977</v>
      </c>
      <c r="H37" s="442" t="s">
        <v>1194</v>
      </c>
      <c r="I37" s="442" t="s">
        <v>1195</v>
      </c>
      <c r="J37" s="442" t="s">
        <v>1483</v>
      </c>
      <c r="K37" s="442" t="s">
        <v>789</v>
      </c>
      <c r="L37" s="442">
        <v>16</v>
      </c>
      <c r="M37" s="442">
        <v>0</v>
      </c>
      <c r="N37" s="443">
        <v>1500000</v>
      </c>
      <c r="O37" s="443">
        <v>24000000</v>
      </c>
      <c r="P37" s="443">
        <v>12</v>
      </c>
      <c r="Q37" s="443">
        <v>108</v>
      </c>
      <c r="R37" s="443">
        <v>0.1</v>
      </c>
      <c r="S37" s="443">
        <v>1</v>
      </c>
      <c r="T37" s="443">
        <v>21600000</v>
      </c>
      <c r="U37" s="443">
        <v>0</v>
      </c>
      <c r="V37" s="443">
        <v>2400000</v>
      </c>
      <c r="W37" s="443">
        <v>2400000</v>
      </c>
      <c r="X37" s="443">
        <v>2400000</v>
      </c>
      <c r="Y37" s="443">
        <v>2400000</v>
      </c>
      <c r="Z37" s="443">
        <v>2400000</v>
      </c>
      <c r="AA37" s="443">
        <v>2400000</v>
      </c>
      <c r="AB37" s="443">
        <v>2400000</v>
      </c>
      <c r="AC37" s="443">
        <v>2400000</v>
      </c>
      <c r="AD37" s="443">
        <v>2400000</v>
      </c>
      <c r="AE37" s="443">
        <v>0</v>
      </c>
      <c r="AF37" s="33" t="s">
        <v>1084</v>
      </c>
      <c r="AG37" s="406"/>
    </row>
    <row r="38" spans="1:33">
      <c r="A38" s="410" t="str">
        <f t="shared" si="1"/>
        <v>운영하도급</v>
      </c>
      <c r="C38" s="450" t="s">
        <v>982</v>
      </c>
      <c r="D38" s="442" t="s">
        <v>1185</v>
      </c>
      <c r="E38" s="442" t="s">
        <v>159</v>
      </c>
      <c r="F38" s="442" t="s">
        <v>1200</v>
      </c>
      <c r="G38" s="442" t="s">
        <v>1201</v>
      </c>
      <c r="H38" s="442">
        <v>0</v>
      </c>
      <c r="I38" s="442">
        <v>0</v>
      </c>
      <c r="J38" s="442">
        <v>0</v>
      </c>
      <c r="K38" s="442" t="s">
        <v>899</v>
      </c>
      <c r="L38" s="442">
        <v>0</v>
      </c>
      <c r="M38" s="442">
        <v>0</v>
      </c>
      <c r="N38" s="443">
        <v>0</v>
      </c>
      <c r="O38" s="443">
        <v>0</v>
      </c>
      <c r="P38" s="443">
        <v>0</v>
      </c>
      <c r="Q38" s="443">
        <v>0</v>
      </c>
      <c r="R38" s="443">
        <v>0</v>
      </c>
      <c r="S38" s="443">
        <v>0</v>
      </c>
      <c r="T38" s="443">
        <v>387956284.33375376</v>
      </c>
      <c r="U38" s="443">
        <v>34579147.085222334</v>
      </c>
      <c r="V38" s="443">
        <v>35454371.578101099</v>
      </c>
      <c r="W38" s="443">
        <v>36351748.668065242</v>
      </c>
      <c r="X38" s="443">
        <v>37271839.054182939</v>
      </c>
      <c r="Y38" s="443">
        <v>38215217.627241991</v>
      </c>
      <c r="Z38" s="443">
        <v>39182473.828952901</v>
      </c>
      <c r="AA38" s="443">
        <v>40174212.020243809</v>
      </c>
      <c r="AB38" s="443">
        <v>41191051.858877324</v>
      </c>
      <c r="AC38" s="443">
        <v>42233628.686624922</v>
      </c>
      <c r="AD38" s="443">
        <v>43302593.926241182</v>
      </c>
      <c r="AE38" s="443">
        <v>0</v>
      </c>
      <c r="AF38" s="33" t="s">
        <v>1417</v>
      </c>
      <c r="AG38" s="406"/>
    </row>
    <row r="39" spans="1:33">
      <c r="A39" s="410" t="str">
        <f t="shared" si="1"/>
        <v>운영하도급</v>
      </c>
      <c r="C39" s="450" t="s">
        <v>983</v>
      </c>
      <c r="D39" s="442" t="s">
        <v>1185</v>
      </c>
      <c r="E39" s="442" t="s">
        <v>159</v>
      </c>
      <c r="F39" s="442" t="s">
        <v>1200</v>
      </c>
      <c r="G39" s="442" t="s">
        <v>159</v>
      </c>
      <c r="H39" s="442">
        <v>0</v>
      </c>
      <c r="I39" s="442">
        <v>0</v>
      </c>
      <c r="J39" s="442">
        <v>0</v>
      </c>
      <c r="K39" s="442" t="s">
        <v>899</v>
      </c>
      <c r="L39" s="442">
        <v>0</v>
      </c>
      <c r="M39" s="442">
        <v>0</v>
      </c>
      <c r="N39" s="443">
        <v>0</v>
      </c>
      <c r="O39" s="443">
        <v>0</v>
      </c>
      <c r="P39" s="443">
        <v>0</v>
      </c>
      <c r="Q39" s="443">
        <v>0</v>
      </c>
      <c r="R39" s="443">
        <v>0</v>
      </c>
      <c r="S39" s="443">
        <v>0</v>
      </c>
      <c r="T39" s="443">
        <v>1465705386.6558728</v>
      </c>
      <c r="U39" s="443">
        <v>130640601.00435008</v>
      </c>
      <c r="V39" s="443">
        <v>133947213.90262692</v>
      </c>
      <c r="W39" s="443">
        <v>137337519.68638495</v>
      </c>
      <c r="X39" s="443">
        <v>140813636.68616235</v>
      </c>
      <c r="Y39" s="443">
        <v>144377736.84905303</v>
      </c>
      <c r="Z39" s="443">
        <v>148032047.09578258</v>
      </c>
      <c r="AA39" s="443">
        <v>151778850.71213257</v>
      </c>
      <c r="AB39" s="443">
        <v>155620488.77558321</v>
      </c>
      <c r="AC39" s="443">
        <v>159559361.6180647</v>
      </c>
      <c r="AD39" s="443">
        <v>163597930.32573271</v>
      </c>
      <c r="AE39" s="443">
        <v>0</v>
      </c>
      <c r="AF39" s="33" t="s">
        <v>1417</v>
      </c>
      <c r="AG39" s="406"/>
    </row>
    <row r="40" spans="1:33">
      <c r="A40" s="410" t="str">
        <f t="shared" si="1"/>
        <v>운영하도급</v>
      </c>
      <c r="C40" s="450" t="s">
        <v>984</v>
      </c>
      <c r="D40" s="442" t="s">
        <v>1185</v>
      </c>
      <c r="E40" s="442" t="s">
        <v>159</v>
      </c>
      <c r="F40" s="442" t="s">
        <v>1202</v>
      </c>
      <c r="G40" s="442" t="s">
        <v>159</v>
      </c>
      <c r="H40" s="442">
        <v>0</v>
      </c>
      <c r="I40" s="442">
        <v>0</v>
      </c>
      <c r="J40" s="442">
        <v>0</v>
      </c>
      <c r="K40" s="442" t="s">
        <v>899</v>
      </c>
      <c r="L40" s="442">
        <v>0</v>
      </c>
      <c r="M40" s="442">
        <v>0</v>
      </c>
      <c r="N40" s="443">
        <v>0</v>
      </c>
      <c r="O40" s="443">
        <v>0</v>
      </c>
      <c r="P40" s="443">
        <v>0</v>
      </c>
      <c r="Q40" s="443">
        <v>0</v>
      </c>
      <c r="R40" s="443">
        <v>0</v>
      </c>
      <c r="S40" s="443">
        <v>0</v>
      </c>
      <c r="T40" s="443">
        <v>1465705386.6558728</v>
      </c>
      <c r="U40" s="443">
        <v>130640601.00435008</v>
      </c>
      <c r="V40" s="443">
        <v>133947213.90262692</v>
      </c>
      <c r="W40" s="443">
        <v>137337519.68638495</v>
      </c>
      <c r="X40" s="443">
        <v>140813636.68616235</v>
      </c>
      <c r="Y40" s="443">
        <v>144377736.84905303</v>
      </c>
      <c r="Z40" s="443">
        <v>148032047.09578258</v>
      </c>
      <c r="AA40" s="443">
        <v>151778850.71213257</v>
      </c>
      <c r="AB40" s="443">
        <v>155620488.77558321</v>
      </c>
      <c r="AC40" s="443">
        <v>159559361.6180647</v>
      </c>
      <c r="AD40" s="443">
        <v>163597930.32573271</v>
      </c>
      <c r="AE40" s="443">
        <v>0</v>
      </c>
      <c r="AF40" s="33" t="s">
        <v>1417</v>
      </c>
      <c r="AG40" s="406"/>
    </row>
    <row r="41" spans="1:33">
      <c r="A41" s="410" t="str">
        <f t="shared" si="1"/>
        <v>운영하도급</v>
      </c>
      <c r="C41" s="450" t="s">
        <v>985</v>
      </c>
      <c r="D41" s="442" t="s">
        <v>1185</v>
      </c>
      <c r="E41" s="442" t="s">
        <v>159</v>
      </c>
      <c r="F41" s="442" t="s">
        <v>1203</v>
      </c>
      <c r="G41" s="442" t="s">
        <v>159</v>
      </c>
      <c r="H41" s="442">
        <v>0</v>
      </c>
      <c r="I41" s="442">
        <v>0</v>
      </c>
      <c r="J41" s="442">
        <v>0</v>
      </c>
      <c r="K41" s="442" t="s">
        <v>899</v>
      </c>
      <c r="L41" s="442">
        <v>0</v>
      </c>
      <c r="M41" s="442">
        <v>0</v>
      </c>
      <c r="N41" s="443">
        <v>0</v>
      </c>
      <c r="O41" s="443">
        <v>0</v>
      </c>
      <c r="P41" s="443">
        <v>0</v>
      </c>
      <c r="Q41" s="443">
        <v>0</v>
      </c>
      <c r="R41" s="443">
        <v>0</v>
      </c>
      <c r="S41" s="443">
        <v>0</v>
      </c>
      <c r="T41" s="443">
        <v>7505891957.3959217</v>
      </c>
      <c r="U41" s="443">
        <v>669011825.51097918</v>
      </c>
      <c r="V41" s="443">
        <v>685945023.26364923</v>
      </c>
      <c r="W41" s="443">
        <v>703306813.12066984</v>
      </c>
      <c r="X41" s="443">
        <v>721108043.07393169</v>
      </c>
      <c r="Y41" s="443">
        <v>739359835.68624592</v>
      </c>
      <c r="Z41" s="443">
        <v>758073595.04094005</v>
      </c>
      <c r="AA41" s="443">
        <v>777261013.86735857</v>
      </c>
      <c r="AB41" s="443">
        <v>796934080.84671152</v>
      </c>
      <c r="AC41" s="443">
        <v>817105088.10284328</v>
      </c>
      <c r="AD41" s="443">
        <v>837786638.88259327</v>
      </c>
      <c r="AE41" s="443">
        <v>0</v>
      </c>
      <c r="AF41" s="33" t="s">
        <v>1417</v>
      </c>
      <c r="AG41" s="406"/>
    </row>
    <row r="42" spans="1:33">
      <c r="A42" s="410" t="str">
        <f t="shared" si="1"/>
        <v>운영하도급</v>
      </c>
      <c r="C42" s="450" t="s">
        <v>986</v>
      </c>
      <c r="D42" s="442" t="s">
        <v>1185</v>
      </c>
      <c r="E42" s="442" t="s">
        <v>159</v>
      </c>
      <c r="F42" s="442" t="s">
        <v>1203</v>
      </c>
      <c r="G42" s="442" t="s">
        <v>1204</v>
      </c>
      <c r="H42" s="442">
        <v>0</v>
      </c>
      <c r="I42" s="442">
        <v>0</v>
      </c>
      <c r="J42" s="442">
        <v>0</v>
      </c>
      <c r="K42" s="442" t="s">
        <v>899</v>
      </c>
      <c r="L42" s="442">
        <v>0</v>
      </c>
      <c r="M42" s="442">
        <v>0</v>
      </c>
      <c r="N42" s="443">
        <v>0</v>
      </c>
      <c r="O42" s="443">
        <v>0</v>
      </c>
      <c r="P42" s="443">
        <v>0</v>
      </c>
      <c r="Q42" s="443">
        <v>0</v>
      </c>
      <c r="R42" s="443">
        <v>0</v>
      </c>
      <c r="S42" s="443">
        <v>0</v>
      </c>
      <c r="T42" s="443">
        <v>350565312.27682275</v>
      </c>
      <c r="U42" s="443">
        <v>31246431.584463105</v>
      </c>
      <c r="V42" s="443">
        <v>32037302.515153874</v>
      </c>
      <c r="W42" s="443">
        <v>32848190.990162332</v>
      </c>
      <c r="X42" s="443">
        <v>33679603.668748491</v>
      </c>
      <c r="Y42" s="443">
        <v>34532060.034103297</v>
      </c>
      <c r="Z42" s="443">
        <v>35406092.717932083</v>
      </c>
      <c r="AA42" s="443">
        <v>36302247.833253406</v>
      </c>
      <c r="AB42" s="443">
        <v>37221085.315621413</v>
      </c>
      <c r="AC42" s="443">
        <v>38163179.272984631</v>
      </c>
      <c r="AD42" s="443">
        <v>39129118.344400115</v>
      </c>
      <c r="AE42" s="443">
        <v>0</v>
      </c>
      <c r="AF42" s="33" t="s">
        <v>1417</v>
      </c>
      <c r="AG42" s="406"/>
    </row>
    <row r="43" spans="1:33">
      <c r="A43" s="410" t="str">
        <f t="shared" si="1"/>
        <v>운영하도급</v>
      </c>
      <c r="C43" s="450" t="s">
        <v>987</v>
      </c>
      <c r="D43" s="442" t="s">
        <v>1185</v>
      </c>
      <c r="E43" s="442" t="s">
        <v>159</v>
      </c>
      <c r="F43" s="442" t="s">
        <v>1203</v>
      </c>
      <c r="G43" s="442" t="s">
        <v>1205</v>
      </c>
      <c r="H43" s="442">
        <v>0</v>
      </c>
      <c r="I43" s="442">
        <v>0</v>
      </c>
      <c r="J43" s="442">
        <v>0</v>
      </c>
      <c r="K43" s="442" t="s">
        <v>899</v>
      </c>
      <c r="L43" s="442">
        <v>0</v>
      </c>
      <c r="M43" s="442">
        <v>0</v>
      </c>
      <c r="N43" s="443">
        <v>0</v>
      </c>
      <c r="O43" s="443">
        <v>0</v>
      </c>
      <c r="P43" s="443">
        <v>0</v>
      </c>
      <c r="Q43" s="443">
        <v>0</v>
      </c>
      <c r="R43" s="443">
        <v>0</v>
      </c>
      <c r="S43" s="443">
        <v>0</v>
      </c>
      <c r="T43" s="443">
        <v>329156529.9968676</v>
      </c>
      <c r="U43" s="443">
        <v>29338233.518679995</v>
      </c>
      <c r="V43" s="443">
        <v>30080806.506095264</v>
      </c>
      <c r="W43" s="443">
        <v>30842174.580177478</v>
      </c>
      <c r="X43" s="443">
        <v>31622813.458854448</v>
      </c>
      <c r="Y43" s="443">
        <v>32423210.900836293</v>
      </c>
      <c r="Z43" s="443">
        <v>33243867.010376733</v>
      </c>
      <c r="AA43" s="443">
        <v>34085294.549748302</v>
      </c>
      <c r="AB43" s="443">
        <v>34948019.259626292</v>
      </c>
      <c r="AC43" s="443">
        <v>35832580.187582061</v>
      </c>
      <c r="AD43" s="443">
        <v>36739530.024890706</v>
      </c>
      <c r="AE43" s="443">
        <v>0</v>
      </c>
      <c r="AF43" s="33" t="s">
        <v>1417</v>
      </c>
      <c r="AG43" s="406"/>
    </row>
    <row r="44" spans="1:33">
      <c r="A44" s="410" t="str">
        <f t="shared" si="1"/>
        <v>운영하도급</v>
      </c>
      <c r="C44" s="450" t="s">
        <v>988</v>
      </c>
      <c r="D44" s="442" t="s">
        <v>1185</v>
      </c>
      <c r="E44" s="442" t="s">
        <v>159</v>
      </c>
      <c r="F44" s="442" t="s">
        <v>1206</v>
      </c>
      <c r="G44" s="442" t="s">
        <v>159</v>
      </c>
      <c r="H44" s="442">
        <v>0</v>
      </c>
      <c r="I44" s="442">
        <v>0</v>
      </c>
      <c r="J44" s="442">
        <v>0</v>
      </c>
      <c r="K44" s="442" t="s">
        <v>899</v>
      </c>
      <c r="L44" s="442">
        <v>0</v>
      </c>
      <c r="M44" s="442">
        <v>0</v>
      </c>
      <c r="N44" s="443">
        <v>0</v>
      </c>
      <c r="O44" s="443">
        <v>0</v>
      </c>
      <c r="P44" s="443">
        <v>0</v>
      </c>
      <c r="Q44" s="443">
        <v>0</v>
      </c>
      <c r="R44" s="443">
        <v>0</v>
      </c>
      <c r="S44" s="443">
        <v>0</v>
      </c>
      <c r="T44" s="443">
        <v>2650938128.8442187</v>
      </c>
      <c r="U44" s="443">
        <v>236282238.93460178</v>
      </c>
      <c r="V44" s="443">
        <v>242262721.97653827</v>
      </c>
      <c r="W44" s="443">
        <v>248394575.58943313</v>
      </c>
      <c r="X44" s="443">
        <v>254681631.07747909</v>
      </c>
      <c r="Y44" s="443">
        <v>261127816.71808964</v>
      </c>
      <c r="Z44" s="443">
        <v>267737160.21636528</v>
      </c>
      <c r="AA44" s="443">
        <v>274513791.22168326</v>
      </c>
      <c r="AB44" s="443">
        <v>281461943.90798533</v>
      </c>
      <c r="AC44" s="443">
        <v>288585959.61937386</v>
      </c>
      <c r="AD44" s="443">
        <v>295890289.58266944</v>
      </c>
      <c r="AE44" s="443">
        <v>0</v>
      </c>
      <c r="AF44" s="33" t="s">
        <v>1417</v>
      </c>
      <c r="AG44" s="406"/>
    </row>
    <row r="45" spans="1:33">
      <c r="A45" s="410" t="str">
        <f t="shared" si="1"/>
        <v>운영하도급</v>
      </c>
      <c r="C45" s="450" t="s">
        <v>989</v>
      </c>
      <c r="D45" s="442" t="s">
        <v>1185</v>
      </c>
      <c r="E45" s="442" t="s">
        <v>176</v>
      </c>
      <c r="F45" s="442" t="s">
        <v>1207</v>
      </c>
      <c r="G45" s="442" t="s">
        <v>177</v>
      </c>
      <c r="H45" s="442">
        <v>0</v>
      </c>
      <c r="I45" s="442">
        <v>0</v>
      </c>
      <c r="J45" s="442">
        <v>0</v>
      </c>
      <c r="K45" s="442" t="s">
        <v>899</v>
      </c>
      <c r="L45" s="442">
        <v>0</v>
      </c>
      <c r="M45" s="442">
        <v>0</v>
      </c>
      <c r="N45" s="443">
        <v>0</v>
      </c>
      <c r="O45" s="443">
        <v>0</v>
      </c>
      <c r="P45" s="443">
        <v>0</v>
      </c>
      <c r="Q45" s="443">
        <v>0</v>
      </c>
      <c r="R45" s="443">
        <v>0</v>
      </c>
      <c r="S45" s="443">
        <v>0</v>
      </c>
      <c r="T45" s="443">
        <v>477218551.51380754</v>
      </c>
      <c r="U45" s="443">
        <v>42535231.805644415</v>
      </c>
      <c r="V45" s="443">
        <v>43611830.849421442</v>
      </c>
      <c r="W45" s="443">
        <v>44715679.433211744</v>
      </c>
      <c r="X45" s="443">
        <v>45847467.263582706</v>
      </c>
      <c r="Y45" s="443">
        <v>47007901.504099101</v>
      </c>
      <c r="Z45" s="443">
        <v>48197707.217172965</v>
      </c>
      <c r="AA45" s="443">
        <v>49417627.817097098</v>
      </c>
      <c r="AB45" s="443">
        <v>50668425.534544975</v>
      </c>
      <c r="AC45" s="443">
        <v>51950881.892827712</v>
      </c>
      <c r="AD45" s="443">
        <v>53265798.19620543</v>
      </c>
      <c r="AE45" s="443">
        <v>0</v>
      </c>
      <c r="AF45" s="33" t="s">
        <v>1417</v>
      </c>
      <c r="AG45" s="406"/>
    </row>
    <row r="46" spans="1:33">
      <c r="A46" s="410" t="str">
        <f t="shared" si="1"/>
        <v>운영하도급</v>
      </c>
      <c r="C46" s="450" t="s">
        <v>990</v>
      </c>
      <c r="D46" s="442" t="s">
        <v>1185</v>
      </c>
      <c r="E46" s="442" t="s">
        <v>176</v>
      </c>
      <c r="F46" s="442" t="s">
        <v>1207</v>
      </c>
      <c r="G46" s="442" t="s">
        <v>1208</v>
      </c>
      <c r="H46" s="442">
        <v>0</v>
      </c>
      <c r="I46" s="442">
        <v>0</v>
      </c>
      <c r="J46" s="442">
        <v>0</v>
      </c>
      <c r="K46" s="442" t="s">
        <v>899</v>
      </c>
      <c r="L46" s="442">
        <v>0</v>
      </c>
      <c r="M46" s="442">
        <v>0</v>
      </c>
      <c r="N46" s="443">
        <v>0</v>
      </c>
      <c r="O46" s="443">
        <v>0</v>
      </c>
      <c r="P46" s="443">
        <v>0</v>
      </c>
      <c r="Q46" s="443">
        <v>0</v>
      </c>
      <c r="R46" s="443">
        <v>0</v>
      </c>
      <c r="S46" s="443">
        <v>0</v>
      </c>
      <c r="T46" s="443">
        <v>364507291.30136651</v>
      </c>
      <c r="U46" s="443">
        <v>32489101.861545257</v>
      </c>
      <c r="V46" s="443">
        <v>33311425.721378375</v>
      </c>
      <c r="W46" s="443">
        <v>34154563.223070018</v>
      </c>
      <c r="X46" s="443">
        <v>35019041.175713956</v>
      </c>
      <c r="Y46" s="443">
        <v>35905399.722342581</v>
      </c>
      <c r="Z46" s="443">
        <v>36814192.677418858</v>
      </c>
      <c r="AA46" s="443">
        <v>37745987.872870766</v>
      </c>
      <c r="AB46" s="443">
        <v>38701367.512883902</v>
      </c>
      <c r="AC46" s="443">
        <v>39680928.537674293</v>
      </c>
      <c r="AD46" s="443">
        <v>40685282.996468537</v>
      </c>
      <c r="AE46" s="443">
        <v>0</v>
      </c>
      <c r="AF46" s="33" t="s">
        <v>1417</v>
      </c>
      <c r="AG46" s="406"/>
    </row>
    <row r="47" spans="1:33">
      <c r="A47" s="410" t="str">
        <f t="shared" si="1"/>
        <v>운영하도급</v>
      </c>
      <c r="C47" s="450" t="s">
        <v>991</v>
      </c>
      <c r="D47" s="442" t="s">
        <v>1185</v>
      </c>
      <c r="E47" s="442" t="s">
        <v>176</v>
      </c>
      <c r="F47" s="442" t="s">
        <v>1207</v>
      </c>
      <c r="G47" s="442" t="s">
        <v>1209</v>
      </c>
      <c r="H47" s="442">
        <v>0</v>
      </c>
      <c r="I47" s="442">
        <v>0</v>
      </c>
      <c r="J47" s="442">
        <v>0</v>
      </c>
      <c r="K47" s="442" t="s">
        <v>899</v>
      </c>
      <c r="L47" s="442">
        <v>0</v>
      </c>
      <c r="M47" s="442">
        <v>0</v>
      </c>
      <c r="N47" s="443">
        <v>0</v>
      </c>
      <c r="O47" s="443">
        <v>0</v>
      </c>
      <c r="P47" s="443">
        <v>0</v>
      </c>
      <c r="Q47" s="443">
        <v>0</v>
      </c>
      <c r="R47" s="443">
        <v>0</v>
      </c>
      <c r="S47" s="443">
        <v>0</v>
      </c>
      <c r="T47" s="443">
        <v>1026972402.7764013</v>
      </c>
      <c r="U47" s="443">
        <v>91535647.705912679</v>
      </c>
      <c r="V47" s="443">
        <v>93852484.516441584</v>
      </c>
      <c r="W47" s="443">
        <v>96227962.227440968</v>
      </c>
      <c r="X47" s="443">
        <v>98663565.084668785</v>
      </c>
      <c r="Y47" s="443">
        <v>101160814.90127119</v>
      </c>
      <c r="Z47" s="443">
        <v>103721272.00864172</v>
      </c>
      <c r="AA47" s="443">
        <v>106346536.23134717</v>
      </c>
      <c r="AB47" s="443">
        <v>109038247.88673009</v>
      </c>
      <c r="AC47" s="443">
        <v>111798088.80981161</v>
      </c>
      <c r="AD47" s="443">
        <v>114627783.40413544</v>
      </c>
      <c r="AE47" s="443">
        <v>0</v>
      </c>
      <c r="AF47" s="33" t="s">
        <v>1417</v>
      </c>
      <c r="AG47" s="406"/>
    </row>
    <row r="48" spans="1:33">
      <c r="A48" s="410" t="str">
        <f t="shared" si="1"/>
        <v>운영하도급</v>
      </c>
      <c r="C48" s="450" t="s">
        <v>992</v>
      </c>
      <c r="D48" s="442" t="s">
        <v>1185</v>
      </c>
      <c r="E48" s="442" t="s">
        <v>176</v>
      </c>
      <c r="F48" s="442" t="s">
        <v>1200</v>
      </c>
      <c r="G48" s="442" t="s">
        <v>1210</v>
      </c>
      <c r="H48" s="442">
        <v>0</v>
      </c>
      <c r="I48" s="442">
        <v>0</v>
      </c>
      <c r="J48" s="442">
        <v>0</v>
      </c>
      <c r="K48" s="442" t="s">
        <v>899</v>
      </c>
      <c r="L48" s="442">
        <v>0</v>
      </c>
      <c r="M48" s="442">
        <v>0</v>
      </c>
      <c r="N48" s="443">
        <v>0</v>
      </c>
      <c r="O48" s="443">
        <v>0</v>
      </c>
      <c r="P48" s="443">
        <v>0</v>
      </c>
      <c r="Q48" s="443">
        <v>0</v>
      </c>
      <c r="R48" s="443">
        <v>0</v>
      </c>
      <c r="S48" s="443">
        <v>0</v>
      </c>
      <c r="T48" s="443">
        <v>342324134.25880039</v>
      </c>
      <c r="U48" s="443">
        <v>30511882.568637554</v>
      </c>
      <c r="V48" s="443">
        <v>31284161.505480543</v>
      </c>
      <c r="W48" s="443">
        <v>32075987.409146987</v>
      </c>
      <c r="X48" s="443">
        <v>32887855.028222922</v>
      </c>
      <c r="Y48" s="443">
        <v>33720271.63375707</v>
      </c>
      <c r="Z48" s="443">
        <v>34573757.336213902</v>
      </c>
      <c r="AA48" s="443">
        <v>35448845.41044905</v>
      </c>
      <c r="AB48" s="443">
        <v>36346082.628910042</v>
      </c>
      <c r="AC48" s="443">
        <v>37266029.603270546</v>
      </c>
      <c r="AD48" s="443">
        <v>38209261.134711802</v>
      </c>
      <c r="AE48" s="443">
        <v>0</v>
      </c>
      <c r="AF48" s="33" t="s">
        <v>1417</v>
      </c>
      <c r="AG48" s="406"/>
    </row>
    <row r="49" spans="1:33">
      <c r="A49" s="410" t="str">
        <f t="shared" si="1"/>
        <v>운영하도급</v>
      </c>
      <c r="C49" s="450" t="s">
        <v>993</v>
      </c>
      <c r="D49" s="442" t="s">
        <v>1185</v>
      </c>
      <c r="E49" s="442" t="s">
        <v>176</v>
      </c>
      <c r="F49" s="442" t="s">
        <v>1202</v>
      </c>
      <c r="G49" s="442" t="s">
        <v>1210</v>
      </c>
      <c r="H49" s="442">
        <v>0</v>
      </c>
      <c r="I49" s="442">
        <v>0</v>
      </c>
      <c r="J49" s="442">
        <v>0</v>
      </c>
      <c r="K49" s="442" t="s">
        <v>899</v>
      </c>
      <c r="L49" s="442">
        <v>0</v>
      </c>
      <c r="M49" s="442">
        <v>0</v>
      </c>
      <c r="N49" s="443">
        <v>0</v>
      </c>
      <c r="O49" s="443">
        <v>0</v>
      </c>
      <c r="P49" s="443">
        <v>0</v>
      </c>
      <c r="Q49" s="443">
        <v>0</v>
      </c>
      <c r="R49" s="443">
        <v>0</v>
      </c>
      <c r="S49" s="443">
        <v>0</v>
      </c>
      <c r="T49" s="443">
        <v>342324134.25880039</v>
      </c>
      <c r="U49" s="443">
        <v>30511882.568637554</v>
      </c>
      <c r="V49" s="443">
        <v>31284161.505480543</v>
      </c>
      <c r="W49" s="443">
        <v>32075987.409146987</v>
      </c>
      <c r="X49" s="443">
        <v>32887855.028222922</v>
      </c>
      <c r="Y49" s="443">
        <v>33720271.63375707</v>
      </c>
      <c r="Z49" s="443">
        <v>34573757.336213902</v>
      </c>
      <c r="AA49" s="443">
        <v>35448845.41044905</v>
      </c>
      <c r="AB49" s="443">
        <v>36346082.628910042</v>
      </c>
      <c r="AC49" s="443">
        <v>37266029.603270546</v>
      </c>
      <c r="AD49" s="443">
        <v>38209261.134711802</v>
      </c>
      <c r="AE49" s="443">
        <v>0</v>
      </c>
      <c r="AF49" s="33" t="s">
        <v>1417</v>
      </c>
      <c r="AG49" s="406"/>
    </row>
    <row r="50" spans="1:33">
      <c r="A50" s="410" t="str">
        <f t="shared" si="1"/>
        <v>운영하도급</v>
      </c>
      <c r="C50" s="450" t="s">
        <v>994</v>
      </c>
      <c r="D50" s="442" t="s">
        <v>1185</v>
      </c>
      <c r="E50" s="442" t="s">
        <v>176</v>
      </c>
      <c r="F50" s="442" t="s">
        <v>1203</v>
      </c>
      <c r="G50" s="442" t="s">
        <v>1210</v>
      </c>
      <c r="H50" s="442">
        <v>0</v>
      </c>
      <c r="I50" s="442">
        <v>0</v>
      </c>
      <c r="J50" s="442">
        <v>0</v>
      </c>
      <c r="K50" s="442" t="s">
        <v>899</v>
      </c>
      <c r="L50" s="442">
        <v>0</v>
      </c>
      <c r="M50" s="442">
        <v>0</v>
      </c>
      <c r="N50" s="443">
        <v>0</v>
      </c>
      <c r="O50" s="443">
        <v>0</v>
      </c>
      <c r="P50" s="443">
        <v>0</v>
      </c>
      <c r="Q50" s="443">
        <v>0</v>
      </c>
      <c r="R50" s="443">
        <v>0</v>
      </c>
      <c r="S50" s="443">
        <v>0</v>
      </c>
      <c r="T50" s="443">
        <v>342324134.25880039</v>
      </c>
      <c r="U50" s="443">
        <v>30511882.568637554</v>
      </c>
      <c r="V50" s="443">
        <v>31284161.505480543</v>
      </c>
      <c r="W50" s="443">
        <v>32075987.409146987</v>
      </c>
      <c r="X50" s="443">
        <v>32887855.028222922</v>
      </c>
      <c r="Y50" s="443">
        <v>33720271.63375707</v>
      </c>
      <c r="Z50" s="443">
        <v>34573757.336213902</v>
      </c>
      <c r="AA50" s="443">
        <v>35448845.41044905</v>
      </c>
      <c r="AB50" s="443">
        <v>36346082.628910042</v>
      </c>
      <c r="AC50" s="443">
        <v>37266029.603270546</v>
      </c>
      <c r="AD50" s="443">
        <v>38209261.134711802</v>
      </c>
      <c r="AE50" s="443">
        <v>0</v>
      </c>
      <c r="AF50" s="33" t="s">
        <v>1417</v>
      </c>
      <c r="AG50" s="406"/>
    </row>
    <row r="51" spans="1:33">
      <c r="A51" s="410" t="str">
        <f t="shared" si="1"/>
        <v>운영하도급</v>
      </c>
      <c r="C51" s="450" t="s">
        <v>995</v>
      </c>
      <c r="D51" s="442" t="s">
        <v>1185</v>
      </c>
      <c r="E51" s="442" t="s">
        <v>176</v>
      </c>
      <c r="F51" s="442" t="s">
        <v>1203</v>
      </c>
      <c r="G51" s="442" t="s">
        <v>1211</v>
      </c>
      <c r="H51" s="442">
        <v>0</v>
      </c>
      <c r="I51" s="442">
        <v>0</v>
      </c>
      <c r="J51" s="442">
        <v>0</v>
      </c>
      <c r="K51" s="442" t="s">
        <v>899</v>
      </c>
      <c r="L51" s="442">
        <v>0</v>
      </c>
      <c r="M51" s="442">
        <v>0</v>
      </c>
      <c r="N51" s="443">
        <v>0</v>
      </c>
      <c r="O51" s="443">
        <v>0</v>
      </c>
      <c r="P51" s="443">
        <v>0</v>
      </c>
      <c r="Q51" s="443">
        <v>0</v>
      </c>
      <c r="R51" s="443">
        <v>0</v>
      </c>
      <c r="S51" s="443">
        <v>0</v>
      </c>
      <c r="T51" s="443">
        <v>312569962.29371703</v>
      </c>
      <c r="U51" s="443">
        <v>27859846.939039435</v>
      </c>
      <c r="V51" s="443">
        <v>28565000.838550203</v>
      </c>
      <c r="W51" s="443">
        <v>29288002.719174542</v>
      </c>
      <c r="X51" s="443">
        <v>30029304.32687892</v>
      </c>
      <c r="Y51" s="443">
        <v>30789368.841663506</v>
      </c>
      <c r="Z51" s="443">
        <v>31568671.166966334</v>
      </c>
      <c r="AA51" s="443">
        <v>32367698.226392329</v>
      </c>
      <c r="AB51" s="443">
        <v>33186949.267952979</v>
      </c>
      <c r="AC51" s="443">
        <v>34026936.17600631</v>
      </c>
      <c r="AD51" s="443">
        <v>34888183.791092515</v>
      </c>
      <c r="AE51" s="443">
        <v>0</v>
      </c>
      <c r="AF51" s="33" t="s">
        <v>1417</v>
      </c>
      <c r="AG51" s="406"/>
    </row>
    <row r="52" spans="1:33">
      <c r="A52" s="410" t="str">
        <f t="shared" si="1"/>
        <v>운영하도급</v>
      </c>
      <c r="C52" s="450" t="s">
        <v>996</v>
      </c>
      <c r="D52" s="442" t="s">
        <v>1185</v>
      </c>
      <c r="E52" s="442" t="s">
        <v>176</v>
      </c>
      <c r="F52" s="442" t="s">
        <v>1206</v>
      </c>
      <c r="G52" s="442" t="s">
        <v>1210</v>
      </c>
      <c r="H52" s="442">
        <v>0</v>
      </c>
      <c r="I52" s="442">
        <v>0</v>
      </c>
      <c r="J52" s="442">
        <v>0</v>
      </c>
      <c r="K52" s="442" t="s">
        <v>899</v>
      </c>
      <c r="L52" s="442">
        <v>0</v>
      </c>
      <c r="M52" s="442">
        <v>0</v>
      </c>
      <c r="N52" s="443">
        <v>0</v>
      </c>
      <c r="O52" s="443">
        <v>0</v>
      </c>
      <c r="P52" s="443">
        <v>0</v>
      </c>
      <c r="Q52" s="443">
        <v>0</v>
      </c>
      <c r="R52" s="443">
        <v>0</v>
      </c>
      <c r="S52" s="443">
        <v>0</v>
      </c>
      <c r="T52" s="443">
        <v>342324134.25880039</v>
      </c>
      <c r="U52" s="443">
        <v>30511882.568637554</v>
      </c>
      <c r="V52" s="443">
        <v>31284161.505480543</v>
      </c>
      <c r="W52" s="443">
        <v>32075987.409146987</v>
      </c>
      <c r="X52" s="443">
        <v>32887855.028222922</v>
      </c>
      <c r="Y52" s="443">
        <v>33720271.63375707</v>
      </c>
      <c r="Z52" s="443">
        <v>34573757.336213902</v>
      </c>
      <c r="AA52" s="443">
        <v>35448845.41044905</v>
      </c>
      <c r="AB52" s="443">
        <v>36346082.628910042</v>
      </c>
      <c r="AC52" s="443">
        <v>37266029.603270546</v>
      </c>
      <c r="AD52" s="443">
        <v>38209261.134711802</v>
      </c>
      <c r="AE52" s="443">
        <v>0</v>
      </c>
      <c r="AF52" s="33" t="s">
        <v>1417</v>
      </c>
      <c r="AG52" s="406"/>
    </row>
    <row r="53" spans="1:33">
      <c r="A53" s="410" t="str">
        <f t="shared" si="1"/>
        <v>운영하도급</v>
      </c>
      <c r="C53" s="450" t="s">
        <v>997</v>
      </c>
      <c r="D53" s="442" t="s">
        <v>1199</v>
      </c>
      <c r="E53" s="442" t="s">
        <v>176</v>
      </c>
      <c r="F53" s="442" t="s">
        <v>1212</v>
      </c>
      <c r="G53" s="442" t="s">
        <v>1213</v>
      </c>
      <c r="H53" s="442">
        <v>0</v>
      </c>
      <c r="I53" s="442">
        <v>0</v>
      </c>
      <c r="J53" s="442">
        <v>0</v>
      </c>
      <c r="K53" s="442" t="s">
        <v>899</v>
      </c>
      <c r="L53" s="442">
        <v>0</v>
      </c>
      <c r="M53" s="442">
        <v>0</v>
      </c>
      <c r="N53" s="443">
        <v>0</v>
      </c>
      <c r="O53" s="443">
        <v>0</v>
      </c>
      <c r="P53" s="443">
        <v>0</v>
      </c>
      <c r="Q53" s="443">
        <v>0</v>
      </c>
      <c r="R53" s="443">
        <v>0</v>
      </c>
      <c r="S53" s="443">
        <v>0</v>
      </c>
      <c r="T53" s="443">
        <v>0</v>
      </c>
      <c r="U53" s="443">
        <v>0</v>
      </c>
      <c r="V53" s="443">
        <v>0</v>
      </c>
      <c r="W53" s="443">
        <v>0</v>
      </c>
      <c r="X53" s="443">
        <v>0</v>
      </c>
      <c r="Y53" s="443">
        <v>0</v>
      </c>
      <c r="Z53" s="443">
        <v>0</v>
      </c>
      <c r="AA53" s="443">
        <v>0</v>
      </c>
      <c r="AB53" s="443">
        <v>0</v>
      </c>
      <c r="AC53" s="443">
        <v>0</v>
      </c>
      <c r="AD53" s="443">
        <v>0</v>
      </c>
      <c r="AE53" s="443">
        <v>0</v>
      </c>
      <c r="AF53" s="33" t="s">
        <v>1417</v>
      </c>
      <c r="AG53" s="406"/>
    </row>
    <row r="54" spans="1:33">
      <c r="A54" s="410" t="str">
        <f t="shared" si="1"/>
        <v>운영하도급</v>
      </c>
      <c r="C54" s="450" t="s">
        <v>998</v>
      </c>
      <c r="D54" s="442" t="s">
        <v>1199</v>
      </c>
      <c r="E54" s="442" t="s">
        <v>159</v>
      </c>
      <c r="F54" s="442" t="s">
        <v>1212</v>
      </c>
      <c r="G54" s="442" t="s">
        <v>159</v>
      </c>
      <c r="H54" s="442">
        <v>0</v>
      </c>
      <c r="I54" s="442">
        <v>0</v>
      </c>
      <c r="J54" s="442">
        <v>0</v>
      </c>
      <c r="K54" s="442" t="s">
        <v>899</v>
      </c>
      <c r="L54" s="442">
        <v>0</v>
      </c>
      <c r="M54" s="442">
        <v>0</v>
      </c>
      <c r="N54" s="443">
        <v>0</v>
      </c>
      <c r="O54" s="443">
        <v>0</v>
      </c>
      <c r="P54" s="443">
        <v>0</v>
      </c>
      <c r="Q54" s="443">
        <v>0</v>
      </c>
      <c r="R54" s="443">
        <v>0</v>
      </c>
      <c r="S54" s="443">
        <v>0</v>
      </c>
      <c r="T54" s="443">
        <v>10158881767.759146</v>
      </c>
      <c r="U54" s="443">
        <v>539837967.06211495</v>
      </c>
      <c r="V54" s="443">
        <v>965079845.83080053</v>
      </c>
      <c r="W54" s="443">
        <v>989506750.18946075</v>
      </c>
      <c r="X54" s="443">
        <v>1014551918.0618862</v>
      </c>
      <c r="Y54" s="443">
        <v>1040230998.1674905</v>
      </c>
      <c r="Z54" s="443">
        <v>1066560035.3066685</v>
      </c>
      <c r="AA54" s="443">
        <v>1093555480.3859069</v>
      </c>
      <c r="AB54" s="443">
        <v>1121234200.6966393</v>
      </c>
      <c r="AC54" s="443">
        <v>1149613490.4542637</v>
      </c>
      <c r="AD54" s="443">
        <v>1178711081.6039138</v>
      </c>
      <c r="AE54" s="443">
        <v>0</v>
      </c>
      <c r="AF54" s="33" t="s">
        <v>1417</v>
      </c>
      <c r="AG54" s="406"/>
    </row>
    <row r="55" spans="1:33">
      <c r="A55" s="410" t="str">
        <f t="shared" si="1"/>
        <v>운영하도급</v>
      </c>
      <c r="C55" s="450" t="s">
        <v>999</v>
      </c>
      <c r="D55" s="442" t="s">
        <v>1199</v>
      </c>
      <c r="E55" s="442" t="s">
        <v>159</v>
      </c>
      <c r="F55" s="442" t="s">
        <v>1214</v>
      </c>
      <c r="G55" s="442" t="s">
        <v>159</v>
      </c>
      <c r="H55" s="442">
        <v>0</v>
      </c>
      <c r="I55" s="442">
        <v>0</v>
      </c>
      <c r="J55" s="442">
        <v>0</v>
      </c>
      <c r="K55" s="442" t="s">
        <v>899</v>
      </c>
      <c r="L55" s="442">
        <v>0</v>
      </c>
      <c r="M55" s="442">
        <v>0</v>
      </c>
      <c r="N55" s="443">
        <v>0</v>
      </c>
      <c r="O55" s="443">
        <v>0</v>
      </c>
      <c r="P55" s="443">
        <v>0</v>
      </c>
      <c r="Q55" s="443">
        <v>0</v>
      </c>
      <c r="R55" s="443">
        <v>0</v>
      </c>
      <c r="S55" s="443">
        <v>0</v>
      </c>
      <c r="T55" s="443">
        <v>1410725785.3218403</v>
      </c>
      <c r="U55" s="443">
        <v>125740183.61716607</v>
      </c>
      <c r="V55" s="443">
        <v>128922763.22705612</v>
      </c>
      <c r="W55" s="443">
        <v>132185896.34563302</v>
      </c>
      <c r="X55" s="443">
        <v>135531621.8434222</v>
      </c>
      <c r="Y55" s="443">
        <v>138962030.19631183</v>
      </c>
      <c r="Z55" s="443">
        <v>142479264.79172337</v>
      </c>
      <c r="AA55" s="443">
        <v>146085523.26784319</v>
      </c>
      <c r="AB55" s="443">
        <v>149783058.88674998</v>
      </c>
      <c r="AC55" s="443">
        <v>153574181.94229838</v>
      </c>
      <c r="AD55" s="443">
        <v>157461261.20363623</v>
      </c>
      <c r="AE55" s="443">
        <v>0</v>
      </c>
      <c r="AF55" s="33" t="s">
        <v>1417</v>
      </c>
      <c r="AG55" s="406"/>
    </row>
    <row r="56" spans="1:33">
      <c r="A56" s="410" t="str">
        <f t="shared" si="1"/>
        <v>운영하도급</v>
      </c>
      <c r="C56" s="450" t="s">
        <v>1000</v>
      </c>
      <c r="D56" s="442" t="s">
        <v>1199</v>
      </c>
      <c r="E56" s="442" t="s">
        <v>159</v>
      </c>
      <c r="F56" s="442" t="s">
        <v>1214</v>
      </c>
      <c r="G56" s="442" t="s">
        <v>1215</v>
      </c>
      <c r="H56" s="442">
        <v>0</v>
      </c>
      <c r="I56" s="442">
        <v>0</v>
      </c>
      <c r="J56" s="442">
        <v>0</v>
      </c>
      <c r="K56" s="442" t="s">
        <v>899</v>
      </c>
      <c r="L56" s="442">
        <v>0</v>
      </c>
      <c r="M56" s="442">
        <v>0</v>
      </c>
      <c r="N56" s="443">
        <v>0</v>
      </c>
      <c r="O56" s="443">
        <v>0</v>
      </c>
      <c r="P56" s="443">
        <v>0</v>
      </c>
      <c r="Q56" s="443">
        <v>0</v>
      </c>
      <c r="R56" s="443">
        <v>0</v>
      </c>
      <c r="S56" s="443">
        <v>0</v>
      </c>
      <c r="T56" s="443">
        <v>569306246.55759847</v>
      </c>
      <c r="U56" s="443">
        <v>50743151.306489311</v>
      </c>
      <c r="V56" s="443">
        <v>52027499.03085155</v>
      </c>
      <c r="W56" s="443">
        <v>53344354.572221674</v>
      </c>
      <c r="X56" s="443">
        <v>54694540.728154078</v>
      </c>
      <c r="Y56" s="443">
        <v>56078901.121834591</v>
      </c>
      <c r="Z56" s="443">
        <v>57498300.729193069</v>
      </c>
      <c r="AA56" s="443">
        <v>58953626.419357531</v>
      </c>
      <c r="AB56" s="443">
        <v>60445787.508787528</v>
      </c>
      <c r="AC56" s="443">
        <v>61975716.329433434</v>
      </c>
      <c r="AD56" s="443">
        <v>63544368.811275825</v>
      </c>
      <c r="AE56" s="443">
        <v>0</v>
      </c>
      <c r="AF56" s="33" t="s">
        <v>1417</v>
      </c>
      <c r="AG56" s="406"/>
    </row>
    <row r="57" spans="1:33">
      <c r="A57" s="410" t="str">
        <f t="shared" si="1"/>
        <v>운영하도급</v>
      </c>
      <c r="C57" s="450" t="s">
        <v>1001</v>
      </c>
      <c r="D57" s="442" t="s">
        <v>1199</v>
      </c>
      <c r="E57" s="442" t="s">
        <v>176</v>
      </c>
      <c r="F57" s="442" t="s">
        <v>1207</v>
      </c>
      <c r="G57" s="442" t="s">
        <v>177</v>
      </c>
      <c r="H57" s="442">
        <v>0</v>
      </c>
      <c r="I57" s="442">
        <v>0</v>
      </c>
      <c r="J57" s="442">
        <v>0</v>
      </c>
      <c r="K57" s="442" t="s">
        <v>899</v>
      </c>
      <c r="L57" s="442">
        <v>0</v>
      </c>
      <c r="M57" s="442">
        <v>0</v>
      </c>
      <c r="N57" s="443">
        <v>0</v>
      </c>
      <c r="O57" s="443">
        <v>0</v>
      </c>
      <c r="P57" s="443">
        <v>0</v>
      </c>
      <c r="Q57" s="443">
        <v>0</v>
      </c>
      <c r="R57" s="443">
        <v>0</v>
      </c>
      <c r="S57" s="443">
        <v>0</v>
      </c>
      <c r="T57" s="443">
        <v>493687744.75463068</v>
      </c>
      <c r="U57" s="443">
        <v>44003156.616882809</v>
      </c>
      <c r="V57" s="443">
        <v>45116909.953255139</v>
      </c>
      <c r="W57" s="443">
        <v>46258853.233023591</v>
      </c>
      <c r="X57" s="443">
        <v>47429699.965079874</v>
      </c>
      <c r="Y57" s="443">
        <v>48630181.717768021</v>
      </c>
      <c r="Z57" s="443">
        <v>49861048.575982802</v>
      </c>
      <c r="AA57" s="443">
        <v>51123069.609837845</v>
      </c>
      <c r="AB57" s="443">
        <v>52417033.355195753</v>
      </c>
      <c r="AC57" s="443">
        <v>53743748.306361102</v>
      </c>
      <c r="AD57" s="443">
        <v>55104043.421243824</v>
      </c>
      <c r="AE57" s="443">
        <v>0</v>
      </c>
      <c r="AF57" s="33" t="s">
        <v>1417</v>
      </c>
      <c r="AG57" s="406"/>
    </row>
    <row r="58" spans="1:33">
      <c r="A58" s="410" t="str">
        <f t="shared" si="1"/>
        <v>운영하도급</v>
      </c>
      <c r="C58" s="450" t="s">
        <v>1002</v>
      </c>
      <c r="D58" s="442" t="s">
        <v>1199</v>
      </c>
      <c r="E58" s="442" t="s">
        <v>176</v>
      </c>
      <c r="F58" s="442" t="s">
        <v>1207</v>
      </c>
      <c r="G58" s="442" t="s">
        <v>1209</v>
      </c>
      <c r="H58" s="442">
        <v>0</v>
      </c>
      <c r="I58" s="442">
        <v>0</v>
      </c>
      <c r="J58" s="442">
        <v>0</v>
      </c>
      <c r="K58" s="442" t="s">
        <v>899</v>
      </c>
      <c r="L58" s="442">
        <v>0</v>
      </c>
      <c r="M58" s="442">
        <v>0</v>
      </c>
      <c r="N58" s="443">
        <v>0</v>
      </c>
      <c r="O58" s="443">
        <v>0</v>
      </c>
      <c r="P58" s="443">
        <v>0</v>
      </c>
      <c r="Q58" s="443">
        <v>0</v>
      </c>
      <c r="R58" s="443">
        <v>0</v>
      </c>
      <c r="S58" s="443">
        <v>0</v>
      </c>
      <c r="T58" s="443">
        <v>393594103.45300674</v>
      </c>
      <c r="U58" s="443">
        <v>71020961.995144024</v>
      </c>
      <c r="V58" s="443">
        <v>32363802.897409905</v>
      </c>
      <c r="W58" s="443">
        <v>33182955.345233537</v>
      </c>
      <c r="X58" s="443">
        <v>34022841.164067455</v>
      </c>
      <c r="Y58" s="443">
        <v>34883985.131289288</v>
      </c>
      <c r="Z58" s="443">
        <v>35766925.306790926</v>
      </c>
      <c r="AA58" s="443">
        <v>36672213.369169034</v>
      </c>
      <c r="AB58" s="443">
        <v>37600414.960424878</v>
      </c>
      <c r="AC58" s="443">
        <v>38552110.03938859</v>
      </c>
      <c r="AD58" s="443">
        <v>39527893.244089127</v>
      </c>
      <c r="AE58" s="443">
        <v>0</v>
      </c>
      <c r="AF58" s="33" t="s">
        <v>1417</v>
      </c>
      <c r="AG58" s="406"/>
    </row>
    <row r="59" spans="1:33">
      <c r="A59" s="410" t="str">
        <f t="shared" si="1"/>
        <v>운영하도급</v>
      </c>
      <c r="C59" s="450" t="s">
        <v>1003</v>
      </c>
      <c r="D59" s="442" t="s">
        <v>1199</v>
      </c>
      <c r="E59" s="442" t="s">
        <v>176</v>
      </c>
      <c r="F59" s="442" t="s">
        <v>1212</v>
      </c>
      <c r="G59" s="442" t="s">
        <v>1210</v>
      </c>
      <c r="H59" s="442">
        <v>0</v>
      </c>
      <c r="I59" s="442">
        <v>0</v>
      </c>
      <c r="J59" s="442">
        <v>0</v>
      </c>
      <c r="K59" s="442" t="s">
        <v>899</v>
      </c>
      <c r="L59" s="442">
        <v>0</v>
      </c>
      <c r="M59" s="442">
        <v>0</v>
      </c>
      <c r="N59" s="443">
        <v>0</v>
      </c>
      <c r="O59" s="443">
        <v>0</v>
      </c>
      <c r="P59" s="443">
        <v>0</v>
      </c>
      <c r="Q59" s="443">
        <v>0</v>
      </c>
      <c r="R59" s="443">
        <v>0</v>
      </c>
      <c r="S59" s="443">
        <v>0</v>
      </c>
      <c r="T59" s="443">
        <v>1078196476.3660343</v>
      </c>
      <c r="U59" s="443">
        <v>110477051.99244627</v>
      </c>
      <c r="V59" s="443">
        <v>97091408.692229658</v>
      </c>
      <c r="W59" s="443">
        <v>99548866.035700619</v>
      </c>
      <c r="X59" s="443">
        <v>102068523.49220239</v>
      </c>
      <c r="Y59" s="443">
        <v>104651955.39386787</v>
      </c>
      <c r="Z59" s="443">
        <v>107300775.92037277</v>
      </c>
      <c r="AA59" s="443">
        <v>110016640.10750711</v>
      </c>
      <c r="AB59" s="443">
        <v>112801244.88127458</v>
      </c>
      <c r="AC59" s="443">
        <v>115656330.11816575</v>
      </c>
      <c r="AD59" s="443">
        <v>118583679.73226741</v>
      </c>
      <c r="AE59" s="443">
        <v>0</v>
      </c>
      <c r="AF59" s="33" t="s">
        <v>1417</v>
      </c>
      <c r="AG59" s="406"/>
    </row>
    <row r="60" spans="1:33">
      <c r="A60" s="410" t="str">
        <f t="shared" si="1"/>
        <v>운영하도급</v>
      </c>
      <c r="C60" s="450" t="s">
        <v>1004</v>
      </c>
      <c r="D60" s="442" t="s">
        <v>1199</v>
      </c>
      <c r="E60" s="442" t="s">
        <v>176</v>
      </c>
      <c r="F60" s="442" t="s">
        <v>1214</v>
      </c>
      <c r="G60" s="442" t="s">
        <v>1210</v>
      </c>
      <c r="H60" s="442">
        <v>0</v>
      </c>
      <c r="I60" s="442">
        <v>0</v>
      </c>
      <c r="J60" s="442">
        <v>0</v>
      </c>
      <c r="K60" s="442" t="s">
        <v>899</v>
      </c>
      <c r="L60" s="442">
        <v>0</v>
      </c>
      <c r="M60" s="442">
        <v>0</v>
      </c>
      <c r="N60" s="443">
        <v>0</v>
      </c>
      <c r="O60" s="443">
        <v>0</v>
      </c>
      <c r="P60" s="443">
        <v>0</v>
      </c>
      <c r="Q60" s="443">
        <v>0</v>
      </c>
      <c r="R60" s="443">
        <v>0</v>
      </c>
      <c r="S60" s="443">
        <v>0</v>
      </c>
      <c r="T60" s="443">
        <v>708276026.91140902</v>
      </c>
      <c r="U60" s="443">
        <v>63129743.995683581</v>
      </c>
      <c r="V60" s="443">
        <v>64727605.794819809</v>
      </c>
      <c r="W60" s="443">
        <v>66365910.690467075</v>
      </c>
      <c r="X60" s="443">
        <v>68045682.328134909</v>
      </c>
      <c r="Y60" s="443">
        <v>69767970.262578577</v>
      </c>
      <c r="Z60" s="443">
        <v>71533850.613581851</v>
      </c>
      <c r="AA60" s="443">
        <v>73344426.738338068</v>
      </c>
      <c r="AB60" s="443">
        <v>75200829.920849755</v>
      </c>
      <c r="AC60" s="443">
        <v>77104220.078777179</v>
      </c>
      <c r="AD60" s="443">
        <v>79055786.488178253</v>
      </c>
      <c r="AE60" s="443">
        <v>0</v>
      </c>
      <c r="AF60" s="33" t="s">
        <v>1417</v>
      </c>
      <c r="AG60" s="406"/>
    </row>
    <row r="61" spans="1:33">
      <c r="A61" s="410" t="str">
        <f t="shared" si="1"/>
        <v>운영하도급</v>
      </c>
      <c r="C61" s="450" t="s">
        <v>1005</v>
      </c>
      <c r="D61" s="442" t="s">
        <v>1184</v>
      </c>
      <c r="E61" s="442" t="s">
        <v>176</v>
      </c>
      <c r="F61" s="442" t="s">
        <v>1212</v>
      </c>
      <c r="G61" s="442" t="s">
        <v>1213</v>
      </c>
      <c r="H61" s="442">
        <v>0</v>
      </c>
      <c r="I61" s="442">
        <v>0</v>
      </c>
      <c r="J61" s="442">
        <v>0</v>
      </c>
      <c r="K61" s="442" t="s">
        <v>899</v>
      </c>
      <c r="L61" s="442">
        <v>0</v>
      </c>
      <c r="M61" s="442">
        <v>0</v>
      </c>
      <c r="N61" s="443">
        <v>0</v>
      </c>
      <c r="O61" s="443">
        <v>0</v>
      </c>
      <c r="P61" s="443">
        <v>0</v>
      </c>
      <c r="Q61" s="443">
        <v>0</v>
      </c>
      <c r="R61" s="443">
        <v>0</v>
      </c>
      <c r="S61" s="443">
        <v>0</v>
      </c>
      <c r="T61" s="443">
        <v>0</v>
      </c>
      <c r="U61" s="443">
        <v>0</v>
      </c>
      <c r="V61" s="443">
        <v>0</v>
      </c>
      <c r="W61" s="443">
        <v>0</v>
      </c>
      <c r="X61" s="443">
        <v>0</v>
      </c>
      <c r="Y61" s="443">
        <v>0</v>
      </c>
      <c r="Z61" s="443">
        <v>0</v>
      </c>
      <c r="AA61" s="443">
        <v>0</v>
      </c>
      <c r="AB61" s="443">
        <v>0</v>
      </c>
      <c r="AC61" s="443">
        <v>0</v>
      </c>
      <c r="AD61" s="443">
        <v>0</v>
      </c>
      <c r="AE61" s="443">
        <v>0</v>
      </c>
      <c r="AF61" s="33" t="s">
        <v>1417</v>
      </c>
      <c r="AG61" s="406"/>
    </row>
    <row r="62" spans="1:33">
      <c r="A62" s="410" t="str">
        <f t="shared" si="1"/>
        <v>운영하도급</v>
      </c>
      <c r="C62" s="450" t="s">
        <v>1006</v>
      </c>
      <c r="D62" s="442" t="s">
        <v>1184</v>
      </c>
      <c r="E62" s="442" t="s">
        <v>159</v>
      </c>
      <c r="F62" s="442" t="s">
        <v>1212</v>
      </c>
      <c r="G62" s="442" t="s">
        <v>1216</v>
      </c>
      <c r="H62" s="442">
        <v>0</v>
      </c>
      <c r="I62" s="442">
        <v>0</v>
      </c>
      <c r="J62" s="442">
        <v>0</v>
      </c>
      <c r="K62" s="442" t="s">
        <v>899</v>
      </c>
      <c r="L62" s="442">
        <v>0</v>
      </c>
      <c r="M62" s="442">
        <v>0</v>
      </c>
      <c r="N62" s="443">
        <v>0</v>
      </c>
      <c r="O62" s="443">
        <v>0</v>
      </c>
      <c r="P62" s="443">
        <v>0</v>
      </c>
      <c r="Q62" s="443">
        <v>0</v>
      </c>
      <c r="R62" s="443">
        <v>0</v>
      </c>
      <c r="S62" s="443">
        <v>0</v>
      </c>
      <c r="T62" s="443">
        <v>5182695922.8454523</v>
      </c>
      <c r="U62" s="443">
        <v>354352304.96384567</v>
      </c>
      <c r="V62" s="443">
        <v>484428308.14697605</v>
      </c>
      <c r="W62" s="443">
        <v>496689556.7916891</v>
      </c>
      <c r="X62" s="443">
        <v>509261146.95815009</v>
      </c>
      <c r="Y62" s="443">
        <v>522150933.62613201</v>
      </c>
      <c r="Z62" s="443">
        <v>535366970.59091932</v>
      </c>
      <c r="AA62" s="443">
        <v>548917515.49547303</v>
      </c>
      <c r="AB62" s="443">
        <v>562811034.98997557</v>
      </c>
      <c r="AC62" s="443">
        <v>577056210.02195835</v>
      </c>
      <c r="AD62" s="443">
        <v>591661941.26033354</v>
      </c>
      <c r="AE62" s="443">
        <v>0</v>
      </c>
      <c r="AF62" s="33" t="s">
        <v>1417</v>
      </c>
      <c r="AG62" s="406"/>
    </row>
    <row r="63" spans="1:33">
      <c r="A63" s="410" t="str">
        <f t="shared" si="1"/>
        <v>운영하도급</v>
      </c>
      <c r="C63" s="450" t="s">
        <v>1007</v>
      </c>
      <c r="D63" s="442" t="s">
        <v>1184</v>
      </c>
      <c r="E63" s="442" t="s">
        <v>159</v>
      </c>
      <c r="F63" s="442" t="s">
        <v>1212</v>
      </c>
      <c r="G63" s="442" t="s">
        <v>1217</v>
      </c>
      <c r="H63" s="442">
        <v>0</v>
      </c>
      <c r="I63" s="442">
        <v>0</v>
      </c>
      <c r="J63" s="442">
        <v>0</v>
      </c>
      <c r="K63" s="442" t="s">
        <v>899</v>
      </c>
      <c r="L63" s="442">
        <v>0</v>
      </c>
      <c r="M63" s="442">
        <v>0</v>
      </c>
      <c r="N63" s="443">
        <v>0</v>
      </c>
      <c r="O63" s="443">
        <v>0</v>
      </c>
      <c r="P63" s="443">
        <v>0</v>
      </c>
      <c r="Q63" s="443">
        <v>0</v>
      </c>
      <c r="R63" s="443">
        <v>0</v>
      </c>
      <c r="S63" s="443">
        <v>0</v>
      </c>
      <c r="T63" s="443">
        <v>1036539184.569093</v>
      </c>
      <c r="U63" s="443">
        <v>70870460.992769137</v>
      </c>
      <c r="V63" s="443">
        <v>96885661.629395261</v>
      </c>
      <c r="W63" s="443">
        <v>99337911.358338118</v>
      </c>
      <c r="X63" s="443">
        <v>101852229.39163026</v>
      </c>
      <c r="Y63" s="443">
        <v>104430186.72522676</v>
      </c>
      <c r="Z63" s="443">
        <v>107073394.11818418</v>
      </c>
      <c r="AA63" s="443">
        <v>109783503.09909494</v>
      </c>
      <c r="AB63" s="443">
        <v>112562206.99799542</v>
      </c>
      <c r="AC63" s="443">
        <v>115411242.00439197</v>
      </c>
      <c r="AD63" s="443">
        <v>118332388.25206706</v>
      </c>
      <c r="AE63" s="443">
        <v>0</v>
      </c>
      <c r="AF63" s="33" t="s">
        <v>1417</v>
      </c>
      <c r="AG63" s="406"/>
    </row>
    <row r="64" spans="1:33">
      <c r="A64" s="410" t="str">
        <f t="shared" si="1"/>
        <v>운영하도급</v>
      </c>
      <c r="C64" s="450" t="s">
        <v>1008</v>
      </c>
      <c r="D64" s="442" t="s">
        <v>1184</v>
      </c>
      <c r="E64" s="442" t="s">
        <v>159</v>
      </c>
      <c r="F64" s="442" t="s">
        <v>1212</v>
      </c>
      <c r="G64" s="442" t="s">
        <v>1218</v>
      </c>
      <c r="H64" s="442">
        <v>0</v>
      </c>
      <c r="I64" s="442">
        <v>0</v>
      </c>
      <c r="J64" s="442">
        <v>0</v>
      </c>
      <c r="K64" s="442" t="s">
        <v>899</v>
      </c>
      <c r="L64" s="442">
        <v>0</v>
      </c>
      <c r="M64" s="442">
        <v>0</v>
      </c>
      <c r="N64" s="443">
        <v>0</v>
      </c>
      <c r="O64" s="443">
        <v>0</v>
      </c>
      <c r="P64" s="443">
        <v>0</v>
      </c>
      <c r="Q64" s="443">
        <v>0</v>
      </c>
      <c r="R64" s="443">
        <v>0</v>
      </c>
      <c r="S64" s="443">
        <v>0</v>
      </c>
      <c r="T64" s="443">
        <v>3800643676.7533345</v>
      </c>
      <c r="U64" s="443">
        <v>259858356.97348684</v>
      </c>
      <c r="V64" s="443">
        <v>355247425.97444916</v>
      </c>
      <c r="W64" s="443">
        <v>364239008.31390554</v>
      </c>
      <c r="X64" s="443">
        <v>373458174.43597686</v>
      </c>
      <c r="Y64" s="443">
        <v>382910684.65916389</v>
      </c>
      <c r="Z64" s="443">
        <v>392602445.10000783</v>
      </c>
      <c r="AA64" s="443">
        <v>402539511.36334729</v>
      </c>
      <c r="AB64" s="443">
        <v>412728092.32598227</v>
      </c>
      <c r="AC64" s="443">
        <v>423174554.01610309</v>
      </c>
      <c r="AD64" s="443">
        <v>433885423.59091139</v>
      </c>
      <c r="AE64" s="443">
        <v>0</v>
      </c>
      <c r="AF64" s="33" t="s">
        <v>1417</v>
      </c>
      <c r="AG64" s="406"/>
    </row>
    <row r="65" spans="1:33">
      <c r="A65" s="410" t="str">
        <f t="shared" si="1"/>
        <v>운영하도급</v>
      </c>
      <c r="C65" s="450" t="s">
        <v>1009</v>
      </c>
      <c r="D65" s="442" t="s">
        <v>1184</v>
      </c>
      <c r="E65" s="442" t="s">
        <v>159</v>
      </c>
      <c r="F65" s="442" t="s">
        <v>1214</v>
      </c>
      <c r="G65" s="442" t="s">
        <v>1219</v>
      </c>
      <c r="H65" s="442">
        <v>0</v>
      </c>
      <c r="I65" s="442">
        <v>0</v>
      </c>
      <c r="J65" s="442">
        <v>0</v>
      </c>
      <c r="K65" s="442" t="s">
        <v>899</v>
      </c>
      <c r="L65" s="442">
        <v>0</v>
      </c>
      <c r="M65" s="442">
        <v>0</v>
      </c>
      <c r="N65" s="443">
        <v>0</v>
      </c>
      <c r="O65" s="443">
        <v>0</v>
      </c>
      <c r="P65" s="443">
        <v>0</v>
      </c>
      <c r="Q65" s="443">
        <v>0</v>
      </c>
      <c r="R65" s="443">
        <v>0</v>
      </c>
      <c r="S65" s="443">
        <v>0</v>
      </c>
      <c r="T65" s="443">
        <v>8292313476.5527382</v>
      </c>
      <c r="U65" s="443">
        <v>566963687.9421531</v>
      </c>
      <c r="V65" s="443">
        <v>775085293.03516209</v>
      </c>
      <c r="W65" s="443">
        <v>794703290.86670399</v>
      </c>
      <c r="X65" s="443">
        <v>814817835.13304186</v>
      </c>
      <c r="Y65" s="443">
        <v>835441493.80181301</v>
      </c>
      <c r="Z65" s="443">
        <v>856587152.94547248</v>
      </c>
      <c r="AA65" s="443">
        <v>878268024.79275918</v>
      </c>
      <c r="AB65" s="443">
        <v>900497655.98396242</v>
      </c>
      <c r="AC65" s="443">
        <v>923289936.03513527</v>
      </c>
      <c r="AD65" s="443">
        <v>946659106.01653552</v>
      </c>
      <c r="AE65" s="443">
        <v>0</v>
      </c>
      <c r="AF65" s="33" t="s">
        <v>1417</v>
      </c>
      <c r="AG65" s="406"/>
    </row>
    <row r="66" spans="1:33">
      <c r="A66" s="410" t="str">
        <f t="shared" si="1"/>
        <v>운영하도급</v>
      </c>
      <c r="C66" s="450" t="s">
        <v>1010</v>
      </c>
      <c r="D66" s="442" t="s">
        <v>1184</v>
      </c>
      <c r="E66" s="442" t="s">
        <v>159</v>
      </c>
      <c r="F66" s="442" t="s">
        <v>1214</v>
      </c>
      <c r="G66" s="442" t="s">
        <v>1220</v>
      </c>
      <c r="H66" s="442">
        <v>0</v>
      </c>
      <c r="I66" s="442">
        <v>0</v>
      </c>
      <c r="J66" s="442">
        <v>0</v>
      </c>
      <c r="K66" s="442" t="s">
        <v>899</v>
      </c>
      <c r="L66" s="442">
        <v>0</v>
      </c>
      <c r="M66" s="442">
        <v>0</v>
      </c>
      <c r="N66" s="443">
        <v>0</v>
      </c>
      <c r="O66" s="443">
        <v>0</v>
      </c>
      <c r="P66" s="443">
        <v>0</v>
      </c>
      <c r="Q66" s="443">
        <v>0</v>
      </c>
      <c r="R66" s="443">
        <v>0</v>
      </c>
      <c r="S66" s="443">
        <v>0</v>
      </c>
      <c r="T66" s="443">
        <v>0</v>
      </c>
      <c r="U66" s="443">
        <v>0</v>
      </c>
      <c r="V66" s="443">
        <v>0</v>
      </c>
      <c r="W66" s="443">
        <v>0</v>
      </c>
      <c r="X66" s="443">
        <v>0</v>
      </c>
      <c r="Y66" s="443">
        <v>0</v>
      </c>
      <c r="Z66" s="443">
        <v>0</v>
      </c>
      <c r="AA66" s="443">
        <v>0</v>
      </c>
      <c r="AB66" s="443">
        <v>0</v>
      </c>
      <c r="AC66" s="443">
        <v>0</v>
      </c>
      <c r="AD66" s="443">
        <v>0</v>
      </c>
      <c r="AE66" s="443">
        <v>0</v>
      </c>
      <c r="AF66" s="33" t="s">
        <v>1417</v>
      </c>
      <c r="AG66" s="406"/>
    </row>
    <row r="67" spans="1:33">
      <c r="A67" s="410" t="str">
        <f t="shared" si="1"/>
        <v>운영하도급</v>
      </c>
      <c r="C67" s="450" t="s">
        <v>1011</v>
      </c>
      <c r="D67" s="442" t="s">
        <v>1184</v>
      </c>
      <c r="E67" s="442" t="s">
        <v>159</v>
      </c>
      <c r="F67" s="442" t="s">
        <v>1214</v>
      </c>
      <c r="G67" s="442" t="s">
        <v>1221</v>
      </c>
      <c r="H67" s="442">
        <v>0</v>
      </c>
      <c r="I67" s="442">
        <v>0</v>
      </c>
      <c r="J67" s="442">
        <v>0</v>
      </c>
      <c r="K67" s="442" t="s">
        <v>899</v>
      </c>
      <c r="L67" s="442">
        <v>0</v>
      </c>
      <c r="M67" s="442">
        <v>0</v>
      </c>
      <c r="N67" s="443">
        <v>0</v>
      </c>
      <c r="O67" s="443">
        <v>0</v>
      </c>
      <c r="P67" s="443">
        <v>0</v>
      </c>
      <c r="Q67" s="443">
        <v>0</v>
      </c>
      <c r="R67" s="443">
        <v>0</v>
      </c>
      <c r="S67" s="443">
        <v>0</v>
      </c>
      <c r="T67" s="443">
        <v>0</v>
      </c>
      <c r="U67" s="443">
        <v>0</v>
      </c>
      <c r="V67" s="443">
        <v>0</v>
      </c>
      <c r="W67" s="443">
        <v>0</v>
      </c>
      <c r="X67" s="443">
        <v>0</v>
      </c>
      <c r="Y67" s="443">
        <v>0</v>
      </c>
      <c r="Z67" s="443">
        <v>0</v>
      </c>
      <c r="AA67" s="443">
        <v>0</v>
      </c>
      <c r="AB67" s="443">
        <v>0</v>
      </c>
      <c r="AC67" s="443">
        <v>0</v>
      </c>
      <c r="AD67" s="443">
        <v>0</v>
      </c>
      <c r="AE67" s="443">
        <v>0</v>
      </c>
      <c r="AF67" s="33" t="s">
        <v>1417</v>
      </c>
      <c r="AG67" s="406"/>
    </row>
    <row r="68" spans="1:33">
      <c r="A68" s="410" t="str">
        <f t="shared" si="1"/>
        <v>운영하도급</v>
      </c>
      <c r="C68" s="450" t="s">
        <v>1229</v>
      </c>
      <c r="D68" s="442" t="s">
        <v>1184</v>
      </c>
      <c r="E68" s="442" t="s">
        <v>176</v>
      </c>
      <c r="F68" s="442" t="s">
        <v>1207</v>
      </c>
      <c r="G68" s="442" t="s">
        <v>1222</v>
      </c>
      <c r="H68" s="442">
        <v>0</v>
      </c>
      <c r="I68" s="442">
        <v>0</v>
      </c>
      <c r="J68" s="442">
        <v>0</v>
      </c>
      <c r="K68" s="442" t="s">
        <v>899</v>
      </c>
      <c r="L68" s="442">
        <v>0</v>
      </c>
      <c r="M68" s="442">
        <v>0</v>
      </c>
      <c r="N68" s="443">
        <v>0</v>
      </c>
      <c r="O68" s="443">
        <v>0</v>
      </c>
      <c r="P68" s="443">
        <v>0</v>
      </c>
      <c r="Q68" s="443">
        <v>0</v>
      </c>
      <c r="R68" s="443">
        <v>0</v>
      </c>
      <c r="S68" s="443">
        <v>0</v>
      </c>
      <c r="T68" s="443">
        <v>429838939.07993156</v>
      </c>
      <c r="U68" s="443">
        <v>29389032.483032938</v>
      </c>
      <c r="V68" s="443">
        <v>40177188.30779089</v>
      </c>
      <c r="W68" s="443">
        <v>41194103.478524216</v>
      </c>
      <c r="X68" s="443">
        <v>42236757.545084313</v>
      </c>
      <c r="Y68" s="443">
        <v>43305801.978486136</v>
      </c>
      <c r="Z68" s="443">
        <v>44401904.738971122</v>
      </c>
      <c r="AA68" s="443">
        <v>45525750.693362072</v>
      </c>
      <c r="AB68" s="443">
        <v>46678042.042981595</v>
      </c>
      <c r="AC68" s="443">
        <v>47859498.762401409</v>
      </c>
      <c r="AD68" s="443">
        <v>49070859.049296863</v>
      </c>
      <c r="AE68" s="443">
        <v>0</v>
      </c>
      <c r="AF68" s="33" t="s">
        <v>1417</v>
      </c>
      <c r="AG68" s="406"/>
    </row>
    <row r="69" spans="1:33">
      <c r="A69" s="410" t="str">
        <f t="shared" ref="A69" si="2">IF(C69&lt;&gt;"",IF(LEFT(C69,3)="인건비","운영하도급",IF(LEFT(C69,3)="구축비", "투자","수행비용")),"")</f>
        <v>운영하도급</v>
      </c>
      <c r="C69" s="450" t="s">
        <v>1230</v>
      </c>
      <c r="D69" s="442" t="s">
        <v>1184</v>
      </c>
      <c r="E69" s="442" t="s">
        <v>176</v>
      </c>
      <c r="F69" s="442" t="s">
        <v>1207</v>
      </c>
      <c r="G69" s="442" t="s">
        <v>1223</v>
      </c>
      <c r="H69" s="442">
        <v>0</v>
      </c>
      <c r="I69" s="442">
        <v>0</v>
      </c>
      <c r="J69" s="442">
        <v>0</v>
      </c>
      <c r="K69" s="442" t="s">
        <v>899</v>
      </c>
      <c r="L69" s="442">
        <v>0</v>
      </c>
      <c r="M69" s="442">
        <v>0</v>
      </c>
      <c r="N69" s="443">
        <v>0</v>
      </c>
      <c r="O69" s="443">
        <v>0</v>
      </c>
      <c r="P69" s="443">
        <v>0</v>
      </c>
      <c r="Q69" s="443">
        <v>0</v>
      </c>
      <c r="R69" s="443">
        <v>0</v>
      </c>
      <c r="S69" s="443">
        <v>0</v>
      </c>
      <c r="T69" s="443">
        <v>429838939.07993156</v>
      </c>
      <c r="U69" s="443">
        <v>29389032.483032938</v>
      </c>
      <c r="V69" s="443">
        <v>40177188.30779089</v>
      </c>
      <c r="W69" s="443">
        <v>41194103.478524216</v>
      </c>
      <c r="X69" s="443">
        <v>42236757.545084313</v>
      </c>
      <c r="Y69" s="443">
        <v>43305801.978486136</v>
      </c>
      <c r="Z69" s="443">
        <v>44401904.738971122</v>
      </c>
      <c r="AA69" s="443">
        <v>45525750.693362072</v>
      </c>
      <c r="AB69" s="443">
        <v>46678042.042981595</v>
      </c>
      <c r="AC69" s="443">
        <v>47859498.762401409</v>
      </c>
      <c r="AD69" s="443">
        <v>49070859.049296863</v>
      </c>
      <c r="AE69" s="443">
        <v>0</v>
      </c>
      <c r="AF69" s="33" t="s">
        <v>1417</v>
      </c>
      <c r="AG69" s="406"/>
    </row>
    <row r="70" spans="1:33">
      <c r="A70" s="410" t="str">
        <f t="shared" ref="A70:A97" si="3">IF(C70&lt;&gt;"",IF(LEFT(C70,3)="인건비","운영하도급",IF(LEFT(C70,3)="구축비", "투자","수행비용")),"")</f>
        <v>운영하도급</v>
      </c>
      <c r="C70" s="450" t="s">
        <v>1231</v>
      </c>
      <c r="D70" s="442" t="s">
        <v>1184</v>
      </c>
      <c r="E70" s="442" t="s">
        <v>176</v>
      </c>
      <c r="F70" s="442" t="s">
        <v>1212</v>
      </c>
      <c r="G70" s="442" t="s">
        <v>1224</v>
      </c>
      <c r="H70" s="442">
        <v>0</v>
      </c>
      <c r="I70" s="442">
        <v>0</v>
      </c>
      <c r="J70" s="442">
        <v>0</v>
      </c>
      <c r="K70" s="442" t="s">
        <v>899</v>
      </c>
      <c r="L70" s="442">
        <v>0</v>
      </c>
      <c r="M70" s="442">
        <v>0</v>
      </c>
      <c r="N70" s="443">
        <v>0</v>
      </c>
      <c r="O70" s="443">
        <v>0</v>
      </c>
      <c r="P70" s="443">
        <v>0</v>
      </c>
      <c r="Q70" s="443">
        <v>0</v>
      </c>
      <c r="R70" s="443">
        <v>0</v>
      </c>
      <c r="S70" s="443">
        <v>0</v>
      </c>
      <c r="T70" s="443">
        <v>859677878.15986311</v>
      </c>
      <c r="U70" s="443">
        <v>58778064.966065876</v>
      </c>
      <c r="V70" s="443">
        <v>80354376.615581781</v>
      </c>
      <c r="W70" s="443">
        <v>82388206.957048431</v>
      </c>
      <c r="X70" s="443">
        <v>84473515.090168625</v>
      </c>
      <c r="Y70" s="443">
        <v>86611603.956972271</v>
      </c>
      <c r="Z70" s="443">
        <v>88803809.477942243</v>
      </c>
      <c r="AA70" s="443">
        <v>91051501.386724144</v>
      </c>
      <c r="AB70" s="443">
        <v>93356084.08596319</v>
      </c>
      <c r="AC70" s="443">
        <v>95718997.524802819</v>
      </c>
      <c r="AD70" s="443">
        <v>98141718.098593727</v>
      </c>
      <c r="AE70" s="443">
        <v>0</v>
      </c>
      <c r="AF70" s="33" t="s">
        <v>1417</v>
      </c>
      <c r="AG70" s="406"/>
    </row>
    <row r="71" spans="1:33">
      <c r="A71" s="410" t="str">
        <f t="shared" si="3"/>
        <v>운영하도급</v>
      </c>
      <c r="C71" s="450" t="s">
        <v>1232</v>
      </c>
      <c r="D71" s="442" t="s">
        <v>1184</v>
      </c>
      <c r="E71" s="442" t="s">
        <v>176</v>
      </c>
      <c r="F71" s="442" t="s">
        <v>1214</v>
      </c>
      <c r="G71" s="442" t="s">
        <v>1225</v>
      </c>
      <c r="H71" s="442">
        <v>0</v>
      </c>
      <c r="I71" s="442">
        <v>0</v>
      </c>
      <c r="J71" s="442">
        <v>0</v>
      </c>
      <c r="K71" s="442" t="s">
        <v>899</v>
      </c>
      <c r="L71" s="442">
        <v>0</v>
      </c>
      <c r="M71" s="442">
        <v>0</v>
      </c>
      <c r="N71" s="443">
        <v>0</v>
      </c>
      <c r="O71" s="443">
        <v>0</v>
      </c>
      <c r="P71" s="443">
        <v>0</v>
      </c>
      <c r="Q71" s="443">
        <v>0</v>
      </c>
      <c r="R71" s="443">
        <v>0</v>
      </c>
      <c r="S71" s="443">
        <v>0</v>
      </c>
      <c r="T71" s="443">
        <v>1289516817.2397947</v>
      </c>
      <c r="U71" s="443">
        <v>88167097.44909884</v>
      </c>
      <c r="V71" s="443">
        <v>120531564.92337267</v>
      </c>
      <c r="W71" s="443">
        <v>123582310.43557262</v>
      </c>
      <c r="X71" s="443">
        <v>126710272.63525297</v>
      </c>
      <c r="Y71" s="443">
        <v>129917405.93545839</v>
      </c>
      <c r="Z71" s="443">
        <v>133205714.21691334</v>
      </c>
      <c r="AA71" s="443">
        <v>136577252.08008629</v>
      </c>
      <c r="AB71" s="443">
        <v>140034126.12894478</v>
      </c>
      <c r="AC71" s="443">
        <v>143578496.28720424</v>
      </c>
      <c r="AD71" s="443">
        <v>147212577.14789054</v>
      </c>
      <c r="AE71" s="443">
        <v>0</v>
      </c>
      <c r="AF71" s="33" t="s">
        <v>1417</v>
      </c>
      <c r="AG71" s="406"/>
    </row>
    <row r="72" spans="1:33">
      <c r="A72" s="410" t="str">
        <f t="shared" si="3"/>
        <v>운영하도급</v>
      </c>
      <c r="C72" s="450" t="s">
        <v>1233</v>
      </c>
      <c r="D72" s="442" t="s">
        <v>1184</v>
      </c>
      <c r="E72" s="442" t="s">
        <v>176</v>
      </c>
      <c r="F72" s="442" t="s">
        <v>1226</v>
      </c>
      <c r="G72" s="442" t="s">
        <v>1227</v>
      </c>
      <c r="H72" s="442">
        <v>0</v>
      </c>
      <c r="I72" s="442">
        <v>0</v>
      </c>
      <c r="J72" s="442">
        <v>0</v>
      </c>
      <c r="K72" s="442" t="s">
        <v>899</v>
      </c>
      <c r="L72" s="442">
        <v>0</v>
      </c>
      <c r="M72" s="442">
        <v>0</v>
      </c>
      <c r="N72" s="443">
        <v>0</v>
      </c>
      <c r="O72" s="443">
        <v>0</v>
      </c>
      <c r="P72" s="443">
        <v>0</v>
      </c>
      <c r="Q72" s="443">
        <v>0</v>
      </c>
      <c r="R72" s="443">
        <v>0</v>
      </c>
      <c r="S72" s="443">
        <v>0</v>
      </c>
      <c r="T72" s="443">
        <v>250739381.12995991</v>
      </c>
      <c r="U72" s="443">
        <v>17143602.281769224</v>
      </c>
      <c r="V72" s="443">
        <v>23436693.179544687</v>
      </c>
      <c r="W72" s="443">
        <v>24029893.695805777</v>
      </c>
      <c r="X72" s="443">
        <v>24638108.567965828</v>
      </c>
      <c r="Y72" s="443">
        <v>25261717.820783559</v>
      </c>
      <c r="Z72" s="443">
        <v>25901111.097733136</v>
      </c>
      <c r="AA72" s="443">
        <v>26556687.90446119</v>
      </c>
      <c r="AB72" s="443">
        <v>27228857.858405899</v>
      </c>
      <c r="AC72" s="443">
        <v>27918040.944734141</v>
      </c>
      <c r="AD72" s="443">
        <v>28624667.778756477</v>
      </c>
      <c r="AE72" s="443">
        <v>0</v>
      </c>
      <c r="AF72" s="33" t="s">
        <v>1417</v>
      </c>
      <c r="AG72" s="406"/>
    </row>
    <row r="73" spans="1:33">
      <c r="A73" s="410" t="str">
        <f t="shared" si="3"/>
        <v>운영하도급</v>
      </c>
      <c r="C73" s="450" t="s">
        <v>1234</v>
      </c>
      <c r="D73" s="442" t="s">
        <v>1184</v>
      </c>
      <c r="E73" s="442" t="s">
        <v>159</v>
      </c>
      <c r="F73" s="442" t="s">
        <v>1226</v>
      </c>
      <c r="G73" s="442" t="s">
        <v>1228</v>
      </c>
      <c r="H73" s="442">
        <v>0</v>
      </c>
      <c r="I73" s="442">
        <v>0</v>
      </c>
      <c r="J73" s="442">
        <v>0</v>
      </c>
      <c r="K73" s="442" t="s">
        <v>899</v>
      </c>
      <c r="L73" s="442">
        <v>0</v>
      </c>
      <c r="M73" s="442">
        <v>0</v>
      </c>
      <c r="N73" s="443">
        <v>0</v>
      </c>
      <c r="O73" s="443">
        <v>0</v>
      </c>
      <c r="P73" s="443">
        <v>0</v>
      </c>
      <c r="Q73" s="443">
        <v>0</v>
      </c>
      <c r="R73" s="443">
        <v>0</v>
      </c>
      <c r="S73" s="443">
        <v>0</v>
      </c>
      <c r="T73" s="443">
        <v>1007746429.4421731</v>
      </c>
      <c r="U73" s="443">
        <v>68901837.076303318</v>
      </c>
      <c r="V73" s="443">
        <v>94194393.250800908</v>
      </c>
      <c r="W73" s="443">
        <v>96578524.931717485</v>
      </c>
      <c r="X73" s="443">
        <v>99023000.797418252</v>
      </c>
      <c r="Y73" s="443">
        <v>101529348.20508146</v>
      </c>
      <c r="Z73" s="443">
        <v>104099133.17045677</v>
      </c>
      <c r="AA73" s="443">
        <v>106733961.34634228</v>
      </c>
      <c r="AB73" s="443">
        <v>109435479.02582879</v>
      </c>
      <c r="AC73" s="443">
        <v>112205374.17093658</v>
      </c>
      <c r="AD73" s="443">
        <v>115045377.46728733</v>
      </c>
      <c r="AE73" s="443">
        <v>0</v>
      </c>
      <c r="AF73" s="33" t="s">
        <v>1417</v>
      </c>
      <c r="AG73" s="406"/>
    </row>
    <row r="74" spans="1:33">
      <c r="A74" s="410" t="str">
        <f t="shared" si="3"/>
        <v>운영하도급</v>
      </c>
      <c r="C74" s="450" t="s">
        <v>1235</v>
      </c>
      <c r="D74" s="442" t="s">
        <v>1184</v>
      </c>
      <c r="E74" s="442" t="s">
        <v>176</v>
      </c>
      <c r="F74" s="442" t="s">
        <v>1207</v>
      </c>
      <c r="G74" s="442" t="s">
        <v>978</v>
      </c>
      <c r="H74" s="442">
        <v>0</v>
      </c>
      <c r="I74" s="442">
        <v>0</v>
      </c>
      <c r="J74" s="442">
        <v>0</v>
      </c>
      <c r="K74" s="442" t="s">
        <v>899</v>
      </c>
      <c r="L74" s="442">
        <v>0</v>
      </c>
      <c r="M74" s="442">
        <v>0</v>
      </c>
      <c r="N74" s="443">
        <v>0</v>
      </c>
      <c r="O74" s="443">
        <v>0</v>
      </c>
      <c r="P74" s="443">
        <v>0</v>
      </c>
      <c r="Q74" s="443">
        <v>0</v>
      </c>
      <c r="R74" s="443">
        <v>0</v>
      </c>
      <c r="S74" s="443">
        <v>0</v>
      </c>
      <c r="T74" s="443">
        <v>429838939.07993156</v>
      </c>
      <c r="U74" s="443">
        <v>29389032.483032938</v>
      </c>
      <c r="V74" s="443">
        <v>40177188.30779089</v>
      </c>
      <c r="W74" s="443">
        <v>41194103.478524216</v>
      </c>
      <c r="X74" s="443">
        <v>42236757.545084313</v>
      </c>
      <c r="Y74" s="443">
        <v>43305801.978486136</v>
      </c>
      <c r="Z74" s="443">
        <v>44401904.738971122</v>
      </c>
      <c r="AA74" s="443">
        <v>45525750.693362072</v>
      </c>
      <c r="AB74" s="443">
        <v>46678042.042981595</v>
      </c>
      <c r="AC74" s="443">
        <v>47859498.762401409</v>
      </c>
      <c r="AD74" s="443">
        <v>49070859.049296863</v>
      </c>
      <c r="AE74" s="443">
        <v>0</v>
      </c>
      <c r="AF74" s="33" t="s">
        <v>1417</v>
      </c>
      <c r="AG74" s="406"/>
    </row>
    <row r="75" spans="1:33">
      <c r="A75" s="410" t="str">
        <f t="shared" si="3"/>
        <v>운영하도급</v>
      </c>
      <c r="C75" s="450" t="s">
        <v>1236</v>
      </c>
      <c r="D75" s="442" t="s">
        <v>1184</v>
      </c>
      <c r="E75" s="442" t="s">
        <v>176</v>
      </c>
      <c r="F75" s="442" t="s">
        <v>1207</v>
      </c>
      <c r="G75" s="442" t="s">
        <v>194</v>
      </c>
      <c r="H75" s="442">
        <v>0</v>
      </c>
      <c r="I75" s="442">
        <v>0</v>
      </c>
      <c r="J75" s="442">
        <v>0</v>
      </c>
      <c r="K75" s="442" t="s">
        <v>899</v>
      </c>
      <c r="L75" s="442">
        <v>0</v>
      </c>
      <c r="M75" s="442">
        <v>0</v>
      </c>
      <c r="N75" s="443">
        <v>0</v>
      </c>
      <c r="O75" s="443">
        <v>0</v>
      </c>
      <c r="P75" s="443">
        <v>0</v>
      </c>
      <c r="Q75" s="443">
        <v>0</v>
      </c>
      <c r="R75" s="443">
        <v>0</v>
      </c>
      <c r="S75" s="443">
        <v>0</v>
      </c>
      <c r="T75" s="443">
        <v>429838939.07993156</v>
      </c>
      <c r="U75" s="443">
        <v>29389032.483032938</v>
      </c>
      <c r="V75" s="443">
        <v>40177188.30779089</v>
      </c>
      <c r="W75" s="443">
        <v>41194103.478524216</v>
      </c>
      <c r="X75" s="443">
        <v>42236757.545084313</v>
      </c>
      <c r="Y75" s="443">
        <v>43305801.978486136</v>
      </c>
      <c r="Z75" s="443">
        <v>44401904.738971122</v>
      </c>
      <c r="AA75" s="443">
        <v>45525750.693362072</v>
      </c>
      <c r="AB75" s="443">
        <v>46678042.042981595</v>
      </c>
      <c r="AC75" s="443">
        <v>47859498.762401409</v>
      </c>
      <c r="AD75" s="443">
        <v>49070859.049296863</v>
      </c>
      <c r="AE75" s="443">
        <v>0</v>
      </c>
      <c r="AF75" s="33" t="s">
        <v>1417</v>
      </c>
      <c r="AG75" s="406"/>
    </row>
    <row r="76" spans="1:33">
      <c r="A76" s="410" t="str">
        <f t="shared" si="3"/>
        <v>수행비용</v>
      </c>
      <c r="C76" s="450" t="s">
        <v>1502</v>
      </c>
      <c r="D76" s="442" t="s">
        <v>1199</v>
      </c>
      <c r="E76" s="442" t="s">
        <v>1490</v>
      </c>
      <c r="F76" s="442" t="s">
        <v>1497</v>
      </c>
      <c r="G76" s="442">
        <v>0</v>
      </c>
      <c r="H76" s="442">
        <v>0</v>
      </c>
      <c r="I76" s="442">
        <v>0</v>
      </c>
      <c r="J76" s="442">
        <v>0</v>
      </c>
      <c r="K76" s="442" t="s">
        <v>899</v>
      </c>
      <c r="L76" s="442">
        <v>0</v>
      </c>
      <c r="M76" s="442">
        <v>0</v>
      </c>
      <c r="N76" s="443">
        <v>0</v>
      </c>
      <c r="O76" s="443">
        <v>0</v>
      </c>
      <c r="P76" s="443">
        <v>0</v>
      </c>
      <c r="Q76" s="443">
        <v>0</v>
      </c>
      <c r="R76" s="443">
        <v>0</v>
      </c>
      <c r="S76" s="443">
        <v>0</v>
      </c>
      <c r="T76" s="443">
        <v>1668450000</v>
      </c>
      <c r="U76" s="443">
        <v>118650000</v>
      </c>
      <c r="V76" s="443">
        <v>172200000</v>
      </c>
      <c r="W76" s="443">
        <v>172200000</v>
      </c>
      <c r="X76" s="443">
        <v>172200000</v>
      </c>
      <c r="Y76" s="443">
        <v>172200000</v>
      </c>
      <c r="Z76" s="443">
        <v>172200000</v>
      </c>
      <c r="AA76" s="443">
        <v>172200000</v>
      </c>
      <c r="AB76" s="443">
        <v>172200000</v>
      </c>
      <c r="AC76" s="443">
        <v>172200000</v>
      </c>
      <c r="AD76" s="443">
        <v>172200000</v>
      </c>
      <c r="AE76" s="443">
        <v>0</v>
      </c>
      <c r="AF76" s="33" t="s">
        <v>1417</v>
      </c>
      <c r="AG76" s="406"/>
    </row>
    <row r="77" spans="1:33">
      <c r="A77" s="410" t="str">
        <f t="shared" si="3"/>
        <v>수행비용</v>
      </c>
      <c r="C77" s="450" t="s">
        <v>1499</v>
      </c>
      <c r="D77" s="442" t="s">
        <v>1184</v>
      </c>
      <c r="E77" s="442" t="s">
        <v>1490</v>
      </c>
      <c r="F77" s="442" t="s">
        <v>1497</v>
      </c>
      <c r="G77" s="442">
        <v>0</v>
      </c>
      <c r="H77" s="442">
        <v>0</v>
      </c>
      <c r="I77" s="442">
        <v>0</v>
      </c>
      <c r="J77" s="442">
        <v>0</v>
      </c>
      <c r="K77" s="442" t="s">
        <v>899</v>
      </c>
      <c r="L77" s="442">
        <v>0</v>
      </c>
      <c r="M77" s="442">
        <v>0</v>
      </c>
      <c r="N77" s="443">
        <v>0</v>
      </c>
      <c r="O77" s="443">
        <v>0</v>
      </c>
      <c r="P77" s="443">
        <v>0</v>
      </c>
      <c r="Q77" s="443">
        <v>0</v>
      </c>
      <c r="R77" s="443">
        <v>0</v>
      </c>
      <c r="S77" s="443">
        <v>0</v>
      </c>
      <c r="T77" s="443">
        <v>2088450000</v>
      </c>
      <c r="U77" s="443">
        <v>160650000</v>
      </c>
      <c r="V77" s="443">
        <v>214200000</v>
      </c>
      <c r="W77" s="443">
        <v>214200000</v>
      </c>
      <c r="X77" s="443">
        <v>214200000</v>
      </c>
      <c r="Y77" s="443">
        <v>214200000</v>
      </c>
      <c r="Z77" s="443">
        <v>214200000</v>
      </c>
      <c r="AA77" s="443">
        <v>214200000</v>
      </c>
      <c r="AB77" s="443">
        <v>214200000</v>
      </c>
      <c r="AC77" s="443">
        <v>214200000</v>
      </c>
      <c r="AD77" s="443">
        <v>214200000</v>
      </c>
      <c r="AE77" s="443">
        <v>0</v>
      </c>
      <c r="AF77" s="33" t="s">
        <v>1417</v>
      </c>
      <c r="AG77" s="406"/>
    </row>
    <row r="78" spans="1:33">
      <c r="A78" s="410" t="str">
        <f t="shared" si="3"/>
        <v>수행비용</v>
      </c>
      <c r="C78" s="450" t="s">
        <v>1012</v>
      </c>
      <c r="D78" s="442" t="s">
        <v>1185</v>
      </c>
      <c r="E78" s="442" t="s">
        <v>246</v>
      </c>
      <c r="F78" s="442" t="s">
        <v>820</v>
      </c>
      <c r="G78" s="442" t="s">
        <v>248</v>
      </c>
      <c r="H78" s="442" t="s">
        <v>1546</v>
      </c>
      <c r="I78" s="442">
        <v>0</v>
      </c>
      <c r="J78" s="442">
        <v>0</v>
      </c>
      <c r="K78" s="442" t="s">
        <v>590</v>
      </c>
      <c r="L78" s="442">
        <v>1</v>
      </c>
      <c r="M78" s="442">
        <v>0</v>
      </c>
      <c r="N78" s="443">
        <v>0</v>
      </c>
      <c r="O78" s="443">
        <v>0</v>
      </c>
      <c r="P78" s="443">
        <v>0</v>
      </c>
      <c r="Q78" s="443">
        <v>10</v>
      </c>
      <c r="R78" s="443">
        <v>1</v>
      </c>
      <c r="S78" s="443">
        <v>1</v>
      </c>
      <c r="T78" s="443">
        <v>260000000</v>
      </c>
      <c r="U78" s="443">
        <v>260000000</v>
      </c>
      <c r="V78" s="443">
        <v>0</v>
      </c>
      <c r="W78" s="443">
        <v>0</v>
      </c>
      <c r="X78" s="443">
        <v>0</v>
      </c>
      <c r="Y78" s="443">
        <v>0</v>
      </c>
      <c r="Z78" s="443">
        <v>0</v>
      </c>
      <c r="AA78" s="443">
        <v>0</v>
      </c>
      <c r="AB78" s="443">
        <v>0</v>
      </c>
      <c r="AC78" s="443">
        <v>0</v>
      </c>
      <c r="AD78" s="443">
        <v>0</v>
      </c>
      <c r="AE78" s="443">
        <v>0</v>
      </c>
      <c r="AF78" s="33" t="s">
        <v>1085</v>
      </c>
      <c r="AG78" s="406"/>
    </row>
    <row r="79" spans="1:33">
      <c r="A79" s="410" t="str">
        <f t="shared" si="3"/>
        <v>수행비용</v>
      </c>
      <c r="C79" s="450" t="s">
        <v>1014</v>
      </c>
      <c r="D79" s="442" t="s">
        <v>1185</v>
      </c>
      <c r="E79" s="442" t="s">
        <v>246</v>
      </c>
      <c r="F79" s="442" t="s">
        <v>820</v>
      </c>
      <c r="G79" s="442" t="s">
        <v>248</v>
      </c>
      <c r="H79" s="442" t="s">
        <v>1547</v>
      </c>
      <c r="I79" s="442">
        <v>0</v>
      </c>
      <c r="J79" s="442">
        <v>0</v>
      </c>
      <c r="K79" s="442" t="s">
        <v>590</v>
      </c>
      <c r="L79" s="442">
        <v>1</v>
      </c>
      <c r="M79" s="442">
        <v>0</v>
      </c>
      <c r="N79" s="443">
        <v>0</v>
      </c>
      <c r="O79" s="443">
        <v>0</v>
      </c>
      <c r="P79" s="443">
        <v>36</v>
      </c>
      <c r="Q79" s="443">
        <v>84</v>
      </c>
      <c r="R79" s="443">
        <v>1</v>
      </c>
      <c r="S79" s="443">
        <v>1</v>
      </c>
      <c r="T79" s="443">
        <v>441000000</v>
      </c>
      <c r="U79" s="443">
        <v>0</v>
      </c>
      <c r="V79" s="443">
        <v>0</v>
      </c>
      <c r="W79" s="443">
        <v>0</v>
      </c>
      <c r="X79" s="443">
        <v>63000000</v>
      </c>
      <c r="Y79" s="443">
        <v>63000000</v>
      </c>
      <c r="Z79" s="443">
        <v>63000000</v>
      </c>
      <c r="AA79" s="443">
        <v>63000000</v>
      </c>
      <c r="AB79" s="443">
        <v>63000000</v>
      </c>
      <c r="AC79" s="443">
        <v>63000000</v>
      </c>
      <c r="AD79" s="443">
        <v>63000000</v>
      </c>
      <c r="AE79" s="443">
        <v>0</v>
      </c>
      <c r="AF79" s="33" t="s">
        <v>1085</v>
      </c>
      <c r="AG79" s="406"/>
    </row>
    <row r="80" spans="1:33">
      <c r="A80" s="410" t="str">
        <f t="shared" si="3"/>
        <v>수행비용</v>
      </c>
      <c r="C80" s="450" t="s">
        <v>1015</v>
      </c>
      <c r="D80" s="442" t="s">
        <v>1185</v>
      </c>
      <c r="E80" s="442" t="s">
        <v>246</v>
      </c>
      <c r="F80" s="442" t="s">
        <v>820</v>
      </c>
      <c r="G80" s="442" t="s">
        <v>248</v>
      </c>
      <c r="H80" s="442" t="s">
        <v>251</v>
      </c>
      <c r="I80" s="442">
        <v>0</v>
      </c>
      <c r="J80" s="442">
        <v>0</v>
      </c>
      <c r="K80" s="442" t="s">
        <v>590</v>
      </c>
      <c r="L80" s="442">
        <v>1</v>
      </c>
      <c r="M80" s="442">
        <v>0</v>
      </c>
      <c r="N80" s="443">
        <v>0</v>
      </c>
      <c r="O80" s="443">
        <v>0</v>
      </c>
      <c r="P80" s="443">
        <v>0</v>
      </c>
      <c r="Q80" s="443">
        <v>5</v>
      </c>
      <c r="R80" s="443">
        <v>1</v>
      </c>
      <c r="S80" s="443">
        <v>1</v>
      </c>
      <c r="T80" s="443">
        <v>43985500</v>
      </c>
      <c r="U80" s="443">
        <v>43985500</v>
      </c>
      <c r="V80" s="443">
        <v>0</v>
      </c>
      <c r="W80" s="443">
        <v>0</v>
      </c>
      <c r="X80" s="443">
        <v>0</v>
      </c>
      <c r="Y80" s="443">
        <v>0</v>
      </c>
      <c r="Z80" s="443">
        <v>0</v>
      </c>
      <c r="AA80" s="443">
        <v>0</v>
      </c>
      <c r="AB80" s="443">
        <v>0</v>
      </c>
      <c r="AC80" s="443">
        <v>0</v>
      </c>
      <c r="AD80" s="443">
        <v>0</v>
      </c>
      <c r="AE80" s="443">
        <v>0</v>
      </c>
      <c r="AF80" s="33" t="s">
        <v>1085</v>
      </c>
      <c r="AG80" s="406"/>
    </row>
    <row r="81" spans="1:33">
      <c r="A81" s="410" t="str">
        <f t="shared" si="3"/>
        <v>수행비용</v>
      </c>
      <c r="C81" s="450" t="s">
        <v>1016</v>
      </c>
      <c r="D81" s="442" t="s">
        <v>1185</v>
      </c>
      <c r="E81" s="442" t="s">
        <v>246</v>
      </c>
      <c r="F81" s="442" t="s">
        <v>820</v>
      </c>
      <c r="G81" s="442" t="s">
        <v>248</v>
      </c>
      <c r="H81" s="442" t="s">
        <v>251</v>
      </c>
      <c r="I81" s="442">
        <v>0</v>
      </c>
      <c r="J81" s="442">
        <v>0</v>
      </c>
      <c r="K81" s="442" t="s">
        <v>590</v>
      </c>
      <c r="L81" s="442">
        <v>1</v>
      </c>
      <c r="M81" s="442">
        <v>0</v>
      </c>
      <c r="N81" s="443">
        <v>0</v>
      </c>
      <c r="O81" s="443">
        <v>0</v>
      </c>
      <c r="P81" s="443">
        <v>0</v>
      </c>
      <c r="Q81" s="443">
        <v>5</v>
      </c>
      <c r="R81" s="443">
        <v>1</v>
      </c>
      <c r="S81" s="443">
        <v>1</v>
      </c>
      <c r="T81" s="443">
        <v>21992750</v>
      </c>
      <c r="U81" s="443">
        <v>21992750</v>
      </c>
      <c r="V81" s="443">
        <v>0</v>
      </c>
      <c r="W81" s="443">
        <v>0</v>
      </c>
      <c r="X81" s="443">
        <v>0</v>
      </c>
      <c r="Y81" s="443">
        <v>0</v>
      </c>
      <c r="Z81" s="443">
        <v>0</v>
      </c>
      <c r="AA81" s="443">
        <v>0</v>
      </c>
      <c r="AB81" s="443">
        <v>0</v>
      </c>
      <c r="AC81" s="443">
        <v>0</v>
      </c>
      <c r="AD81" s="443">
        <v>0</v>
      </c>
      <c r="AE81" s="443">
        <v>0</v>
      </c>
      <c r="AF81" s="33" t="s">
        <v>1085</v>
      </c>
      <c r="AG81" s="406"/>
    </row>
    <row r="82" spans="1:33">
      <c r="A82" s="410" t="str">
        <f t="shared" si="3"/>
        <v>수행비용</v>
      </c>
      <c r="C82" s="450" t="s">
        <v>1017</v>
      </c>
      <c r="D82" s="442" t="s">
        <v>1185</v>
      </c>
      <c r="E82" s="442" t="s">
        <v>246</v>
      </c>
      <c r="F82" s="442" t="s">
        <v>820</v>
      </c>
      <c r="G82" s="442" t="s">
        <v>248</v>
      </c>
      <c r="H82" s="442" t="s">
        <v>1550</v>
      </c>
      <c r="I82" s="442" t="s">
        <v>1551</v>
      </c>
      <c r="J82" s="442">
        <v>0</v>
      </c>
      <c r="K82" s="442" t="s">
        <v>590</v>
      </c>
      <c r="L82" s="442">
        <v>1</v>
      </c>
      <c r="M82" s="442">
        <v>0</v>
      </c>
      <c r="N82" s="443">
        <v>0</v>
      </c>
      <c r="O82" s="443">
        <v>0</v>
      </c>
      <c r="P82" s="443">
        <v>0</v>
      </c>
      <c r="Q82" s="443">
        <v>5</v>
      </c>
      <c r="R82" s="443">
        <v>1</v>
      </c>
      <c r="S82" s="443">
        <v>1</v>
      </c>
      <c r="T82" s="443">
        <v>2800000</v>
      </c>
      <c r="U82" s="443">
        <v>2800000</v>
      </c>
      <c r="V82" s="443">
        <v>0</v>
      </c>
      <c r="W82" s="443">
        <v>0</v>
      </c>
      <c r="X82" s="443">
        <v>0</v>
      </c>
      <c r="Y82" s="443">
        <v>0</v>
      </c>
      <c r="Z82" s="443">
        <v>0</v>
      </c>
      <c r="AA82" s="443">
        <v>0</v>
      </c>
      <c r="AB82" s="443">
        <v>0</v>
      </c>
      <c r="AC82" s="443">
        <v>0</v>
      </c>
      <c r="AD82" s="443">
        <v>0</v>
      </c>
      <c r="AE82" s="443">
        <v>0</v>
      </c>
      <c r="AF82" s="33" t="s">
        <v>1085</v>
      </c>
      <c r="AG82" s="406"/>
    </row>
    <row r="83" spans="1:33">
      <c r="A83" s="410" t="str">
        <f t="shared" si="3"/>
        <v>수행비용</v>
      </c>
      <c r="C83" s="450" t="s">
        <v>1018</v>
      </c>
      <c r="D83" s="442" t="s">
        <v>1185</v>
      </c>
      <c r="E83" s="442" t="s">
        <v>246</v>
      </c>
      <c r="F83" s="442" t="s">
        <v>820</v>
      </c>
      <c r="G83" s="442" t="s">
        <v>248</v>
      </c>
      <c r="H83" s="442" t="s">
        <v>981</v>
      </c>
      <c r="I83" s="442" t="s">
        <v>1552</v>
      </c>
      <c r="J83" s="442">
        <v>0</v>
      </c>
      <c r="K83" s="442" t="s">
        <v>590</v>
      </c>
      <c r="L83" s="442">
        <v>1</v>
      </c>
      <c r="M83" s="442">
        <v>0</v>
      </c>
      <c r="N83" s="443">
        <v>0</v>
      </c>
      <c r="O83" s="443">
        <v>0</v>
      </c>
      <c r="P83" s="443">
        <v>0</v>
      </c>
      <c r="Q83" s="443">
        <v>3</v>
      </c>
      <c r="R83" s="443">
        <v>1</v>
      </c>
      <c r="S83" s="443">
        <v>1</v>
      </c>
      <c r="T83" s="443">
        <v>3000000</v>
      </c>
      <c r="U83" s="443">
        <v>3000000</v>
      </c>
      <c r="V83" s="443">
        <v>0</v>
      </c>
      <c r="W83" s="443">
        <v>0</v>
      </c>
      <c r="X83" s="443">
        <v>0</v>
      </c>
      <c r="Y83" s="443">
        <v>0</v>
      </c>
      <c r="Z83" s="443">
        <v>0</v>
      </c>
      <c r="AA83" s="443">
        <v>0</v>
      </c>
      <c r="AB83" s="443">
        <v>0</v>
      </c>
      <c r="AC83" s="443">
        <v>0</v>
      </c>
      <c r="AD83" s="443">
        <v>0</v>
      </c>
      <c r="AE83" s="443">
        <v>0</v>
      </c>
      <c r="AF83" s="33" t="s">
        <v>1085</v>
      </c>
      <c r="AG83" s="406"/>
    </row>
    <row r="84" spans="1:33">
      <c r="A84" s="410" t="str">
        <f t="shared" si="3"/>
        <v>수행비용</v>
      </c>
      <c r="C84" s="450" t="s">
        <v>1019</v>
      </c>
      <c r="D84" s="442" t="s">
        <v>1185</v>
      </c>
      <c r="E84" s="442" t="s">
        <v>246</v>
      </c>
      <c r="F84" s="442" t="s">
        <v>820</v>
      </c>
      <c r="G84" s="442" t="s">
        <v>248</v>
      </c>
      <c r="H84" s="442" t="s">
        <v>885</v>
      </c>
      <c r="I84" s="442" t="s">
        <v>1553</v>
      </c>
      <c r="J84" s="442">
        <v>0</v>
      </c>
      <c r="K84" s="442" t="s">
        <v>590</v>
      </c>
      <c r="L84" s="442">
        <v>1</v>
      </c>
      <c r="M84" s="442">
        <v>0</v>
      </c>
      <c r="N84" s="443">
        <v>0</v>
      </c>
      <c r="O84" s="443">
        <v>0</v>
      </c>
      <c r="P84" s="443">
        <v>0</v>
      </c>
      <c r="Q84" s="443">
        <v>2</v>
      </c>
      <c r="R84" s="443">
        <v>1</v>
      </c>
      <c r="S84" s="443">
        <v>1</v>
      </c>
      <c r="T84" s="443">
        <v>2000000</v>
      </c>
      <c r="U84" s="443">
        <v>2000000</v>
      </c>
      <c r="V84" s="443">
        <v>0</v>
      </c>
      <c r="W84" s="443">
        <v>0</v>
      </c>
      <c r="X84" s="443">
        <v>0</v>
      </c>
      <c r="Y84" s="443">
        <v>0</v>
      </c>
      <c r="Z84" s="443">
        <v>0</v>
      </c>
      <c r="AA84" s="443">
        <v>0</v>
      </c>
      <c r="AB84" s="443">
        <v>0</v>
      </c>
      <c r="AC84" s="443">
        <v>0</v>
      </c>
      <c r="AD84" s="443">
        <v>0</v>
      </c>
      <c r="AE84" s="443">
        <v>0</v>
      </c>
      <c r="AF84" s="33" t="s">
        <v>1085</v>
      </c>
      <c r="AG84" s="406"/>
    </row>
    <row r="85" spans="1:33">
      <c r="A85" s="410" t="str">
        <f t="shared" si="3"/>
        <v>수행비용</v>
      </c>
      <c r="C85" s="450" t="s">
        <v>1020</v>
      </c>
      <c r="D85" s="442" t="s">
        <v>1185</v>
      </c>
      <c r="E85" s="442" t="s">
        <v>246</v>
      </c>
      <c r="F85" s="442" t="s">
        <v>820</v>
      </c>
      <c r="G85" s="442" t="s">
        <v>248</v>
      </c>
      <c r="H85" s="442" t="s">
        <v>887</v>
      </c>
      <c r="I85" s="442" t="s">
        <v>1554</v>
      </c>
      <c r="J85" s="442">
        <v>0</v>
      </c>
      <c r="K85" s="442" t="s">
        <v>590</v>
      </c>
      <c r="L85" s="442">
        <v>1</v>
      </c>
      <c r="M85" s="442">
        <v>0</v>
      </c>
      <c r="N85" s="443">
        <v>0</v>
      </c>
      <c r="O85" s="443">
        <v>0</v>
      </c>
      <c r="P85" s="443">
        <v>0</v>
      </c>
      <c r="Q85" s="443">
        <v>5</v>
      </c>
      <c r="R85" s="443">
        <v>1</v>
      </c>
      <c r="S85" s="443">
        <v>1</v>
      </c>
      <c r="T85" s="443">
        <v>1400000</v>
      </c>
      <c r="U85" s="443">
        <v>1400000</v>
      </c>
      <c r="V85" s="443">
        <v>0</v>
      </c>
      <c r="W85" s="443">
        <v>0</v>
      </c>
      <c r="X85" s="443">
        <v>0</v>
      </c>
      <c r="Y85" s="443">
        <v>0</v>
      </c>
      <c r="Z85" s="443">
        <v>0</v>
      </c>
      <c r="AA85" s="443">
        <v>0</v>
      </c>
      <c r="AB85" s="443">
        <v>0</v>
      </c>
      <c r="AC85" s="443">
        <v>0</v>
      </c>
      <c r="AD85" s="443">
        <v>0</v>
      </c>
      <c r="AE85" s="443">
        <v>0</v>
      </c>
      <c r="AF85" s="33" t="s">
        <v>1085</v>
      </c>
      <c r="AG85" s="406"/>
    </row>
    <row r="86" spans="1:33">
      <c r="A86" s="410" t="str">
        <f t="shared" si="3"/>
        <v>수행비용</v>
      </c>
      <c r="C86" s="450" t="s">
        <v>1021</v>
      </c>
      <c r="D86" s="442" t="s">
        <v>1185</v>
      </c>
      <c r="E86" s="442" t="s">
        <v>246</v>
      </c>
      <c r="F86" s="442" t="s">
        <v>820</v>
      </c>
      <c r="G86" s="442" t="s">
        <v>248</v>
      </c>
      <c r="H86" s="442" t="s">
        <v>251</v>
      </c>
      <c r="I86" s="442">
        <v>0</v>
      </c>
      <c r="J86" s="442">
        <v>0</v>
      </c>
      <c r="K86" s="442" t="s">
        <v>590</v>
      </c>
      <c r="L86" s="442">
        <v>1</v>
      </c>
      <c r="M86" s="442">
        <v>0</v>
      </c>
      <c r="N86" s="443">
        <v>0</v>
      </c>
      <c r="O86" s="443">
        <v>0</v>
      </c>
      <c r="P86" s="443">
        <v>0</v>
      </c>
      <c r="Q86" s="443">
        <v>120</v>
      </c>
      <c r="R86" s="443">
        <v>1</v>
      </c>
      <c r="S86" s="443">
        <v>1</v>
      </c>
      <c r="T86" s="443">
        <v>365764633.25148898</v>
      </c>
      <c r="U86" s="443">
        <v>36576463.325148903</v>
      </c>
      <c r="V86" s="443">
        <v>36576463.325148903</v>
      </c>
      <c r="W86" s="443">
        <v>36576463.325148903</v>
      </c>
      <c r="X86" s="443">
        <v>36576463.325148903</v>
      </c>
      <c r="Y86" s="443">
        <v>36576463.325148903</v>
      </c>
      <c r="Z86" s="443">
        <v>36576463.325148903</v>
      </c>
      <c r="AA86" s="443">
        <v>36576463.325148903</v>
      </c>
      <c r="AB86" s="443">
        <v>36576463.325148903</v>
      </c>
      <c r="AC86" s="443">
        <v>36576463.325148903</v>
      </c>
      <c r="AD86" s="443">
        <v>36576463.325148903</v>
      </c>
      <c r="AE86" s="443">
        <v>0</v>
      </c>
      <c r="AF86" s="33" t="s">
        <v>1085</v>
      </c>
      <c r="AG86" s="406"/>
    </row>
    <row r="87" spans="1:33">
      <c r="A87" s="410" t="str">
        <f t="shared" si="3"/>
        <v>수행비용</v>
      </c>
      <c r="C87" s="450" t="s">
        <v>1022</v>
      </c>
      <c r="D87" s="442" t="s">
        <v>1185</v>
      </c>
      <c r="E87" s="442" t="s">
        <v>246</v>
      </c>
      <c r="F87" s="442" t="s">
        <v>820</v>
      </c>
      <c r="G87" s="442" t="s">
        <v>248</v>
      </c>
      <c r="H87" s="442" t="s">
        <v>1550</v>
      </c>
      <c r="I87" s="442" t="s">
        <v>1555</v>
      </c>
      <c r="J87" s="442">
        <v>0</v>
      </c>
      <c r="K87" s="442" t="s">
        <v>590</v>
      </c>
      <c r="L87" s="442">
        <v>1</v>
      </c>
      <c r="M87" s="442">
        <v>0</v>
      </c>
      <c r="N87" s="443">
        <v>0</v>
      </c>
      <c r="O87" s="443">
        <v>0</v>
      </c>
      <c r="P87" s="443">
        <v>0</v>
      </c>
      <c r="Q87" s="443">
        <v>120</v>
      </c>
      <c r="R87" s="443">
        <v>1</v>
      </c>
      <c r="S87" s="443">
        <v>1</v>
      </c>
      <c r="T87" s="443">
        <v>8164615.3063543867</v>
      </c>
      <c r="U87" s="443">
        <v>816461.53063543851</v>
      </c>
      <c r="V87" s="443">
        <v>816461.53063543851</v>
      </c>
      <c r="W87" s="443">
        <v>816461.53063543851</v>
      </c>
      <c r="X87" s="443">
        <v>816461.53063543851</v>
      </c>
      <c r="Y87" s="443">
        <v>816461.53063543851</v>
      </c>
      <c r="Z87" s="443">
        <v>816461.53063543851</v>
      </c>
      <c r="AA87" s="443">
        <v>816461.53063543851</v>
      </c>
      <c r="AB87" s="443">
        <v>816461.53063543851</v>
      </c>
      <c r="AC87" s="443">
        <v>816461.53063543851</v>
      </c>
      <c r="AD87" s="443">
        <v>816461.53063543851</v>
      </c>
      <c r="AE87" s="443">
        <v>0</v>
      </c>
      <c r="AF87" s="33" t="s">
        <v>1085</v>
      </c>
      <c r="AG87" s="406"/>
    </row>
    <row r="88" spans="1:33">
      <c r="A88" s="410" t="str">
        <f t="shared" si="3"/>
        <v>수행비용</v>
      </c>
      <c r="C88" s="450" t="s">
        <v>1023</v>
      </c>
      <c r="D88" s="442" t="s">
        <v>1185</v>
      </c>
      <c r="E88" s="442" t="s">
        <v>246</v>
      </c>
      <c r="F88" s="442" t="s">
        <v>820</v>
      </c>
      <c r="G88" s="442" t="s">
        <v>248</v>
      </c>
      <c r="H88" s="442" t="s">
        <v>981</v>
      </c>
      <c r="I88" s="442" t="s">
        <v>1556</v>
      </c>
      <c r="J88" s="442">
        <v>0</v>
      </c>
      <c r="K88" s="442" t="s">
        <v>590</v>
      </c>
      <c r="L88" s="442">
        <v>1</v>
      </c>
      <c r="M88" s="442">
        <v>0</v>
      </c>
      <c r="N88" s="443">
        <v>0</v>
      </c>
      <c r="O88" s="443">
        <v>0</v>
      </c>
      <c r="P88" s="443">
        <v>0</v>
      </c>
      <c r="Q88" s="443">
        <v>20</v>
      </c>
      <c r="R88" s="443">
        <v>1</v>
      </c>
      <c r="S88" s="443">
        <v>1</v>
      </c>
      <c r="T88" s="443">
        <v>6185314.6260260502</v>
      </c>
      <c r="U88" s="443">
        <v>3711188.7756156302</v>
      </c>
      <c r="V88" s="443">
        <v>2474125.85041042</v>
      </c>
      <c r="W88" s="443">
        <v>0</v>
      </c>
      <c r="X88" s="443">
        <v>0</v>
      </c>
      <c r="Y88" s="443">
        <v>0</v>
      </c>
      <c r="Z88" s="443">
        <v>0</v>
      </c>
      <c r="AA88" s="443">
        <v>0</v>
      </c>
      <c r="AB88" s="443">
        <v>0</v>
      </c>
      <c r="AC88" s="443">
        <v>0</v>
      </c>
      <c r="AD88" s="443">
        <v>0</v>
      </c>
      <c r="AE88" s="443">
        <v>0</v>
      </c>
      <c r="AF88" s="33" t="s">
        <v>1085</v>
      </c>
      <c r="AG88" s="406"/>
    </row>
    <row r="89" spans="1:33">
      <c r="A89" s="410" t="str">
        <f t="shared" si="3"/>
        <v>수행비용</v>
      </c>
      <c r="C89" s="450" t="s">
        <v>1024</v>
      </c>
      <c r="D89" s="442" t="s">
        <v>1185</v>
      </c>
      <c r="E89" s="442" t="s">
        <v>246</v>
      </c>
      <c r="F89" s="442" t="s">
        <v>820</v>
      </c>
      <c r="G89" s="442" t="s">
        <v>248</v>
      </c>
      <c r="H89" s="442" t="s">
        <v>885</v>
      </c>
      <c r="I89" s="442" t="s">
        <v>1557</v>
      </c>
      <c r="J89" s="442">
        <v>0</v>
      </c>
      <c r="K89" s="442" t="s">
        <v>590</v>
      </c>
      <c r="L89" s="442">
        <v>1</v>
      </c>
      <c r="M89" s="442">
        <v>0</v>
      </c>
      <c r="N89" s="443">
        <v>0</v>
      </c>
      <c r="O89" s="443">
        <v>0</v>
      </c>
      <c r="P89" s="443">
        <v>0</v>
      </c>
      <c r="Q89" s="443">
        <v>5</v>
      </c>
      <c r="R89" s="443">
        <v>1</v>
      </c>
      <c r="S89" s="443">
        <v>1</v>
      </c>
      <c r="T89" s="443">
        <v>2164860.119109117</v>
      </c>
      <c r="U89" s="443">
        <v>2164860.119109117</v>
      </c>
      <c r="V89" s="443">
        <v>0</v>
      </c>
      <c r="W89" s="443">
        <v>0</v>
      </c>
      <c r="X89" s="443">
        <v>0</v>
      </c>
      <c r="Y89" s="443">
        <v>0</v>
      </c>
      <c r="Z89" s="443">
        <v>0</v>
      </c>
      <c r="AA89" s="443">
        <v>0</v>
      </c>
      <c r="AB89" s="443">
        <v>0</v>
      </c>
      <c r="AC89" s="443">
        <v>0</v>
      </c>
      <c r="AD89" s="443">
        <v>0</v>
      </c>
      <c r="AE89" s="443">
        <v>0</v>
      </c>
      <c r="AF89" s="33" t="s">
        <v>1085</v>
      </c>
      <c r="AG89" s="406"/>
    </row>
    <row r="90" spans="1:33">
      <c r="A90" s="410" t="str">
        <f t="shared" si="3"/>
        <v>수행비용</v>
      </c>
      <c r="C90" s="450" t="s">
        <v>1025</v>
      </c>
      <c r="D90" s="442" t="s">
        <v>1185</v>
      </c>
      <c r="E90" s="442" t="s">
        <v>246</v>
      </c>
      <c r="F90" s="442" t="s">
        <v>820</v>
      </c>
      <c r="G90" s="442" t="s">
        <v>248</v>
      </c>
      <c r="H90" s="442" t="s">
        <v>887</v>
      </c>
      <c r="I90" s="442" t="s">
        <v>1558</v>
      </c>
      <c r="J90" s="442">
        <v>0</v>
      </c>
      <c r="K90" s="442" t="s">
        <v>590</v>
      </c>
      <c r="L90" s="442">
        <v>1</v>
      </c>
      <c r="M90" s="442">
        <v>0</v>
      </c>
      <c r="N90" s="443">
        <v>0</v>
      </c>
      <c r="O90" s="443">
        <v>0</v>
      </c>
      <c r="P90" s="443">
        <v>0</v>
      </c>
      <c r="Q90" s="443">
        <v>120</v>
      </c>
      <c r="R90" s="443">
        <v>1</v>
      </c>
      <c r="S90" s="443">
        <v>1</v>
      </c>
      <c r="T90" s="443">
        <v>7422377.5512312558</v>
      </c>
      <c r="U90" s="443">
        <v>742237.75512312574</v>
      </c>
      <c r="V90" s="443">
        <v>742237.75512312574</v>
      </c>
      <c r="W90" s="443">
        <v>742237.75512312574</v>
      </c>
      <c r="X90" s="443">
        <v>742237.75512312574</v>
      </c>
      <c r="Y90" s="443">
        <v>742237.75512312574</v>
      </c>
      <c r="Z90" s="443">
        <v>742237.75512312574</v>
      </c>
      <c r="AA90" s="443">
        <v>742237.75512312574</v>
      </c>
      <c r="AB90" s="443">
        <v>742237.75512312574</v>
      </c>
      <c r="AC90" s="443">
        <v>742237.75512312574</v>
      </c>
      <c r="AD90" s="443">
        <v>742237.75512312574</v>
      </c>
      <c r="AE90" s="443">
        <v>0</v>
      </c>
      <c r="AF90" s="33" t="s">
        <v>1085</v>
      </c>
      <c r="AG90" s="406"/>
    </row>
    <row r="91" spans="1:33">
      <c r="A91" s="410" t="str">
        <f t="shared" si="3"/>
        <v>수행비용</v>
      </c>
      <c r="C91" s="450" t="s">
        <v>1026</v>
      </c>
      <c r="D91" s="442" t="s">
        <v>1185</v>
      </c>
      <c r="E91" s="442" t="s">
        <v>246</v>
      </c>
      <c r="F91" s="442" t="s">
        <v>820</v>
      </c>
      <c r="G91" s="442" t="s">
        <v>248</v>
      </c>
      <c r="H91" s="442" t="s">
        <v>249</v>
      </c>
      <c r="I91" s="442" t="s">
        <v>1559</v>
      </c>
      <c r="J91" s="442">
        <v>0</v>
      </c>
      <c r="K91" s="442" t="s">
        <v>590</v>
      </c>
      <c r="L91" s="442">
        <v>1</v>
      </c>
      <c r="M91" s="442">
        <v>0</v>
      </c>
      <c r="N91" s="443">
        <v>0</v>
      </c>
      <c r="O91" s="443">
        <v>0</v>
      </c>
      <c r="P91" s="443">
        <v>0</v>
      </c>
      <c r="Q91" s="443">
        <v>120</v>
      </c>
      <c r="R91" s="443">
        <v>1</v>
      </c>
      <c r="S91" s="443">
        <v>1</v>
      </c>
      <c r="T91" s="443">
        <v>482454.54083003174</v>
      </c>
      <c r="U91" s="443">
        <v>48245.454083003184</v>
      </c>
      <c r="V91" s="443">
        <v>48245.454083003184</v>
      </c>
      <c r="W91" s="443">
        <v>48245.454083003184</v>
      </c>
      <c r="X91" s="443">
        <v>48245.454083003184</v>
      </c>
      <c r="Y91" s="443">
        <v>48245.454083003184</v>
      </c>
      <c r="Z91" s="443">
        <v>48245.454083003184</v>
      </c>
      <c r="AA91" s="443">
        <v>48245.454083003184</v>
      </c>
      <c r="AB91" s="443">
        <v>48245.454083003184</v>
      </c>
      <c r="AC91" s="443">
        <v>48245.454083003184</v>
      </c>
      <c r="AD91" s="443">
        <v>48245.454083003184</v>
      </c>
      <c r="AE91" s="443">
        <v>0</v>
      </c>
      <c r="AF91" s="33" t="s">
        <v>1085</v>
      </c>
      <c r="AG91" s="406"/>
    </row>
    <row r="92" spans="1:33">
      <c r="A92" s="410" t="str">
        <f t="shared" si="3"/>
        <v>수행비용</v>
      </c>
      <c r="C92" s="450" t="s">
        <v>1027</v>
      </c>
      <c r="D92" s="442" t="s">
        <v>1185</v>
      </c>
      <c r="E92" s="442" t="s">
        <v>246</v>
      </c>
      <c r="F92" s="442" t="s">
        <v>820</v>
      </c>
      <c r="G92" s="442" t="s">
        <v>248</v>
      </c>
      <c r="H92" s="442" t="s">
        <v>250</v>
      </c>
      <c r="I92" s="442" t="s">
        <v>897</v>
      </c>
      <c r="J92" s="442">
        <v>0</v>
      </c>
      <c r="K92" s="442" t="s">
        <v>590</v>
      </c>
      <c r="L92" s="442">
        <v>1</v>
      </c>
      <c r="M92" s="442">
        <v>0</v>
      </c>
      <c r="N92" s="443">
        <v>0</v>
      </c>
      <c r="O92" s="443">
        <v>0</v>
      </c>
      <c r="P92" s="443">
        <v>0</v>
      </c>
      <c r="Q92" s="443">
        <v>120</v>
      </c>
      <c r="R92" s="443">
        <v>1</v>
      </c>
      <c r="S92" s="443">
        <v>1</v>
      </c>
      <c r="T92" s="443">
        <v>18555943.878078148</v>
      </c>
      <c r="U92" s="443">
        <v>1855594.3878078151</v>
      </c>
      <c r="V92" s="443">
        <v>1855594.3878078151</v>
      </c>
      <c r="W92" s="443">
        <v>1855594.3878078151</v>
      </c>
      <c r="X92" s="443">
        <v>1855594.3878078151</v>
      </c>
      <c r="Y92" s="443">
        <v>1855594.3878078151</v>
      </c>
      <c r="Z92" s="443">
        <v>1855594.3878078151</v>
      </c>
      <c r="AA92" s="443">
        <v>1855594.3878078151</v>
      </c>
      <c r="AB92" s="443">
        <v>1855594.3878078151</v>
      </c>
      <c r="AC92" s="443">
        <v>1855594.3878078151</v>
      </c>
      <c r="AD92" s="443">
        <v>1855594.3878078151</v>
      </c>
      <c r="AE92" s="443">
        <v>0</v>
      </c>
      <c r="AF92" s="33" t="s">
        <v>1085</v>
      </c>
      <c r="AG92" s="406"/>
    </row>
    <row r="93" spans="1:33">
      <c r="A93" s="410" t="str">
        <f t="shared" si="3"/>
        <v>수행비용</v>
      </c>
      <c r="C93" s="450" t="s">
        <v>1028</v>
      </c>
      <c r="D93" s="442" t="s">
        <v>1199</v>
      </c>
      <c r="E93" s="442" t="s">
        <v>246</v>
      </c>
      <c r="F93" s="442" t="s">
        <v>820</v>
      </c>
      <c r="G93" s="442" t="s">
        <v>248</v>
      </c>
      <c r="H93" s="442" t="s">
        <v>251</v>
      </c>
      <c r="I93" s="442">
        <v>0</v>
      </c>
      <c r="J93" s="442">
        <v>0</v>
      </c>
      <c r="K93" s="442" t="s">
        <v>590</v>
      </c>
      <c r="L93" s="442">
        <v>1</v>
      </c>
      <c r="M93" s="442">
        <v>0</v>
      </c>
      <c r="N93" s="443">
        <v>0</v>
      </c>
      <c r="O93" s="443">
        <v>0</v>
      </c>
      <c r="P93" s="443">
        <v>0</v>
      </c>
      <c r="Q93" s="443">
        <v>120</v>
      </c>
      <c r="R93" s="443">
        <v>1</v>
      </c>
      <c r="S93" s="443">
        <v>1</v>
      </c>
      <c r="T93" s="443">
        <v>303190313.88668722</v>
      </c>
      <c r="U93" s="443">
        <v>30319031.38866872</v>
      </c>
      <c r="V93" s="443">
        <v>30319031.38866872</v>
      </c>
      <c r="W93" s="443">
        <v>30319031.38866872</v>
      </c>
      <c r="X93" s="443">
        <v>30319031.38866872</v>
      </c>
      <c r="Y93" s="443">
        <v>30319031.38866872</v>
      </c>
      <c r="Z93" s="443">
        <v>30319031.38866872</v>
      </c>
      <c r="AA93" s="443">
        <v>30319031.38866872</v>
      </c>
      <c r="AB93" s="443">
        <v>30319031.38866872</v>
      </c>
      <c r="AC93" s="443">
        <v>30319031.38866872</v>
      </c>
      <c r="AD93" s="443">
        <v>30319031.38866872</v>
      </c>
      <c r="AE93" s="443">
        <v>0</v>
      </c>
      <c r="AF93" s="33" t="s">
        <v>1085</v>
      </c>
      <c r="AG93" s="406"/>
    </row>
    <row r="94" spans="1:33">
      <c r="A94" s="410" t="str">
        <f t="shared" si="3"/>
        <v>수행비용</v>
      </c>
      <c r="C94" s="450" t="s">
        <v>1029</v>
      </c>
      <c r="D94" s="442" t="s">
        <v>1199</v>
      </c>
      <c r="E94" s="442" t="s">
        <v>246</v>
      </c>
      <c r="F94" s="442" t="s">
        <v>820</v>
      </c>
      <c r="G94" s="442" t="s">
        <v>248</v>
      </c>
      <c r="H94" s="442" t="s">
        <v>1550</v>
      </c>
      <c r="I94" s="442" t="s">
        <v>1555</v>
      </c>
      <c r="J94" s="442">
        <v>0</v>
      </c>
      <c r="K94" s="442" t="s">
        <v>590</v>
      </c>
      <c r="L94" s="442">
        <v>1</v>
      </c>
      <c r="M94" s="442">
        <v>0</v>
      </c>
      <c r="N94" s="443">
        <v>0</v>
      </c>
      <c r="O94" s="443">
        <v>0</v>
      </c>
      <c r="P94" s="443">
        <v>0</v>
      </c>
      <c r="Q94" s="443">
        <v>120</v>
      </c>
      <c r="R94" s="443">
        <v>1</v>
      </c>
      <c r="S94" s="443">
        <v>1</v>
      </c>
      <c r="T94" s="443">
        <v>6767828.4132944085</v>
      </c>
      <c r="U94" s="443">
        <v>676782.84132944094</v>
      </c>
      <c r="V94" s="443">
        <v>676782.84132944094</v>
      </c>
      <c r="W94" s="443">
        <v>676782.84132944094</v>
      </c>
      <c r="X94" s="443">
        <v>676782.84132944094</v>
      </c>
      <c r="Y94" s="443">
        <v>676782.84132944094</v>
      </c>
      <c r="Z94" s="443">
        <v>676782.84132944094</v>
      </c>
      <c r="AA94" s="443">
        <v>676782.84132944094</v>
      </c>
      <c r="AB94" s="443">
        <v>676782.84132944094</v>
      </c>
      <c r="AC94" s="443">
        <v>676782.84132944094</v>
      </c>
      <c r="AD94" s="443">
        <v>676782.84132944094</v>
      </c>
      <c r="AE94" s="443">
        <v>0</v>
      </c>
      <c r="AF94" s="33" t="s">
        <v>1085</v>
      </c>
      <c r="AG94" s="406"/>
    </row>
    <row r="95" spans="1:33">
      <c r="A95" s="410" t="str">
        <f t="shared" si="3"/>
        <v>수행비용</v>
      </c>
      <c r="C95" s="450" t="s">
        <v>1030</v>
      </c>
      <c r="D95" s="442" t="s">
        <v>1199</v>
      </c>
      <c r="E95" s="442" t="s">
        <v>246</v>
      </c>
      <c r="F95" s="442" t="s">
        <v>820</v>
      </c>
      <c r="G95" s="442" t="s">
        <v>248</v>
      </c>
      <c r="H95" s="442" t="s">
        <v>981</v>
      </c>
      <c r="I95" s="442" t="s">
        <v>1556</v>
      </c>
      <c r="J95" s="442">
        <v>0</v>
      </c>
      <c r="K95" s="442" t="s">
        <v>590</v>
      </c>
      <c r="L95" s="442">
        <v>1</v>
      </c>
      <c r="M95" s="442">
        <v>0</v>
      </c>
      <c r="N95" s="443">
        <v>0</v>
      </c>
      <c r="O95" s="443">
        <v>0</v>
      </c>
      <c r="P95" s="443">
        <v>0</v>
      </c>
      <c r="Q95" s="443">
        <v>20</v>
      </c>
      <c r="R95" s="443">
        <v>1</v>
      </c>
      <c r="S95" s="443">
        <v>1</v>
      </c>
      <c r="T95" s="443">
        <v>5127142.7373442492</v>
      </c>
      <c r="U95" s="443">
        <v>3076285.6424065498</v>
      </c>
      <c r="V95" s="443">
        <v>2050857.0949376994</v>
      </c>
      <c r="W95" s="443">
        <v>0</v>
      </c>
      <c r="X95" s="443">
        <v>0</v>
      </c>
      <c r="Y95" s="443">
        <v>0</v>
      </c>
      <c r="Z95" s="443">
        <v>0</v>
      </c>
      <c r="AA95" s="443">
        <v>0</v>
      </c>
      <c r="AB95" s="443">
        <v>0</v>
      </c>
      <c r="AC95" s="443">
        <v>0</v>
      </c>
      <c r="AD95" s="443">
        <v>0</v>
      </c>
      <c r="AE95" s="443">
        <v>0</v>
      </c>
      <c r="AF95" s="33" t="s">
        <v>1085</v>
      </c>
      <c r="AG95" s="406"/>
    </row>
    <row r="96" spans="1:33">
      <c r="A96" s="410" t="str">
        <f t="shared" si="3"/>
        <v>수행비용</v>
      </c>
      <c r="C96" s="450" t="s">
        <v>1031</v>
      </c>
      <c r="D96" s="442" t="s">
        <v>1199</v>
      </c>
      <c r="E96" s="442" t="s">
        <v>246</v>
      </c>
      <c r="F96" s="442" t="s">
        <v>820</v>
      </c>
      <c r="G96" s="442" t="s">
        <v>248</v>
      </c>
      <c r="H96" s="442" t="s">
        <v>885</v>
      </c>
      <c r="I96" s="442" t="s">
        <v>1557</v>
      </c>
      <c r="J96" s="442">
        <v>0</v>
      </c>
      <c r="K96" s="442" t="s">
        <v>590</v>
      </c>
      <c r="L96" s="442">
        <v>1</v>
      </c>
      <c r="M96" s="442">
        <v>0</v>
      </c>
      <c r="N96" s="443">
        <v>0</v>
      </c>
      <c r="O96" s="443">
        <v>0</v>
      </c>
      <c r="P96" s="443">
        <v>0</v>
      </c>
      <c r="Q96" s="443">
        <v>5</v>
      </c>
      <c r="R96" s="443">
        <v>1</v>
      </c>
      <c r="S96" s="443">
        <v>1</v>
      </c>
      <c r="T96" s="443">
        <v>1794499.9580704872</v>
      </c>
      <c r="U96" s="443">
        <v>1794499.9580704872</v>
      </c>
      <c r="V96" s="443">
        <v>0</v>
      </c>
      <c r="W96" s="443">
        <v>0</v>
      </c>
      <c r="X96" s="443">
        <v>0</v>
      </c>
      <c r="Y96" s="443">
        <v>0</v>
      </c>
      <c r="Z96" s="443">
        <v>0</v>
      </c>
      <c r="AA96" s="443">
        <v>0</v>
      </c>
      <c r="AB96" s="443">
        <v>0</v>
      </c>
      <c r="AC96" s="443">
        <v>0</v>
      </c>
      <c r="AD96" s="443">
        <v>0</v>
      </c>
      <c r="AE96" s="443">
        <v>0</v>
      </c>
      <c r="AF96" s="33" t="s">
        <v>1085</v>
      </c>
      <c r="AG96" s="406"/>
    </row>
    <row r="97" spans="1:33">
      <c r="A97" s="410" t="str">
        <f t="shared" si="3"/>
        <v>수행비용</v>
      </c>
      <c r="C97" s="450" t="s">
        <v>1032</v>
      </c>
      <c r="D97" s="442" t="s">
        <v>1199</v>
      </c>
      <c r="E97" s="442" t="s">
        <v>246</v>
      </c>
      <c r="F97" s="442" t="s">
        <v>820</v>
      </c>
      <c r="G97" s="442" t="s">
        <v>248</v>
      </c>
      <c r="H97" s="442" t="s">
        <v>887</v>
      </c>
      <c r="I97" s="442" t="s">
        <v>1558</v>
      </c>
      <c r="J97" s="442">
        <v>0</v>
      </c>
      <c r="K97" s="442" t="s">
        <v>590</v>
      </c>
      <c r="L97" s="442">
        <v>1</v>
      </c>
      <c r="M97" s="442">
        <v>0</v>
      </c>
      <c r="N97" s="443">
        <v>0</v>
      </c>
      <c r="O97" s="443">
        <v>0</v>
      </c>
      <c r="P97" s="443">
        <v>0</v>
      </c>
      <c r="Q97" s="443">
        <v>120</v>
      </c>
      <c r="R97" s="443">
        <v>1</v>
      </c>
      <c r="S97" s="443">
        <v>1</v>
      </c>
      <c r="T97" s="443">
        <v>6152571.2848130995</v>
      </c>
      <c r="U97" s="443">
        <v>615257.12848130998</v>
      </c>
      <c r="V97" s="443">
        <v>615257.12848130998</v>
      </c>
      <c r="W97" s="443">
        <v>615257.12848130998</v>
      </c>
      <c r="X97" s="443">
        <v>615257.12848130998</v>
      </c>
      <c r="Y97" s="443">
        <v>615257.12848130998</v>
      </c>
      <c r="Z97" s="443">
        <v>615257.12848130998</v>
      </c>
      <c r="AA97" s="443">
        <v>615257.12848130998</v>
      </c>
      <c r="AB97" s="443">
        <v>615257.12848130998</v>
      </c>
      <c r="AC97" s="443">
        <v>615257.12848130998</v>
      </c>
      <c r="AD97" s="443">
        <v>615257.12848130998</v>
      </c>
      <c r="AE97" s="443">
        <v>0</v>
      </c>
      <c r="AF97" s="33" t="s">
        <v>1085</v>
      </c>
      <c r="AG97" s="406"/>
    </row>
    <row r="98" spans="1:33">
      <c r="A98" s="410" t="str">
        <f t="shared" ref="A98:A136" si="4">IF(C98&lt;&gt;"",IF(LEFT(C98,3)="인건비","운영하도급",IF(LEFT(C98,3)="구축비", "투자","수행비용")),"")</f>
        <v>수행비용</v>
      </c>
      <c r="C98" s="450" t="s">
        <v>1033</v>
      </c>
      <c r="D98" s="442" t="s">
        <v>1199</v>
      </c>
      <c r="E98" s="442" t="s">
        <v>246</v>
      </c>
      <c r="F98" s="442" t="s">
        <v>820</v>
      </c>
      <c r="G98" s="442" t="s">
        <v>248</v>
      </c>
      <c r="H98" s="442" t="s">
        <v>249</v>
      </c>
      <c r="I98" s="442" t="s">
        <v>1559</v>
      </c>
      <c r="J98" s="442">
        <v>0</v>
      </c>
      <c r="K98" s="442" t="s">
        <v>590</v>
      </c>
      <c r="L98" s="442">
        <v>1</v>
      </c>
      <c r="M98" s="442">
        <v>0</v>
      </c>
      <c r="N98" s="443">
        <v>0</v>
      </c>
      <c r="O98" s="443">
        <v>0</v>
      </c>
      <c r="P98" s="443">
        <v>0</v>
      </c>
      <c r="Q98" s="443">
        <v>120</v>
      </c>
      <c r="R98" s="443">
        <v>1</v>
      </c>
      <c r="S98" s="443">
        <v>1</v>
      </c>
      <c r="T98" s="443">
        <v>399917.13351285143</v>
      </c>
      <c r="U98" s="443">
        <v>39991.713351285143</v>
      </c>
      <c r="V98" s="443">
        <v>39991.713351285143</v>
      </c>
      <c r="W98" s="443">
        <v>39991.713351285143</v>
      </c>
      <c r="X98" s="443">
        <v>39991.713351285143</v>
      </c>
      <c r="Y98" s="443">
        <v>39991.713351285143</v>
      </c>
      <c r="Z98" s="443">
        <v>39991.713351285143</v>
      </c>
      <c r="AA98" s="443">
        <v>39991.713351285143</v>
      </c>
      <c r="AB98" s="443">
        <v>39991.713351285143</v>
      </c>
      <c r="AC98" s="443">
        <v>39991.713351285143</v>
      </c>
      <c r="AD98" s="443">
        <v>39991.713351285143</v>
      </c>
      <c r="AE98" s="443">
        <v>0</v>
      </c>
      <c r="AF98" s="33" t="s">
        <v>1085</v>
      </c>
      <c r="AG98" s="406"/>
    </row>
    <row r="99" spans="1:33">
      <c r="A99" s="410" t="str">
        <f t="shared" si="4"/>
        <v>수행비용</v>
      </c>
      <c r="C99" s="450" t="s">
        <v>1034</v>
      </c>
      <c r="D99" s="442" t="s">
        <v>1199</v>
      </c>
      <c r="E99" s="442" t="s">
        <v>246</v>
      </c>
      <c r="F99" s="442" t="s">
        <v>820</v>
      </c>
      <c r="G99" s="442" t="s">
        <v>248</v>
      </c>
      <c r="H99" s="442" t="s">
        <v>250</v>
      </c>
      <c r="I99" s="442" t="s">
        <v>897</v>
      </c>
      <c r="J99" s="442">
        <v>0</v>
      </c>
      <c r="K99" s="442" t="s">
        <v>590</v>
      </c>
      <c r="L99" s="442">
        <v>1</v>
      </c>
      <c r="M99" s="442">
        <v>0</v>
      </c>
      <c r="N99" s="443">
        <v>0</v>
      </c>
      <c r="O99" s="443">
        <v>0</v>
      </c>
      <c r="P99" s="443">
        <v>0</v>
      </c>
      <c r="Q99" s="443">
        <v>120</v>
      </c>
      <c r="R99" s="443">
        <v>1</v>
      </c>
      <c r="S99" s="443">
        <v>1</v>
      </c>
      <c r="T99" s="443">
        <v>15381428.212032748</v>
      </c>
      <c r="U99" s="443">
        <v>1538142.8212032749</v>
      </c>
      <c r="V99" s="443">
        <v>1538142.8212032749</v>
      </c>
      <c r="W99" s="443">
        <v>1538142.8212032749</v>
      </c>
      <c r="X99" s="443">
        <v>1538142.8212032749</v>
      </c>
      <c r="Y99" s="443">
        <v>1538142.8212032749</v>
      </c>
      <c r="Z99" s="443">
        <v>1538142.8212032749</v>
      </c>
      <c r="AA99" s="443">
        <v>1538142.8212032749</v>
      </c>
      <c r="AB99" s="443">
        <v>1538142.8212032749</v>
      </c>
      <c r="AC99" s="443">
        <v>1538142.8212032749</v>
      </c>
      <c r="AD99" s="443">
        <v>1538142.8212032749</v>
      </c>
      <c r="AE99" s="443">
        <v>0</v>
      </c>
      <c r="AF99" s="33" t="s">
        <v>1085</v>
      </c>
      <c r="AG99" s="406"/>
    </row>
    <row r="100" spans="1:33">
      <c r="A100" s="410" t="str">
        <f t="shared" si="4"/>
        <v>수행비용</v>
      </c>
      <c r="C100" s="450" t="s">
        <v>1012</v>
      </c>
      <c r="D100" s="442" t="s">
        <v>1185</v>
      </c>
      <c r="E100" s="442" t="s">
        <v>246</v>
      </c>
      <c r="F100" s="442" t="s">
        <v>820</v>
      </c>
      <c r="G100" s="442" t="s">
        <v>248</v>
      </c>
      <c r="H100" s="442" t="s">
        <v>1546</v>
      </c>
      <c r="I100" s="442">
        <v>0</v>
      </c>
      <c r="J100" s="442">
        <v>0</v>
      </c>
      <c r="K100" s="442" t="s">
        <v>590</v>
      </c>
      <c r="L100" s="442">
        <v>1</v>
      </c>
      <c r="M100" s="442">
        <v>0</v>
      </c>
      <c r="N100" s="443">
        <v>0</v>
      </c>
      <c r="O100" s="443">
        <v>0</v>
      </c>
      <c r="P100" s="443">
        <v>0</v>
      </c>
      <c r="Q100" s="443">
        <v>10</v>
      </c>
      <c r="R100" s="443">
        <v>1</v>
      </c>
      <c r="S100" s="443">
        <v>1</v>
      </c>
      <c r="T100" s="443">
        <v>130000000</v>
      </c>
      <c r="U100" s="443">
        <v>130000000</v>
      </c>
      <c r="V100" s="443">
        <v>0</v>
      </c>
      <c r="W100" s="443">
        <v>0</v>
      </c>
      <c r="X100" s="443">
        <v>0</v>
      </c>
      <c r="Y100" s="443">
        <v>0</v>
      </c>
      <c r="Z100" s="443">
        <v>0</v>
      </c>
      <c r="AA100" s="443">
        <v>0</v>
      </c>
      <c r="AB100" s="443">
        <v>0</v>
      </c>
      <c r="AC100" s="443">
        <v>0</v>
      </c>
      <c r="AD100" s="443">
        <v>0</v>
      </c>
      <c r="AE100" s="443">
        <v>0</v>
      </c>
      <c r="AF100" s="33" t="s">
        <v>1085</v>
      </c>
      <c r="AG100" s="406"/>
    </row>
    <row r="101" spans="1:33">
      <c r="A101" s="410" t="str">
        <f t="shared" si="4"/>
        <v>수행비용</v>
      </c>
      <c r="C101" s="450" t="s">
        <v>1035</v>
      </c>
      <c r="D101" s="442" t="s">
        <v>1184</v>
      </c>
      <c r="E101" s="442" t="s">
        <v>246</v>
      </c>
      <c r="F101" s="442" t="s">
        <v>820</v>
      </c>
      <c r="G101" s="442" t="s">
        <v>248</v>
      </c>
      <c r="H101" s="442" t="s">
        <v>251</v>
      </c>
      <c r="I101" s="442">
        <v>0</v>
      </c>
      <c r="J101" s="442">
        <v>0</v>
      </c>
      <c r="K101" s="442" t="s">
        <v>590</v>
      </c>
      <c r="L101" s="442">
        <v>1</v>
      </c>
      <c r="M101" s="442">
        <v>0</v>
      </c>
      <c r="N101" s="443">
        <v>0</v>
      </c>
      <c r="O101" s="443">
        <v>0</v>
      </c>
      <c r="P101" s="443">
        <v>0</v>
      </c>
      <c r="Q101" s="443">
        <v>120</v>
      </c>
      <c r="R101" s="443">
        <v>1</v>
      </c>
      <c r="S101" s="443">
        <v>1</v>
      </c>
      <c r="T101" s="443">
        <v>513732289.8617177</v>
      </c>
      <c r="U101" s="443">
        <v>51373228.98617176</v>
      </c>
      <c r="V101" s="443">
        <v>51373228.98617176</v>
      </c>
      <c r="W101" s="443">
        <v>51373228.98617176</v>
      </c>
      <c r="X101" s="443">
        <v>51373228.98617176</v>
      </c>
      <c r="Y101" s="443">
        <v>51373228.98617176</v>
      </c>
      <c r="Z101" s="443">
        <v>51373228.98617176</v>
      </c>
      <c r="AA101" s="443">
        <v>51373228.98617176</v>
      </c>
      <c r="AB101" s="443">
        <v>51373228.98617176</v>
      </c>
      <c r="AC101" s="443">
        <v>51373228.98617176</v>
      </c>
      <c r="AD101" s="443">
        <v>51373228.98617176</v>
      </c>
      <c r="AE101" s="443">
        <v>0</v>
      </c>
      <c r="AF101" s="33" t="s">
        <v>1085</v>
      </c>
      <c r="AG101" s="406"/>
    </row>
    <row r="102" spans="1:33">
      <c r="A102" s="410" t="str">
        <f t="shared" si="4"/>
        <v>수행비용</v>
      </c>
      <c r="C102" s="450" t="s">
        <v>1036</v>
      </c>
      <c r="D102" s="442" t="s">
        <v>1184</v>
      </c>
      <c r="E102" s="442" t="s">
        <v>246</v>
      </c>
      <c r="F102" s="442" t="s">
        <v>820</v>
      </c>
      <c r="G102" s="442" t="s">
        <v>248</v>
      </c>
      <c r="H102" s="442" t="s">
        <v>1550</v>
      </c>
      <c r="I102" s="442" t="s">
        <v>1555</v>
      </c>
      <c r="J102" s="442">
        <v>0</v>
      </c>
      <c r="K102" s="442" t="s">
        <v>590</v>
      </c>
      <c r="L102" s="442">
        <v>1</v>
      </c>
      <c r="M102" s="442">
        <v>0</v>
      </c>
      <c r="N102" s="443">
        <v>0</v>
      </c>
      <c r="O102" s="443">
        <v>0</v>
      </c>
      <c r="P102" s="443">
        <v>0</v>
      </c>
      <c r="Q102" s="443">
        <v>120</v>
      </c>
      <c r="R102" s="443">
        <v>1</v>
      </c>
      <c r="S102" s="443">
        <v>1</v>
      </c>
      <c r="T102" s="443">
        <v>11467556.280351207</v>
      </c>
      <c r="U102" s="443">
        <v>1146755.6280351207</v>
      </c>
      <c r="V102" s="443">
        <v>1146755.6280351207</v>
      </c>
      <c r="W102" s="443">
        <v>1146755.6280351207</v>
      </c>
      <c r="X102" s="443">
        <v>1146755.6280351207</v>
      </c>
      <c r="Y102" s="443">
        <v>1146755.6280351207</v>
      </c>
      <c r="Z102" s="443">
        <v>1146755.6280351207</v>
      </c>
      <c r="AA102" s="443">
        <v>1146755.6280351207</v>
      </c>
      <c r="AB102" s="443">
        <v>1146755.6280351207</v>
      </c>
      <c r="AC102" s="443">
        <v>1146755.6280351207</v>
      </c>
      <c r="AD102" s="443">
        <v>1146755.6280351207</v>
      </c>
      <c r="AE102" s="443">
        <v>0</v>
      </c>
      <c r="AF102" s="33" t="s">
        <v>1085</v>
      </c>
      <c r="AG102" s="406"/>
    </row>
    <row r="103" spans="1:33">
      <c r="A103" s="410" t="str">
        <f t="shared" si="4"/>
        <v>수행비용</v>
      </c>
      <c r="C103" s="450" t="s">
        <v>1037</v>
      </c>
      <c r="D103" s="442" t="s">
        <v>1184</v>
      </c>
      <c r="E103" s="442" t="s">
        <v>246</v>
      </c>
      <c r="F103" s="442" t="s">
        <v>820</v>
      </c>
      <c r="G103" s="442" t="s">
        <v>248</v>
      </c>
      <c r="H103" s="442" t="s">
        <v>981</v>
      </c>
      <c r="I103" s="442" t="s">
        <v>1556</v>
      </c>
      <c r="J103" s="442">
        <v>0</v>
      </c>
      <c r="K103" s="442" t="s">
        <v>590</v>
      </c>
      <c r="L103" s="442">
        <v>1</v>
      </c>
      <c r="M103" s="442">
        <v>0</v>
      </c>
      <c r="N103" s="443">
        <v>0</v>
      </c>
      <c r="O103" s="443">
        <v>0</v>
      </c>
      <c r="P103" s="443">
        <v>0</v>
      </c>
      <c r="Q103" s="443">
        <v>20</v>
      </c>
      <c r="R103" s="443">
        <v>1</v>
      </c>
      <c r="S103" s="443">
        <v>1</v>
      </c>
      <c r="T103" s="443">
        <v>8687542.6366296988</v>
      </c>
      <c r="U103" s="443">
        <v>5212525.5819778191</v>
      </c>
      <c r="V103" s="443">
        <v>3475017.0546518797</v>
      </c>
      <c r="W103" s="443">
        <v>0</v>
      </c>
      <c r="X103" s="443">
        <v>0</v>
      </c>
      <c r="Y103" s="443">
        <v>0</v>
      </c>
      <c r="Z103" s="443">
        <v>0</v>
      </c>
      <c r="AA103" s="443">
        <v>0</v>
      </c>
      <c r="AB103" s="443">
        <v>0</v>
      </c>
      <c r="AC103" s="443">
        <v>0</v>
      </c>
      <c r="AD103" s="443">
        <v>0</v>
      </c>
      <c r="AE103" s="443">
        <v>0</v>
      </c>
      <c r="AF103" s="33" t="s">
        <v>1085</v>
      </c>
      <c r="AG103" s="406"/>
    </row>
    <row r="104" spans="1:33">
      <c r="A104" s="410" t="str">
        <f t="shared" si="4"/>
        <v>수행비용</v>
      </c>
      <c r="C104" s="450" t="s">
        <v>1038</v>
      </c>
      <c r="D104" s="442" t="s">
        <v>1184</v>
      </c>
      <c r="E104" s="442" t="s">
        <v>246</v>
      </c>
      <c r="F104" s="442" t="s">
        <v>820</v>
      </c>
      <c r="G104" s="442" t="s">
        <v>248</v>
      </c>
      <c r="H104" s="442" t="s">
        <v>885</v>
      </c>
      <c r="I104" s="442" t="s">
        <v>1557</v>
      </c>
      <c r="J104" s="442">
        <v>0</v>
      </c>
      <c r="K104" s="442" t="s">
        <v>590</v>
      </c>
      <c r="L104" s="442">
        <v>1</v>
      </c>
      <c r="M104" s="442">
        <v>0</v>
      </c>
      <c r="N104" s="443">
        <v>0</v>
      </c>
      <c r="O104" s="443">
        <v>0</v>
      </c>
      <c r="P104" s="443">
        <v>0</v>
      </c>
      <c r="Q104" s="443">
        <v>5</v>
      </c>
      <c r="R104" s="443">
        <v>1</v>
      </c>
      <c r="S104" s="443">
        <v>1</v>
      </c>
      <c r="T104" s="443">
        <v>3040639.9228203953</v>
      </c>
      <c r="U104" s="443">
        <v>3040639.9228203953</v>
      </c>
      <c r="V104" s="443">
        <v>0</v>
      </c>
      <c r="W104" s="443">
        <v>0</v>
      </c>
      <c r="X104" s="443">
        <v>0</v>
      </c>
      <c r="Y104" s="443">
        <v>0</v>
      </c>
      <c r="Z104" s="443">
        <v>0</v>
      </c>
      <c r="AA104" s="443">
        <v>0</v>
      </c>
      <c r="AB104" s="443">
        <v>0</v>
      </c>
      <c r="AC104" s="443">
        <v>0</v>
      </c>
      <c r="AD104" s="443">
        <v>0</v>
      </c>
      <c r="AE104" s="443">
        <v>0</v>
      </c>
      <c r="AF104" s="33" t="s">
        <v>1085</v>
      </c>
      <c r="AG104" s="406"/>
    </row>
    <row r="105" spans="1:33">
      <c r="A105" s="410" t="str">
        <f t="shared" si="4"/>
        <v>수행비용</v>
      </c>
      <c r="C105" s="450" t="s">
        <v>1039</v>
      </c>
      <c r="D105" s="442" t="s">
        <v>1184</v>
      </c>
      <c r="E105" s="442" t="s">
        <v>246</v>
      </c>
      <c r="F105" s="442" t="s">
        <v>820</v>
      </c>
      <c r="G105" s="442" t="s">
        <v>248</v>
      </c>
      <c r="H105" s="442" t="s">
        <v>887</v>
      </c>
      <c r="I105" s="442" t="s">
        <v>1558</v>
      </c>
      <c r="J105" s="442">
        <v>0</v>
      </c>
      <c r="K105" s="442" t="s">
        <v>590</v>
      </c>
      <c r="L105" s="442">
        <v>1</v>
      </c>
      <c r="M105" s="442">
        <v>0</v>
      </c>
      <c r="N105" s="443">
        <v>0</v>
      </c>
      <c r="O105" s="443">
        <v>0</v>
      </c>
      <c r="P105" s="443">
        <v>0</v>
      </c>
      <c r="Q105" s="443">
        <v>120</v>
      </c>
      <c r="R105" s="443">
        <v>1</v>
      </c>
      <c r="S105" s="443">
        <v>1</v>
      </c>
      <c r="T105" s="443">
        <v>10425051.163955646</v>
      </c>
      <c r="U105" s="443">
        <v>1042505.1163955644</v>
      </c>
      <c r="V105" s="443">
        <v>1042505.1163955644</v>
      </c>
      <c r="W105" s="443">
        <v>1042505.1163955644</v>
      </c>
      <c r="X105" s="443">
        <v>1042505.1163955644</v>
      </c>
      <c r="Y105" s="443">
        <v>1042505.1163955644</v>
      </c>
      <c r="Z105" s="443">
        <v>1042505.1163955644</v>
      </c>
      <c r="AA105" s="443">
        <v>1042505.1163955644</v>
      </c>
      <c r="AB105" s="443">
        <v>1042505.1163955644</v>
      </c>
      <c r="AC105" s="443">
        <v>1042505.1163955644</v>
      </c>
      <c r="AD105" s="443">
        <v>1042505.1163955644</v>
      </c>
      <c r="AE105" s="443">
        <v>0</v>
      </c>
      <c r="AF105" s="33" t="s">
        <v>1085</v>
      </c>
      <c r="AG105" s="406"/>
    </row>
    <row r="106" spans="1:33">
      <c r="A106" s="410" t="str">
        <f t="shared" si="4"/>
        <v>수행비용</v>
      </c>
      <c r="C106" s="450" t="s">
        <v>1040</v>
      </c>
      <c r="D106" s="442" t="s">
        <v>1184</v>
      </c>
      <c r="E106" s="442" t="s">
        <v>246</v>
      </c>
      <c r="F106" s="442" t="s">
        <v>820</v>
      </c>
      <c r="G106" s="442" t="s">
        <v>248</v>
      </c>
      <c r="H106" s="442" t="s">
        <v>249</v>
      </c>
      <c r="I106" s="442" t="s">
        <v>1559</v>
      </c>
      <c r="J106" s="442">
        <v>0</v>
      </c>
      <c r="K106" s="442" t="s">
        <v>590</v>
      </c>
      <c r="L106" s="442">
        <v>1</v>
      </c>
      <c r="M106" s="442">
        <v>0</v>
      </c>
      <c r="N106" s="443">
        <v>0</v>
      </c>
      <c r="O106" s="443">
        <v>0</v>
      </c>
      <c r="P106" s="443">
        <v>0</v>
      </c>
      <c r="Q106" s="443">
        <v>120</v>
      </c>
      <c r="R106" s="443">
        <v>1</v>
      </c>
      <c r="S106" s="443">
        <v>1</v>
      </c>
      <c r="T106" s="443">
        <v>677628.32565711683</v>
      </c>
      <c r="U106" s="443">
        <v>67762.83256571168</v>
      </c>
      <c r="V106" s="443">
        <v>67762.83256571168</v>
      </c>
      <c r="W106" s="443">
        <v>67762.83256571168</v>
      </c>
      <c r="X106" s="443">
        <v>67762.83256571168</v>
      </c>
      <c r="Y106" s="443">
        <v>67762.83256571168</v>
      </c>
      <c r="Z106" s="443">
        <v>67762.83256571168</v>
      </c>
      <c r="AA106" s="443">
        <v>67762.83256571168</v>
      </c>
      <c r="AB106" s="443">
        <v>67762.83256571168</v>
      </c>
      <c r="AC106" s="443">
        <v>67762.83256571168</v>
      </c>
      <c r="AD106" s="443">
        <v>67762.83256571168</v>
      </c>
      <c r="AE106" s="443">
        <v>0</v>
      </c>
      <c r="AF106" s="33" t="s">
        <v>1085</v>
      </c>
      <c r="AG106" s="406"/>
    </row>
    <row r="107" spans="1:33">
      <c r="A107" s="410" t="str">
        <f t="shared" si="4"/>
        <v>수행비용</v>
      </c>
      <c r="C107" s="450" t="s">
        <v>1041</v>
      </c>
      <c r="D107" s="442" t="s">
        <v>1184</v>
      </c>
      <c r="E107" s="442" t="s">
        <v>246</v>
      </c>
      <c r="F107" s="442" t="s">
        <v>820</v>
      </c>
      <c r="G107" s="442" t="s">
        <v>248</v>
      </c>
      <c r="H107" s="442" t="s">
        <v>250</v>
      </c>
      <c r="I107" s="442" t="s">
        <v>897</v>
      </c>
      <c r="J107" s="442">
        <v>0</v>
      </c>
      <c r="K107" s="442" t="s">
        <v>590</v>
      </c>
      <c r="L107" s="442">
        <v>1</v>
      </c>
      <c r="M107" s="442">
        <v>0</v>
      </c>
      <c r="N107" s="443">
        <v>0</v>
      </c>
      <c r="O107" s="443">
        <v>0</v>
      </c>
      <c r="P107" s="443">
        <v>0</v>
      </c>
      <c r="Q107" s="443">
        <v>120</v>
      </c>
      <c r="R107" s="443">
        <v>1</v>
      </c>
      <c r="S107" s="443">
        <v>1</v>
      </c>
      <c r="T107" s="443">
        <v>26062627.909889098</v>
      </c>
      <c r="U107" s="443">
        <v>2606262.7909889095</v>
      </c>
      <c r="V107" s="443">
        <v>2606262.7909889095</v>
      </c>
      <c r="W107" s="443">
        <v>2606262.7909889095</v>
      </c>
      <c r="X107" s="443">
        <v>2606262.7909889095</v>
      </c>
      <c r="Y107" s="443">
        <v>2606262.7909889095</v>
      </c>
      <c r="Z107" s="443">
        <v>2606262.7909889095</v>
      </c>
      <c r="AA107" s="443">
        <v>2606262.7909889095</v>
      </c>
      <c r="AB107" s="443">
        <v>2606262.7909889095</v>
      </c>
      <c r="AC107" s="443">
        <v>2606262.7909889095</v>
      </c>
      <c r="AD107" s="443">
        <v>2606262.7909889095</v>
      </c>
      <c r="AE107" s="443">
        <v>0</v>
      </c>
      <c r="AF107" s="33" t="s">
        <v>1085</v>
      </c>
      <c r="AG107" s="406"/>
    </row>
    <row r="108" spans="1:33">
      <c r="A108" s="410" t="str">
        <f t="shared" si="4"/>
        <v>수행비용</v>
      </c>
      <c r="C108" s="450" t="s">
        <v>1042</v>
      </c>
      <c r="D108" s="442" t="s">
        <v>1185</v>
      </c>
      <c r="E108" s="442" t="s">
        <v>246</v>
      </c>
      <c r="F108" s="442" t="s">
        <v>339</v>
      </c>
      <c r="G108" s="442">
        <v>0</v>
      </c>
      <c r="H108" s="442">
        <v>0</v>
      </c>
      <c r="I108" s="442">
        <v>0</v>
      </c>
      <c r="J108" s="442">
        <v>0</v>
      </c>
      <c r="K108" s="442" t="s">
        <v>590</v>
      </c>
      <c r="L108" s="442">
        <v>1</v>
      </c>
      <c r="M108" s="442">
        <v>0</v>
      </c>
      <c r="N108" s="443">
        <v>0</v>
      </c>
      <c r="O108" s="443">
        <v>0</v>
      </c>
      <c r="P108" s="443">
        <v>0</v>
      </c>
      <c r="Q108" s="443">
        <v>120</v>
      </c>
      <c r="R108" s="443">
        <v>1</v>
      </c>
      <c r="S108" s="443">
        <v>1</v>
      </c>
      <c r="T108" s="443">
        <v>461516290.95899349</v>
      </c>
      <c r="U108" s="443">
        <v>46151629.095899351</v>
      </c>
      <c r="V108" s="443">
        <v>46151629.095899351</v>
      </c>
      <c r="W108" s="443">
        <v>46151629.095899351</v>
      </c>
      <c r="X108" s="443">
        <v>46151629.095899351</v>
      </c>
      <c r="Y108" s="443">
        <v>46151629.095899351</v>
      </c>
      <c r="Z108" s="443">
        <v>46151629.095899351</v>
      </c>
      <c r="AA108" s="443">
        <v>46151629.095899351</v>
      </c>
      <c r="AB108" s="443">
        <v>46151629.095899351</v>
      </c>
      <c r="AC108" s="443">
        <v>46151629.095899351</v>
      </c>
      <c r="AD108" s="443">
        <v>46151629.095899351</v>
      </c>
      <c r="AE108" s="443">
        <v>0</v>
      </c>
      <c r="AF108" s="33" t="s">
        <v>1085</v>
      </c>
      <c r="AG108" s="406"/>
    </row>
    <row r="109" spans="1:33">
      <c r="A109" s="410" t="str">
        <f t="shared" si="4"/>
        <v>수행비용</v>
      </c>
      <c r="C109" s="450" t="s">
        <v>1043</v>
      </c>
      <c r="D109" s="442" t="s">
        <v>1199</v>
      </c>
      <c r="E109" s="442" t="s">
        <v>246</v>
      </c>
      <c r="F109" s="442" t="s">
        <v>339</v>
      </c>
      <c r="G109" s="442">
        <v>0</v>
      </c>
      <c r="H109" s="442">
        <v>0</v>
      </c>
      <c r="I109" s="442">
        <v>0</v>
      </c>
      <c r="J109" s="442">
        <v>0</v>
      </c>
      <c r="K109" s="442" t="s">
        <v>590</v>
      </c>
      <c r="L109" s="442">
        <v>1</v>
      </c>
      <c r="M109" s="442">
        <v>0</v>
      </c>
      <c r="N109" s="443">
        <v>0</v>
      </c>
      <c r="O109" s="443">
        <v>0</v>
      </c>
      <c r="P109" s="443">
        <v>0</v>
      </c>
      <c r="Q109" s="443">
        <v>120</v>
      </c>
      <c r="R109" s="443">
        <v>1</v>
      </c>
      <c r="S109" s="443">
        <v>1</v>
      </c>
      <c r="T109" s="443">
        <v>385350393.65829581</v>
      </c>
      <c r="U109" s="443">
        <v>38535039.36582958</v>
      </c>
      <c r="V109" s="443">
        <v>38535039.36582958</v>
      </c>
      <c r="W109" s="443">
        <v>38535039.36582958</v>
      </c>
      <c r="X109" s="443">
        <v>38535039.36582958</v>
      </c>
      <c r="Y109" s="443">
        <v>38535039.36582958</v>
      </c>
      <c r="Z109" s="443">
        <v>38535039.36582958</v>
      </c>
      <c r="AA109" s="443">
        <v>38535039.36582958</v>
      </c>
      <c r="AB109" s="443">
        <v>38535039.36582958</v>
      </c>
      <c r="AC109" s="443">
        <v>38535039.36582958</v>
      </c>
      <c r="AD109" s="443">
        <v>38535039.36582958</v>
      </c>
      <c r="AE109" s="443">
        <v>0</v>
      </c>
      <c r="AF109" s="33" t="s">
        <v>1085</v>
      </c>
      <c r="AG109" s="406"/>
    </row>
    <row r="110" spans="1:33" ht="18" thickBot="1">
      <c r="A110" s="410" t="str">
        <f t="shared" si="4"/>
        <v>수행비용</v>
      </c>
      <c r="C110" s="536" t="s">
        <v>1044</v>
      </c>
      <c r="D110" s="451" t="s">
        <v>1184</v>
      </c>
      <c r="E110" s="451" t="s">
        <v>246</v>
      </c>
      <c r="F110" s="451" t="s">
        <v>339</v>
      </c>
      <c r="G110" s="451">
        <v>0</v>
      </c>
      <c r="H110" s="451">
        <v>0</v>
      </c>
      <c r="I110" s="451">
        <v>0</v>
      </c>
      <c r="J110" s="451">
        <v>0</v>
      </c>
      <c r="K110" s="451" t="s">
        <v>590</v>
      </c>
      <c r="L110" s="451">
        <v>1</v>
      </c>
      <c r="M110" s="451">
        <v>0</v>
      </c>
      <c r="N110" s="452">
        <v>0</v>
      </c>
      <c r="O110" s="452">
        <v>0</v>
      </c>
      <c r="P110" s="452">
        <v>0</v>
      </c>
      <c r="Q110" s="452">
        <v>120</v>
      </c>
      <c r="R110" s="452">
        <v>1</v>
      </c>
      <c r="S110" s="452">
        <v>1</v>
      </c>
      <c r="T110" s="452">
        <v>602534748.06986141</v>
      </c>
      <c r="U110" s="452">
        <v>60253474.806986146</v>
      </c>
      <c r="V110" s="452">
        <v>60253474.806986146</v>
      </c>
      <c r="W110" s="452">
        <v>60253474.806986146</v>
      </c>
      <c r="X110" s="452">
        <v>60253474.806986146</v>
      </c>
      <c r="Y110" s="452">
        <v>60253474.806986146</v>
      </c>
      <c r="Z110" s="452">
        <v>60253474.806986146</v>
      </c>
      <c r="AA110" s="452">
        <v>60253474.806986146</v>
      </c>
      <c r="AB110" s="452">
        <v>60253474.806986146</v>
      </c>
      <c r="AC110" s="452">
        <v>60253474.806986146</v>
      </c>
      <c r="AD110" s="452">
        <v>60253474.806986146</v>
      </c>
      <c r="AE110" s="452">
        <v>0</v>
      </c>
      <c r="AF110" s="31" t="s">
        <v>1085</v>
      </c>
      <c r="AG110" s="406"/>
    </row>
    <row r="111" spans="1:33">
      <c r="A111" s="410" t="str">
        <f t="shared" si="4"/>
        <v/>
      </c>
      <c r="C111"/>
      <c r="D111"/>
      <c r="E111"/>
      <c r="F111"/>
      <c r="G111"/>
      <c r="H111"/>
      <c r="I111"/>
      <c r="J111"/>
      <c r="K111"/>
      <c r="L111"/>
      <c r="M111"/>
      <c r="N111"/>
      <c r="O111"/>
      <c r="P111"/>
      <c r="Q111"/>
      <c r="R111"/>
      <c r="S111"/>
      <c r="T111"/>
      <c r="U111"/>
      <c r="V111"/>
      <c r="W111"/>
      <c r="X111"/>
      <c r="Y111"/>
      <c r="Z111"/>
      <c r="AA111"/>
      <c r="AB111"/>
      <c r="AC111"/>
      <c r="AD111"/>
      <c r="AE111"/>
      <c r="AF111"/>
      <c r="AG111" s="406"/>
    </row>
    <row r="112" spans="1:33">
      <c r="A112" s="410" t="str">
        <f t="shared" si="4"/>
        <v/>
      </c>
      <c r="C112"/>
      <c r="D112"/>
      <c r="E112"/>
      <c r="F112"/>
      <c r="G112"/>
      <c r="H112"/>
      <c r="I112"/>
      <c r="J112"/>
      <c r="K112"/>
      <c r="L112"/>
      <c r="M112"/>
      <c r="N112"/>
      <c r="O112"/>
      <c r="P112"/>
      <c r="Q112"/>
      <c r="R112"/>
      <c r="S112"/>
      <c r="T112"/>
      <c r="U112"/>
      <c r="V112"/>
      <c r="W112"/>
      <c r="X112"/>
      <c r="Y112"/>
      <c r="Z112"/>
      <c r="AA112"/>
      <c r="AB112"/>
      <c r="AC112"/>
      <c r="AD112"/>
      <c r="AE112"/>
      <c r="AF112"/>
      <c r="AG112" s="406"/>
    </row>
    <row r="113" spans="1:33">
      <c r="A113" s="410" t="str">
        <f t="shared" si="4"/>
        <v/>
      </c>
      <c r="C113"/>
      <c r="D113"/>
      <c r="E113"/>
      <c r="F113"/>
      <c r="G113"/>
      <c r="H113"/>
      <c r="I113"/>
      <c r="J113"/>
      <c r="K113"/>
      <c r="L113"/>
      <c r="M113"/>
      <c r="N113"/>
      <c r="O113"/>
      <c r="P113"/>
      <c r="Q113"/>
      <c r="R113"/>
      <c r="S113"/>
      <c r="T113"/>
      <c r="U113"/>
      <c r="V113"/>
      <c r="W113"/>
      <c r="X113"/>
      <c r="Y113"/>
      <c r="Z113"/>
      <c r="AA113"/>
      <c r="AB113"/>
      <c r="AC113"/>
      <c r="AD113"/>
      <c r="AE113"/>
      <c r="AF113"/>
      <c r="AG113" s="406"/>
    </row>
    <row r="114" spans="1:33">
      <c r="A114" s="410" t="str">
        <f t="shared" si="4"/>
        <v/>
      </c>
      <c r="C114"/>
      <c r="D114"/>
      <c r="E114"/>
      <c r="F114"/>
      <c r="G114"/>
      <c r="H114"/>
      <c r="I114"/>
      <c r="J114"/>
      <c r="K114"/>
      <c r="L114"/>
      <c r="M114"/>
      <c r="N114"/>
      <c r="O114"/>
      <c r="P114"/>
      <c r="Q114"/>
      <c r="R114"/>
      <c r="S114"/>
      <c r="T114"/>
      <c r="U114"/>
      <c r="V114"/>
      <c r="W114"/>
      <c r="X114"/>
      <c r="Y114"/>
      <c r="Z114"/>
      <c r="AA114"/>
      <c r="AB114"/>
      <c r="AC114"/>
      <c r="AD114"/>
      <c r="AE114"/>
      <c r="AF114"/>
      <c r="AG114" s="406"/>
    </row>
    <row r="115" spans="1:33">
      <c r="A115" s="410" t="str">
        <f t="shared" si="4"/>
        <v/>
      </c>
      <c r="C115"/>
      <c r="D115"/>
      <c r="E115"/>
      <c r="F115"/>
      <c r="G115"/>
      <c r="H115"/>
      <c r="I115"/>
      <c r="J115"/>
      <c r="K115"/>
      <c r="L115"/>
      <c r="M115"/>
      <c r="N115"/>
      <c r="O115"/>
      <c r="P115"/>
      <c r="Q115"/>
      <c r="R115"/>
      <c r="S115"/>
      <c r="T115"/>
      <c r="U115"/>
      <c r="V115"/>
      <c r="W115"/>
      <c r="X115"/>
      <c r="Y115"/>
      <c r="Z115"/>
      <c r="AA115"/>
      <c r="AB115"/>
      <c r="AC115"/>
      <c r="AD115"/>
      <c r="AE115"/>
      <c r="AF115"/>
      <c r="AG115" s="406"/>
    </row>
    <row r="116" spans="1:33">
      <c r="A116" s="410" t="str">
        <f t="shared" si="4"/>
        <v/>
      </c>
      <c r="C116"/>
      <c r="D116"/>
      <c r="E116"/>
      <c r="F116"/>
      <c r="G116"/>
      <c r="H116"/>
      <c r="I116"/>
      <c r="J116"/>
      <c r="K116"/>
      <c r="L116"/>
      <c r="M116"/>
      <c r="N116"/>
      <c r="O116"/>
      <c r="P116"/>
      <c r="Q116"/>
      <c r="R116"/>
      <c r="S116"/>
      <c r="T116"/>
      <c r="U116"/>
      <c r="V116"/>
      <c r="W116"/>
      <c r="X116"/>
      <c r="Y116"/>
      <c r="Z116"/>
      <c r="AA116"/>
      <c r="AB116"/>
      <c r="AC116"/>
      <c r="AD116"/>
      <c r="AE116"/>
      <c r="AF116"/>
      <c r="AG116" s="406"/>
    </row>
    <row r="117" spans="1:33">
      <c r="A117" s="410" t="str">
        <f t="shared" si="4"/>
        <v/>
      </c>
      <c r="C117"/>
      <c r="D117"/>
      <c r="E117"/>
      <c r="F117"/>
      <c r="G117"/>
      <c r="H117"/>
      <c r="I117"/>
      <c r="J117"/>
      <c r="K117"/>
      <c r="L117"/>
      <c r="M117"/>
      <c r="N117"/>
      <c r="O117"/>
      <c r="P117"/>
      <c r="Q117"/>
      <c r="R117"/>
      <c r="S117"/>
      <c r="T117"/>
      <c r="U117"/>
      <c r="V117"/>
      <c r="W117"/>
      <c r="X117"/>
      <c r="Y117"/>
      <c r="Z117"/>
      <c r="AA117"/>
      <c r="AB117"/>
      <c r="AC117"/>
      <c r="AD117"/>
      <c r="AE117"/>
      <c r="AF117"/>
      <c r="AG117" s="406"/>
    </row>
    <row r="118" spans="1:33">
      <c r="A118" s="410" t="str">
        <f t="shared" si="4"/>
        <v/>
      </c>
      <c r="C118"/>
      <c r="D118"/>
      <c r="E118"/>
      <c r="F118"/>
      <c r="G118"/>
      <c r="H118"/>
      <c r="I118"/>
      <c r="J118"/>
      <c r="K118"/>
      <c r="L118"/>
      <c r="M118"/>
      <c r="N118"/>
      <c r="O118"/>
      <c r="P118"/>
      <c r="Q118"/>
      <c r="R118"/>
      <c r="S118"/>
      <c r="T118"/>
      <c r="U118"/>
      <c r="V118"/>
      <c r="W118"/>
      <c r="X118"/>
      <c r="Y118"/>
      <c r="Z118"/>
      <c r="AA118"/>
      <c r="AB118"/>
      <c r="AC118"/>
      <c r="AD118"/>
      <c r="AE118"/>
      <c r="AF118"/>
      <c r="AG118" s="406"/>
    </row>
    <row r="119" spans="1:33">
      <c r="A119" s="410" t="str">
        <f t="shared" si="4"/>
        <v/>
      </c>
      <c r="C119"/>
      <c r="D119"/>
      <c r="E119"/>
      <c r="F119"/>
      <c r="G119"/>
      <c r="H119"/>
      <c r="I119"/>
      <c r="J119"/>
      <c r="K119"/>
      <c r="L119"/>
      <c r="M119"/>
      <c r="N119"/>
      <c r="O119"/>
      <c r="P119"/>
      <c r="Q119"/>
      <c r="R119"/>
      <c r="S119"/>
      <c r="T119"/>
      <c r="U119"/>
      <c r="V119"/>
      <c r="W119"/>
      <c r="X119"/>
      <c r="Y119"/>
      <c r="Z119"/>
      <c r="AA119"/>
      <c r="AB119"/>
      <c r="AC119"/>
      <c r="AD119"/>
      <c r="AE119"/>
      <c r="AF119"/>
      <c r="AG119" s="406"/>
    </row>
    <row r="120" spans="1:33">
      <c r="A120" s="410" t="str">
        <f t="shared" si="4"/>
        <v/>
      </c>
      <c r="C120"/>
      <c r="D120"/>
      <c r="E120"/>
      <c r="F120"/>
      <c r="G120"/>
      <c r="H120"/>
      <c r="I120"/>
      <c r="J120"/>
      <c r="K120"/>
      <c r="L120"/>
      <c r="M120"/>
      <c r="N120"/>
      <c r="O120"/>
      <c r="P120"/>
      <c r="Q120"/>
      <c r="R120"/>
      <c r="S120"/>
      <c r="T120"/>
      <c r="U120"/>
      <c r="V120"/>
      <c r="W120"/>
      <c r="X120"/>
      <c r="Y120"/>
      <c r="Z120"/>
      <c r="AA120"/>
      <c r="AB120"/>
      <c r="AC120"/>
      <c r="AD120"/>
      <c r="AE120"/>
      <c r="AF120"/>
      <c r="AG120" s="406"/>
    </row>
    <row r="121" spans="1:33">
      <c r="A121" s="410" t="str">
        <f t="shared" si="4"/>
        <v/>
      </c>
      <c r="C121"/>
      <c r="D121"/>
      <c r="E121"/>
      <c r="F121"/>
      <c r="G121"/>
      <c r="H121"/>
      <c r="I121"/>
      <c r="J121"/>
      <c r="K121"/>
      <c r="L121"/>
      <c r="M121"/>
      <c r="N121"/>
      <c r="O121"/>
      <c r="P121"/>
      <c r="Q121"/>
      <c r="R121"/>
      <c r="S121"/>
      <c r="T121"/>
      <c r="U121"/>
      <c r="V121"/>
      <c r="W121"/>
      <c r="X121"/>
      <c r="Y121"/>
      <c r="Z121"/>
      <c r="AA121"/>
      <c r="AB121"/>
      <c r="AC121"/>
      <c r="AD121"/>
      <c r="AE121"/>
      <c r="AF121"/>
      <c r="AG121" s="406"/>
    </row>
    <row r="122" spans="1:33">
      <c r="A122" s="410" t="str">
        <f t="shared" si="4"/>
        <v/>
      </c>
      <c r="C122"/>
      <c r="D122"/>
      <c r="E122"/>
      <c r="F122"/>
      <c r="G122"/>
      <c r="H122"/>
      <c r="I122"/>
      <c r="J122"/>
      <c r="K122"/>
      <c r="L122"/>
      <c r="M122"/>
      <c r="N122"/>
      <c r="O122"/>
      <c r="P122"/>
      <c r="Q122"/>
      <c r="R122"/>
      <c r="S122"/>
      <c r="T122"/>
      <c r="U122"/>
      <c r="V122"/>
      <c r="W122"/>
      <c r="X122"/>
      <c r="Y122"/>
      <c r="Z122"/>
      <c r="AA122"/>
      <c r="AB122"/>
      <c r="AC122"/>
      <c r="AD122"/>
      <c r="AE122"/>
      <c r="AF122"/>
      <c r="AG122" s="406"/>
    </row>
    <row r="123" spans="1:33">
      <c r="A123" s="410" t="str">
        <f t="shared" si="4"/>
        <v/>
      </c>
      <c r="C123"/>
      <c r="D123"/>
      <c r="E123"/>
      <c r="F123"/>
      <c r="G123"/>
      <c r="H123"/>
      <c r="I123"/>
      <c r="J123"/>
      <c r="K123"/>
      <c r="L123"/>
      <c r="M123"/>
      <c r="N123"/>
      <c r="O123"/>
      <c r="P123"/>
      <c r="Q123"/>
      <c r="R123"/>
      <c r="S123"/>
      <c r="T123"/>
      <c r="U123"/>
      <c r="V123"/>
      <c r="W123"/>
      <c r="X123"/>
      <c r="Y123"/>
      <c r="Z123"/>
      <c r="AA123"/>
      <c r="AB123"/>
      <c r="AC123"/>
      <c r="AD123"/>
      <c r="AE123"/>
      <c r="AF123"/>
      <c r="AG123" s="406"/>
    </row>
    <row r="124" spans="1:33">
      <c r="A124" s="410" t="str">
        <f t="shared" si="4"/>
        <v/>
      </c>
      <c r="C124"/>
      <c r="D124"/>
      <c r="E124"/>
      <c r="F124"/>
      <c r="G124"/>
      <c r="H124"/>
      <c r="I124"/>
      <c r="J124"/>
      <c r="K124"/>
      <c r="L124"/>
      <c r="M124"/>
      <c r="N124"/>
      <c r="O124"/>
      <c r="P124"/>
      <c r="Q124"/>
      <c r="R124"/>
      <c r="S124"/>
      <c r="T124"/>
      <c r="U124"/>
      <c r="V124"/>
      <c r="W124"/>
      <c r="X124"/>
      <c r="Y124"/>
      <c r="Z124"/>
      <c r="AA124"/>
      <c r="AB124"/>
      <c r="AC124"/>
      <c r="AD124"/>
      <c r="AE124"/>
      <c r="AF124"/>
      <c r="AG124" s="406"/>
    </row>
    <row r="125" spans="1:33">
      <c r="A125" s="410" t="str">
        <f t="shared" si="4"/>
        <v/>
      </c>
      <c r="C125"/>
      <c r="D125"/>
      <c r="E125"/>
      <c r="F125"/>
      <c r="G125"/>
      <c r="H125"/>
      <c r="I125"/>
      <c r="J125"/>
      <c r="K125"/>
      <c r="L125"/>
      <c r="M125"/>
      <c r="N125"/>
      <c r="O125"/>
      <c r="P125"/>
      <c r="Q125"/>
      <c r="R125"/>
      <c r="S125"/>
      <c r="T125"/>
      <c r="U125"/>
      <c r="V125"/>
      <c r="W125"/>
      <c r="X125"/>
      <c r="Y125"/>
      <c r="Z125"/>
      <c r="AA125"/>
      <c r="AB125"/>
      <c r="AC125"/>
      <c r="AD125"/>
      <c r="AE125"/>
      <c r="AF125"/>
      <c r="AG125" s="406"/>
    </row>
    <row r="126" spans="1:33">
      <c r="A126" s="410" t="str">
        <f t="shared" si="4"/>
        <v/>
      </c>
      <c r="C126"/>
      <c r="D126"/>
      <c r="E126"/>
      <c r="F126"/>
      <c r="G126"/>
      <c r="H126"/>
      <c r="I126"/>
      <c r="J126"/>
      <c r="K126"/>
      <c r="L126"/>
      <c r="M126"/>
      <c r="N126"/>
      <c r="O126"/>
      <c r="P126"/>
      <c r="Q126"/>
      <c r="R126"/>
      <c r="S126"/>
      <c r="T126"/>
      <c r="U126"/>
      <c r="V126"/>
      <c r="W126"/>
      <c r="X126"/>
      <c r="Y126"/>
      <c r="Z126"/>
      <c r="AA126"/>
      <c r="AB126"/>
      <c r="AC126"/>
      <c r="AD126"/>
      <c r="AE126"/>
      <c r="AF126"/>
      <c r="AG126" s="406"/>
    </row>
    <row r="127" spans="1:33">
      <c r="A127" s="410" t="str">
        <f t="shared" si="4"/>
        <v/>
      </c>
      <c r="C127"/>
      <c r="D127"/>
      <c r="E127"/>
      <c r="F127"/>
      <c r="G127"/>
      <c r="H127"/>
      <c r="I127"/>
      <c r="J127"/>
      <c r="K127"/>
      <c r="L127"/>
      <c r="M127"/>
      <c r="N127"/>
      <c r="O127"/>
      <c r="P127"/>
      <c r="Q127"/>
      <c r="R127"/>
      <c r="S127"/>
      <c r="T127"/>
      <c r="U127"/>
      <c r="V127"/>
      <c r="W127"/>
      <c r="X127"/>
      <c r="Y127"/>
      <c r="Z127"/>
      <c r="AA127"/>
      <c r="AB127"/>
      <c r="AC127"/>
      <c r="AD127"/>
      <c r="AE127"/>
      <c r="AF127"/>
      <c r="AG127" s="406"/>
    </row>
    <row r="128" spans="1:33">
      <c r="A128" s="410" t="str">
        <f t="shared" si="4"/>
        <v/>
      </c>
      <c r="C128"/>
      <c r="D128"/>
      <c r="E128"/>
      <c r="F128"/>
      <c r="G128"/>
      <c r="H128"/>
      <c r="I128"/>
      <c r="J128"/>
      <c r="K128"/>
      <c r="L128"/>
      <c r="M128"/>
      <c r="N128"/>
      <c r="O128"/>
      <c r="P128"/>
      <c r="Q128"/>
      <c r="R128"/>
      <c r="S128"/>
      <c r="T128"/>
      <c r="U128"/>
      <c r="V128"/>
      <c r="W128"/>
      <c r="X128"/>
      <c r="Y128"/>
      <c r="Z128"/>
      <c r="AA128"/>
      <c r="AB128"/>
      <c r="AC128"/>
      <c r="AD128"/>
      <c r="AE128"/>
      <c r="AF128"/>
      <c r="AG128" s="406"/>
    </row>
    <row r="129" spans="1:33">
      <c r="A129" s="410" t="str">
        <f t="shared" si="4"/>
        <v/>
      </c>
      <c r="C129"/>
      <c r="D129"/>
      <c r="E129"/>
      <c r="F129"/>
      <c r="G129"/>
      <c r="H129"/>
      <c r="I129"/>
      <c r="J129"/>
      <c r="K129"/>
      <c r="L129"/>
      <c r="M129"/>
      <c r="N129"/>
      <c r="O129"/>
      <c r="P129"/>
      <c r="Q129"/>
      <c r="R129"/>
      <c r="S129"/>
      <c r="T129"/>
      <c r="U129"/>
      <c r="V129"/>
      <c r="W129"/>
      <c r="X129"/>
      <c r="Y129"/>
      <c r="Z129"/>
      <c r="AA129"/>
      <c r="AB129"/>
      <c r="AC129"/>
      <c r="AD129"/>
      <c r="AE129"/>
      <c r="AF129"/>
      <c r="AG129" s="406"/>
    </row>
    <row r="130" spans="1:33">
      <c r="A130" s="410" t="str">
        <f t="shared" si="4"/>
        <v/>
      </c>
      <c r="C130"/>
      <c r="D130"/>
      <c r="E130"/>
      <c r="F130"/>
      <c r="G130"/>
      <c r="H130"/>
      <c r="I130"/>
      <c r="J130"/>
      <c r="K130"/>
      <c r="L130"/>
      <c r="M130"/>
      <c r="N130"/>
      <c r="O130"/>
      <c r="P130"/>
      <c r="Q130"/>
      <c r="R130"/>
      <c r="S130"/>
      <c r="T130"/>
      <c r="U130"/>
      <c r="V130"/>
      <c r="W130"/>
      <c r="X130"/>
      <c r="Y130"/>
      <c r="Z130"/>
      <c r="AA130"/>
      <c r="AB130"/>
      <c r="AC130"/>
      <c r="AD130"/>
      <c r="AE130"/>
      <c r="AF130"/>
      <c r="AG130" s="406"/>
    </row>
    <row r="131" spans="1:33">
      <c r="A131" s="410" t="str">
        <f t="shared" si="4"/>
        <v/>
      </c>
      <c r="C131"/>
      <c r="D131"/>
      <c r="E131"/>
      <c r="F131"/>
      <c r="G131"/>
      <c r="H131"/>
      <c r="I131"/>
      <c r="J131"/>
      <c r="K131"/>
      <c r="L131"/>
      <c r="M131"/>
      <c r="N131"/>
      <c r="O131"/>
      <c r="P131"/>
      <c r="Q131"/>
      <c r="R131"/>
      <c r="S131"/>
      <c r="T131"/>
      <c r="U131"/>
      <c r="V131"/>
      <c r="W131"/>
      <c r="X131"/>
      <c r="Y131"/>
      <c r="Z131"/>
      <c r="AA131"/>
      <c r="AB131"/>
      <c r="AC131"/>
      <c r="AD131"/>
      <c r="AE131"/>
      <c r="AF131"/>
      <c r="AG131" s="406"/>
    </row>
    <row r="132" spans="1:33">
      <c r="A132" s="410" t="str">
        <f t="shared" si="4"/>
        <v/>
      </c>
      <c r="C132"/>
      <c r="D132"/>
      <c r="E132"/>
      <c r="F132"/>
      <c r="G132"/>
      <c r="H132"/>
      <c r="I132"/>
      <c r="J132"/>
      <c r="K132"/>
      <c r="L132"/>
      <c r="M132"/>
      <c r="N132"/>
      <c r="O132"/>
      <c r="P132"/>
      <c r="Q132"/>
      <c r="R132"/>
      <c r="S132"/>
      <c r="T132"/>
      <c r="U132"/>
      <c r="V132"/>
      <c r="W132"/>
      <c r="X132"/>
      <c r="Y132"/>
      <c r="Z132"/>
      <c r="AA132"/>
      <c r="AB132"/>
      <c r="AC132"/>
      <c r="AD132"/>
      <c r="AE132"/>
      <c r="AF132"/>
      <c r="AG132" s="406"/>
    </row>
    <row r="133" spans="1:33">
      <c r="A133" s="410" t="str">
        <f t="shared" si="4"/>
        <v/>
      </c>
      <c r="C133"/>
      <c r="D133"/>
      <c r="E133"/>
      <c r="F133"/>
      <c r="G133"/>
      <c r="H133"/>
      <c r="I133"/>
      <c r="J133"/>
      <c r="K133"/>
      <c r="L133"/>
      <c r="M133"/>
      <c r="N133"/>
      <c r="O133"/>
      <c r="P133"/>
      <c r="Q133"/>
      <c r="R133"/>
      <c r="S133"/>
      <c r="T133"/>
      <c r="U133"/>
      <c r="V133"/>
      <c r="W133"/>
      <c r="X133"/>
      <c r="Y133"/>
      <c r="Z133"/>
      <c r="AA133"/>
      <c r="AB133"/>
      <c r="AC133"/>
      <c r="AD133"/>
      <c r="AE133"/>
      <c r="AF133"/>
      <c r="AG133" s="406"/>
    </row>
    <row r="134" spans="1:33">
      <c r="A134" s="410" t="str">
        <f t="shared" si="4"/>
        <v/>
      </c>
      <c r="C134"/>
      <c r="D134"/>
      <c r="E134"/>
      <c r="F134"/>
      <c r="G134"/>
      <c r="H134"/>
      <c r="I134"/>
      <c r="J134"/>
      <c r="K134"/>
      <c r="L134"/>
      <c r="M134"/>
      <c r="N134"/>
      <c r="O134"/>
      <c r="P134"/>
      <c r="Q134"/>
      <c r="R134"/>
      <c r="S134"/>
      <c r="T134"/>
      <c r="U134"/>
      <c r="V134"/>
      <c r="W134"/>
      <c r="X134"/>
      <c r="Y134"/>
      <c r="Z134"/>
      <c r="AA134"/>
      <c r="AB134"/>
      <c r="AC134"/>
      <c r="AD134"/>
      <c r="AE134"/>
      <c r="AF134"/>
      <c r="AG134" s="406"/>
    </row>
    <row r="135" spans="1:33">
      <c r="A135" s="410" t="str">
        <f t="shared" si="4"/>
        <v/>
      </c>
      <c r="C135"/>
      <c r="D135"/>
      <c r="E135"/>
      <c r="F135"/>
      <c r="G135"/>
      <c r="H135"/>
      <c r="I135"/>
      <c r="J135"/>
      <c r="K135"/>
      <c r="L135"/>
      <c r="M135"/>
      <c r="N135"/>
      <c r="O135"/>
      <c r="P135"/>
      <c r="Q135"/>
      <c r="R135"/>
      <c r="S135"/>
      <c r="T135"/>
      <c r="U135"/>
      <c r="V135"/>
      <c r="W135"/>
      <c r="X135"/>
      <c r="Y135"/>
      <c r="Z135"/>
      <c r="AA135"/>
      <c r="AB135"/>
      <c r="AC135"/>
      <c r="AD135"/>
      <c r="AE135"/>
      <c r="AF135"/>
      <c r="AG135" s="406"/>
    </row>
    <row r="136" spans="1:33">
      <c r="A136" s="410" t="str">
        <f t="shared" si="4"/>
        <v/>
      </c>
      <c r="C136"/>
      <c r="D136"/>
      <c r="E136"/>
      <c r="F136"/>
      <c r="G136"/>
      <c r="H136"/>
      <c r="I136"/>
      <c r="J136"/>
      <c r="K136"/>
      <c r="L136"/>
      <c r="M136"/>
      <c r="N136"/>
      <c r="O136"/>
      <c r="P136"/>
      <c r="Q136"/>
      <c r="R136"/>
      <c r="S136"/>
      <c r="T136"/>
      <c r="U136"/>
      <c r="V136"/>
      <c r="W136"/>
      <c r="X136"/>
      <c r="Y136"/>
      <c r="Z136"/>
      <c r="AA136"/>
      <c r="AB136"/>
      <c r="AC136"/>
      <c r="AD136"/>
      <c r="AE136"/>
      <c r="AF136"/>
      <c r="AG136" s="406"/>
    </row>
    <row r="137" spans="1:33">
      <c r="C137"/>
      <c r="D137"/>
      <c r="E137"/>
      <c r="F137"/>
      <c r="G137"/>
      <c r="H137"/>
      <c r="I137"/>
      <c r="J137"/>
      <c r="K137"/>
      <c r="L137"/>
      <c r="M137"/>
      <c r="N137"/>
      <c r="O137"/>
      <c r="P137"/>
      <c r="Q137"/>
      <c r="R137"/>
      <c r="S137"/>
      <c r="T137"/>
      <c r="U137"/>
      <c r="V137"/>
      <c r="W137"/>
      <c r="X137"/>
      <c r="Y137"/>
      <c r="Z137"/>
      <c r="AA137"/>
      <c r="AB137"/>
      <c r="AC137"/>
      <c r="AD137"/>
      <c r="AE137"/>
      <c r="AF137"/>
      <c r="AG137" s="406"/>
    </row>
    <row r="138" spans="1:33">
      <c r="C138"/>
      <c r="D138"/>
      <c r="E138"/>
      <c r="F138"/>
      <c r="G138"/>
      <c r="H138"/>
      <c r="I138"/>
      <c r="J138"/>
      <c r="K138"/>
      <c r="L138"/>
      <c r="M138"/>
      <c r="N138"/>
      <c r="O138"/>
      <c r="P138"/>
      <c r="Q138"/>
      <c r="R138"/>
      <c r="S138"/>
      <c r="T138"/>
      <c r="U138"/>
      <c r="V138"/>
      <c r="W138"/>
      <c r="X138"/>
      <c r="Y138"/>
      <c r="Z138"/>
      <c r="AA138"/>
      <c r="AB138"/>
      <c r="AC138"/>
      <c r="AD138"/>
      <c r="AE138"/>
      <c r="AF138"/>
      <c r="AG138" s="406"/>
    </row>
    <row r="139" spans="1:33">
      <c r="C139"/>
      <c r="D139"/>
      <c r="E139"/>
      <c r="F139"/>
      <c r="G139"/>
      <c r="H139"/>
      <c r="I139"/>
      <c r="J139"/>
      <c r="K139"/>
      <c r="L139"/>
      <c r="M139"/>
      <c r="N139"/>
      <c r="O139"/>
      <c r="P139"/>
      <c r="Q139"/>
      <c r="R139"/>
      <c r="S139"/>
      <c r="T139"/>
      <c r="U139"/>
      <c r="V139"/>
      <c r="W139"/>
      <c r="X139"/>
      <c r="Y139"/>
      <c r="Z139"/>
      <c r="AA139"/>
      <c r="AB139"/>
      <c r="AC139"/>
      <c r="AD139"/>
      <c r="AE139"/>
      <c r="AF139"/>
      <c r="AG139" s="406"/>
    </row>
    <row r="140" spans="1:33">
      <c r="C140"/>
      <c r="D140"/>
      <c r="E140"/>
      <c r="F140"/>
      <c r="G140"/>
      <c r="H140"/>
      <c r="I140"/>
      <c r="J140"/>
      <c r="K140"/>
      <c r="L140"/>
      <c r="M140"/>
      <c r="N140"/>
      <c r="O140"/>
      <c r="P140"/>
      <c r="Q140"/>
      <c r="R140"/>
      <c r="S140"/>
      <c r="T140"/>
      <c r="U140"/>
      <c r="V140"/>
      <c r="W140"/>
      <c r="X140"/>
      <c r="Y140"/>
      <c r="Z140"/>
      <c r="AA140"/>
      <c r="AB140"/>
      <c r="AC140"/>
      <c r="AD140"/>
      <c r="AE140"/>
      <c r="AF140"/>
      <c r="AG140" s="406"/>
    </row>
    <row r="141" spans="1:33">
      <c r="C141"/>
      <c r="D141"/>
      <c r="E141"/>
      <c r="F141"/>
      <c r="G141"/>
      <c r="H141"/>
      <c r="I141"/>
      <c r="J141"/>
      <c r="K141"/>
      <c r="L141"/>
      <c r="M141"/>
      <c r="N141"/>
      <c r="O141"/>
      <c r="P141"/>
      <c r="Q141"/>
      <c r="R141"/>
      <c r="S141"/>
      <c r="T141"/>
      <c r="U141"/>
      <c r="V141"/>
      <c r="W141"/>
      <c r="X141"/>
      <c r="Y141"/>
      <c r="Z141"/>
      <c r="AA141"/>
      <c r="AB141"/>
      <c r="AC141"/>
      <c r="AD141"/>
      <c r="AE141"/>
      <c r="AF141"/>
      <c r="AG141" s="406"/>
    </row>
    <row r="142" spans="1:33">
      <c r="C142"/>
      <c r="D142"/>
      <c r="E142"/>
      <c r="F142"/>
      <c r="G142"/>
      <c r="H142"/>
      <c r="I142"/>
      <c r="J142"/>
      <c r="K142"/>
      <c r="L142"/>
      <c r="M142"/>
      <c r="N142"/>
      <c r="O142"/>
      <c r="P142"/>
      <c r="Q142"/>
      <c r="R142"/>
      <c r="S142"/>
      <c r="T142"/>
      <c r="U142"/>
      <c r="V142"/>
      <c r="W142"/>
      <c r="X142"/>
      <c r="Y142"/>
      <c r="Z142"/>
      <c r="AA142"/>
      <c r="AB142"/>
      <c r="AC142"/>
      <c r="AD142"/>
      <c r="AE142"/>
      <c r="AF142"/>
      <c r="AG142" s="406"/>
    </row>
    <row r="143" spans="1:33">
      <c r="C143"/>
      <c r="D143"/>
      <c r="E143"/>
      <c r="F143"/>
      <c r="G143"/>
      <c r="H143"/>
      <c r="I143"/>
      <c r="J143"/>
      <c r="K143"/>
      <c r="L143"/>
      <c r="M143"/>
      <c r="N143"/>
      <c r="O143"/>
      <c r="P143"/>
      <c r="Q143"/>
      <c r="R143"/>
      <c r="S143"/>
      <c r="T143"/>
      <c r="U143"/>
      <c r="V143"/>
      <c r="W143"/>
      <c r="X143"/>
      <c r="Y143"/>
      <c r="Z143"/>
      <c r="AA143"/>
      <c r="AB143"/>
      <c r="AC143"/>
      <c r="AD143"/>
      <c r="AE143"/>
      <c r="AF143"/>
      <c r="AG143" s="406"/>
    </row>
    <row r="144" spans="1:33">
      <c r="C144"/>
      <c r="D144"/>
      <c r="E144"/>
      <c r="F144"/>
      <c r="G144"/>
      <c r="H144"/>
      <c r="I144"/>
      <c r="J144"/>
      <c r="K144"/>
      <c r="L144"/>
      <c r="M144"/>
      <c r="N144"/>
      <c r="O144"/>
      <c r="P144"/>
      <c r="Q144"/>
      <c r="R144"/>
      <c r="S144"/>
      <c r="T144"/>
      <c r="U144"/>
      <c r="V144"/>
      <c r="W144"/>
      <c r="X144"/>
      <c r="Y144"/>
      <c r="Z144"/>
      <c r="AA144"/>
      <c r="AB144"/>
      <c r="AC144"/>
      <c r="AD144"/>
      <c r="AE144"/>
      <c r="AF144"/>
      <c r="AG144" s="406"/>
    </row>
    <row r="145" spans="3:33">
      <c r="C145"/>
      <c r="D145"/>
      <c r="E145"/>
      <c r="F145"/>
      <c r="G145"/>
      <c r="H145"/>
      <c r="I145"/>
      <c r="J145"/>
      <c r="K145"/>
      <c r="L145"/>
      <c r="M145"/>
      <c r="N145"/>
      <c r="O145"/>
      <c r="P145"/>
      <c r="Q145"/>
      <c r="R145"/>
      <c r="S145"/>
      <c r="T145"/>
      <c r="U145"/>
      <c r="V145"/>
      <c r="W145"/>
      <c r="X145"/>
      <c r="Y145"/>
      <c r="Z145"/>
      <c r="AA145"/>
      <c r="AB145"/>
      <c r="AC145"/>
      <c r="AD145"/>
      <c r="AE145"/>
      <c r="AF145"/>
      <c r="AG145" s="406"/>
    </row>
    <row r="146" spans="3:33">
      <c r="C146"/>
      <c r="D146"/>
      <c r="E146"/>
      <c r="F146"/>
      <c r="G146"/>
      <c r="H146"/>
      <c r="I146"/>
      <c r="J146"/>
      <c r="K146"/>
      <c r="L146"/>
      <c r="M146"/>
      <c r="N146"/>
      <c r="O146"/>
      <c r="P146"/>
      <c r="Q146"/>
      <c r="R146"/>
      <c r="S146"/>
      <c r="T146"/>
      <c r="U146"/>
      <c r="V146"/>
      <c r="W146"/>
      <c r="X146"/>
      <c r="Y146"/>
      <c r="Z146"/>
      <c r="AA146"/>
      <c r="AB146"/>
      <c r="AC146"/>
      <c r="AD146"/>
      <c r="AE146"/>
      <c r="AF146"/>
      <c r="AG146" s="406"/>
    </row>
    <row r="147" spans="3:33">
      <c r="C147"/>
      <c r="D147"/>
      <c r="E147"/>
      <c r="F147"/>
      <c r="G147"/>
      <c r="H147"/>
      <c r="I147"/>
      <c r="J147"/>
      <c r="K147"/>
      <c r="L147"/>
      <c r="M147"/>
      <c r="N147"/>
      <c r="O147"/>
      <c r="P147"/>
      <c r="Q147"/>
      <c r="R147"/>
      <c r="S147"/>
      <c r="T147"/>
      <c r="U147"/>
      <c r="V147"/>
      <c r="W147"/>
      <c r="X147"/>
      <c r="Y147"/>
      <c r="Z147"/>
      <c r="AA147"/>
      <c r="AB147"/>
      <c r="AC147"/>
      <c r="AD147"/>
      <c r="AE147"/>
      <c r="AF147"/>
      <c r="AG147" s="406"/>
    </row>
    <row r="148" spans="3:33">
      <c r="C148"/>
      <c r="D148"/>
      <c r="E148"/>
      <c r="F148"/>
      <c r="G148"/>
      <c r="H148"/>
      <c r="I148"/>
      <c r="J148"/>
      <c r="K148"/>
      <c r="L148"/>
      <c r="M148"/>
      <c r="N148"/>
      <c r="O148"/>
      <c r="P148"/>
      <c r="Q148"/>
      <c r="R148"/>
      <c r="S148"/>
      <c r="T148"/>
      <c r="U148"/>
      <c r="V148"/>
      <c r="W148"/>
      <c r="X148"/>
      <c r="Y148"/>
      <c r="Z148"/>
      <c r="AA148"/>
      <c r="AB148"/>
      <c r="AC148"/>
      <c r="AD148"/>
      <c r="AE148"/>
      <c r="AF148"/>
      <c r="AG148" s="406"/>
    </row>
    <row r="149" spans="3:33">
      <c r="C149"/>
      <c r="D149"/>
      <c r="E149"/>
      <c r="F149"/>
      <c r="G149"/>
      <c r="H149"/>
      <c r="I149"/>
      <c r="J149"/>
      <c r="K149"/>
      <c r="L149"/>
      <c r="M149"/>
      <c r="N149"/>
      <c r="O149"/>
      <c r="P149"/>
      <c r="Q149"/>
      <c r="R149"/>
      <c r="S149"/>
      <c r="T149"/>
      <c r="U149"/>
      <c r="V149"/>
      <c r="W149"/>
      <c r="X149"/>
      <c r="Y149"/>
      <c r="Z149"/>
      <c r="AA149"/>
      <c r="AB149"/>
      <c r="AC149"/>
      <c r="AD149"/>
      <c r="AE149"/>
      <c r="AF149"/>
      <c r="AG149" s="406"/>
    </row>
    <row r="150" spans="3:33">
      <c r="C150"/>
      <c r="D150"/>
      <c r="E150"/>
      <c r="F150"/>
      <c r="G150"/>
      <c r="H150"/>
      <c r="I150"/>
      <c r="J150"/>
      <c r="K150"/>
      <c r="L150"/>
      <c r="M150"/>
      <c r="N150"/>
      <c r="O150"/>
      <c r="P150"/>
      <c r="Q150"/>
      <c r="R150"/>
      <c r="S150"/>
      <c r="T150"/>
      <c r="U150"/>
      <c r="V150"/>
      <c r="W150"/>
      <c r="X150"/>
      <c r="Y150"/>
      <c r="Z150"/>
      <c r="AA150"/>
      <c r="AB150"/>
      <c r="AC150"/>
      <c r="AD150"/>
      <c r="AE150"/>
      <c r="AF150"/>
      <c r="AG150" s="406"/>
    </row>
    <row r="151" spans="3:33">
      <c r="C151"/>
      <c r="D151"/>
      <c r="E151"/>
      <c r="F151"/>
      <c r="G151"/>
      <c r="H151"/>
      <c r="I151"/>
      <c r="J151"/>
      <c r="K151"/>
      <c r="L151"/>
      <c r="M151"/>
      <c r="N151"/>
      <c r="O151"/>
      <c r="P151"/>
      <c r="Q151"/>
      <c r="R151"/>
      <c r="S151"/>
      <c r="T151"/>
      <c r="U151"/>
      <c r="V151"/>
      <c r="W151"/>
      <c r="X151"/>
      <c r="Y151"/>
      <c r="Z151"/>
      <c r="AA151"/>
      <c r="AB151"/>
      <c r="AC151"/>
      <c r="AD151"/>
      <c r="AE151"/>
      <c r="AF151"/>
      <c r="AG151" s="406"/>
    </row>
    <row r="152" spans="3:33">
      <c r="C152"/>
      <c r="D152"/>
      <c r="E152"/>
      <c r="F152"/>
      <c r="G152"/>
      <c r="H152"/>
      <c r="I152"/>
      <c r="J152"/>
      <c r="K152"/>
      <c r="L152"/>
      <c r="M152"/>
      <c r="N152"/>
      <c r="O152"/>
      <c r="P152"/>
      <c r="Q152"/>
      <c r="R152"/>
      <c r="S152"/>
      <c r="T152"/>
      <c r="U152"/>
      <c r="V152"/>
      <c r="W152"/>
      <c r="X152"/>
      <c r="Y152"/>
      <c r="Z152"/>
      <c r="AA152"/>
      <c r="AB152"/>
      <c r="AC152"/>
      <c r="AD152"/>
      <c r="AE152"/>
      <c r="AF152"/>
      <c r="AG152" s="406"/>
    </row>
    <row r="153" spans="3:33">
      <c r="C153"/>
      <c r="D153"/>
      <c r="E153"/>
      <c r="F153"/>
      <c r="G153"/>
      <c r="H153"/>
      <c r="I153"/>
      <c r="J153"/>
      <c r="K153"/>
      <c r="L153"/>
      <c r="M153"/>
      <c r="N153"/>
      <c r="O153"/>
      <c r="P153"/>
      <c r="Q153"/>
      <c r="R153"/>
      <c r="S153"/>
      <c r="T153"/>
      <c r="U153"/>
      <c r="V153"/>
      <c r="W153"/>
      <c r="X153"/>
      <c r="Y153"/>
      <c r="Z153"/>
      <c r="AA153"/>
      <c r="AB153"/>
      <c r="AC153"/>
      <c r="AD153"/>
      <c r="AE153"/>
      <c r="AF153"/>
      <c r="AG153" s="406"/>
    </row>
    <row r="154" spans="3:33">
      <c r="C154"/>
      <c r="D154"/>
      <c r="E154"/>
      <c r="F154"/>
      <c r="G154"/>
      <c r="H154"/>
      <c r="I154"/>
      <c r="J154"/>
      <c r="K154"/>
      <c r="L154"/>
      <c r="M154"/>
      <c r="N154"/>
      <c r="O154"/>
      <c r="P154"/>
      <c r="Q154"/>
      <c r="R154"/>
      <c r="S154"/>
      <c r="T154"/>
      <c r="U154"/>
      <c r="V154"/>
      <c r="W154"/>
      <c r="X154"/>
      <c r="Y154"/>
      <c r="Z154"/>
      <c r="AA154"/>
      <c r="AB154"/>
      <c r="AC154"/>
      <c r="AD154"/>
      <c r="AE154"/>
      <c r="AF154"/>
      <c r="AG154" s="406"/>
    </row>
    <row r="155" spans="3:33">
      <c r="C155"/>
      <c r="D155"/>
      <c r="E155"/>
      <c r="F155"/>
      <c r="G155"/>
      <c r="H155"/>
      <c r="I155"/>
      <c r="J155"/>
      <c r="K155"/>
      <c r="L155"/>
      <c r="M155"/>
      <c r="N155"/>
      <c r="O155"/>
      <c r="P155"/>
      <c r="Q155"/>
      <c r="R155"/>
      <c r="S155"/>
      <c r="T155"/>
      <c r="U155"/>
      <c r="V155"/>
      <c r="W155"/>
      <c r="X155"/>
      <c r="Y155"/>
      <c r="Z155"/>
      <c r="AA155"/>
      <c r="AB155"/>
      <c r="AC155"/>
      <c r="AD155"/>
      <c r="AE155"/>
      <c r="AF155"/>
      <c r="AG155" s="406"/>
    </row>
    <row r="156" spans="3:33">
      <c r="C156"/>
      <c r="D156"/>
      <c r="E156"/>
      <c r="F156"/>
      <c r="G156"/>
      <c r="H156"/>
      <c r="I156"/>
      <c r="J156"/>
      <c r="K156"/>
      <c r="L156"/>
      <c r="M156"/>
      <c r="N156"/>
      <c r="O156"/>
      <c r="P156"/>
      <c r="Q156"/>
      <c r="R156"/>
      <c r="S156"/>
      <c r="T156"/>
      <c r="U156"/>
      <c r="V156"/>
      <c r="W156"/>
      <c r="X156"/>
      <c r="Y156"/>
      <c r="Z156"/>
      <c r="AA156"/>
      <c r="AB156"/>
      <c r="AC156"/>
      <c r="AD156"/>
      <c r="AE156"/>
      <c r="AF156"/>
      <c r="AG156" s="406"/>
    </row>
    <row r="157" spans="3:33">
      <c r="C157"/>
      <c r="D157"/>
      <c r="E157"/>
      <c r="F157"/>
      <c r="G157"/>
      <c r="H157"/>
      <c r="I157"/>
      <c r="J157"/>
      <c r="K157"/>
      <c r="L157"/>
      <c r="M157"/>
      <c r="N157"/>
      <c r="O157"/>
      <c r="P157"/>
      <c r="Q157"/>
      <c r="R157"/>
      <c r="S157"/>
      <c r="T157"/>
      <c r="U157"/>
      <c r="V157"/>
      <c r="W157"/>
      <c r="X157"/>
      <c r="Y157"/>
      <c r="Z157"/>
      <c r="AA157"/>
      <c r="AB157"/>
      <c r="AC157"/>
      <c r="AD157"/>
      <c r="AE157"/>
      <c r="AF157"/>
      <c r="AG157" s="406"/>
    </row>
    <row r="158" spans="3:33">
      <c r="C158"/>
      <c r="D158"/>
      <c r="E158"/>
      <c r="F158"/>
      <c r="G158"/>
      <c r="H158"/>
      <c r="I158"/>
      <c r="J158"/>
      <c r="K158"/>
      <c r="L158"/>
      <c r="M158"/>
      <c r="N158"/>
      <c r="O158"/>
      <c r="P158"/>
      <c r="Q158"/>
      <c r="R158"/>
      <c r="S158"/>
      <c r="T158"/>
      <c r="U158"/>
      <c r="V158"/>
      <c r="W158"/>
      <c r="X158"/>
      <c r="Y158"/>
      <c r="Z158"/>
      <c r="AA158"/>
      <c r="AB158"/>
      <c r="AC158"/>
      <c r="AD158"/>
      <c r="AE158"/>
      <c r="AF158"/>
      <c r="AG158" s="406"/>
    </row>
    <row r="159" spans="3:33">
      <c r="C159"/>
      <c r="D159"/>
      <c r="E159"/>
      <c r="F159"/>
      <c r="G159"/>
      <c r="H159"/>
      <c r="I159"/>
      <c r="J159"/>
      <c r="K159"/>
      <c r="L159"/>
      <c r="M159"/>
      <c r="N159"/>
      <c r="O159"/>
      <c r="P159"/>
      <c r="Q159"/>
      <c r="R159"/>
      <c r="S159"/>
      <c r="T159"/>
      <c r="U159"/>
      <c r="V159"/>
      <c r="W159"/>
      <c r="X159"/>
      <c r="Y159"/>
      <c r="Z159"/>
      <c r="AA159"/>
      <c r="AB159"/>
      <c r="AC159"/>
      <c r="AD159"/>
      <c r="AE159"/>
      <c r="AF159"/>
      <c r="AG159" s="406"/>
    </row>
    <row r="160" spans="3:33">
      <c r="C160"/>
      <c r="D160"/>
      <c r="E160"/>
      <c r="F160"/>
      <c r="G160"/>
      <c r="H160"/>
      <c r="I160"/>
      <c r="J160"/>
      <c r="K160"/>
      <c r="L160"/>
      <c r="M160"/>
      <c r="N160"/>
      <c r="O160"/>
      <c r="P160"/>
      <c r="Q160"/>
      <c r="R160"/>
      <c r="S160"/>
      <c r="T160"/>
      <c r="U160"/>
      <c r="V160"/>
      <c r="W160"/>
      <c r="X160"/>
      <c r="Y160"/>
      <c r="Z160"/>
      <c r="AA160"/>
      <c r="AB160"/>
      <c r="AC160"/>
      <c r="AD160"/>
      <c r="AE160"/>
      <c r="AF160"/>
      <c r="AG160" s="406"/>
    </row>
    <row r="161" spans="3:33">
      <c r="C161"/>
      <c r="D161"/>
      <c r="E161"/>
      <c r="F161"/>
      <c r="G161"/>
      <c r="H161"/>
      <c r="I161"/>
      <c r="J161"/>
      <c r="K161"/>
      <c r="L161"/>
      <c r="M161"/>
      <c r="N161"/>
      <c r="O161"/>
      <c r="P161"/>
      <c r="Q161"/>
      <c r="R161"/>
      <c r="S161"/>
      <c r="T161"/>
      <c r="U161"/>
      <c r="V161"/>
      <c r="W161"/>
      <c r="X161"/>
      <c r="Y161"/>
      <c r="Z161"/>
      <c r="AA161"/>
      <c r="AB161"/>
      <c r="AC161"/>
      <c r="AD161"/>
      <c r="AE161"/>
      <c r="AF161"/>
      <c r="AG161" s="406"/>
    </row>
    <row r="162" spans="3:33">
      <c r="C162"/>
      <c r="D162"/>
      <c r="E162"/>
      <c r="F162"/>
      <c r="G162"/>
      <c r="H162"/>
      <c r="I162"/>
      <c r="J162"/>
      <c r="K162"/>
      <c r="L162"/>
      <c r="M162"/>
      <c r="N162"/>
      <c r="O162"/>
      <c r="P162"/>
      <c r="Q162"/>
      <c r="R162"/>
      <c r="S162"/>
      <c r="T162"/>
      <c r="U162"/>
      <c r="V162"/>
      <c r="W162"/>
      <c r="X162"/>
      <c r="Y162"/>
      <c r="Z162"/>
      <c r="AA162"/>
      <c r="AB162"/>
      <c r="AC162"/>
      <c r="AD162"/>
      <c r="AE162"/>
      <c r="AF162"/>
      <c r="AG162" s="406"/>
    </row>
    <row r="163" spans="3:33">
      <c r="C163"/>
      <c r="D163"/>
      <c r="E163"/>
      <c r="F163"/>
      <c r="G163"/>
      <c r="H163"/>
      <c r="I163"/>
      <c r="J163"/>
      <c r="K163"/>
      <c r="L163"/>
      <c r="M163"/>
      <c r="N163"/>
      <c r="O163"/>
      <c r="P163"/>
      <c r="Q163"/>
      <c r="R163"/>
      <c r="S163"/>
      <c r="T163"/>
      <c r="U163"/>
      <c r="V163"/>
      <c r="W163"/>
      <c r="X163"/>
      <c r="Y163"/>
      <c r="Z163"/>
      <c r="AA163"/>
      <c r="AB163"/>
      <c r="AC163"/>
      <c r="AD163"/>
      <c r="AE163"/>
      <c r="AF163"/>
      <c r="AG163" s="406"/>
    </row>
    <row r="164" spans="3:33">
      <c r="C164"/>
      <c r="D164"/>
      <c r="E164"/>
      <c r="F164"/>
      <c r="G164"/>
      <c r="H164"/>
      <c r="I164"/>
      <c r="J164"/>
      <c r="K164"/>
      <c r="L164"/>
      <c r="M164"/>
      <c r="N164"/>
      <c r="O164"/>
      <c r="P164"/>
      <c r="Q164"/>
      <c r="R164"/>
      <c r="S164"/>
      <c r="T164"/>
      <c r="U164"/>
      <c r="V164"/>
      <c r="W164"/>
      <c r="X164"/>
      <c r="Y164"/>
      <c r="Z164"/>
      <c r="AA164"/>
      <c r="AB164"/>
      <c r="AC164"/>
      <c r="AD164"/>
      <c r="AE164"/>
      <c r="AF164"/>
      <c r="AG164" s="406"/>
    </row>
    <row r="165" spans="3:33">
      <c r="C165"/>
      <c r="D165"/>
      <c r="E165"/>
      <c r="F165"/>
      <c r="G165"/>
      <c r="H165"/>
      <c r="I165"/>
      <c r="J165"/>
      <c r="K165"/>
      <c r="L165"/>
      <c r="M165"/>
      <c r="N165"/>
      <c r="O165"/>
      <c r="P165"/>
      <c r="Q165"/>
      <c r="R165"/>
      <c r="S165"/>
      <c r="T165"/>
      <c r="U165"/>
      <c r="V165"/>
      <c r="W165"/>
      <c r="X165"/>
      <c r="Y165"/>
      <c r="Z165"/>
      <c r="AA165"/>
      <c r="AB165"/>
      <c r="AC165"/>
      <c r="AD165"/>
      <c r="AE165"/>
      <c r="AF165"/>
      <c r="AG165" s="406"/>
    </row>
    <row r="166" spans="3:33">
      <c r="C166"/>
      <c r="D166"/>
      <c r="E166"/>
      <c r="F166"/>
      <c r="G166"/>
      <c r="H166"/>
      <c r="I166"/>
      <c r="J166"/>
      <c r="K166"/>
      <c r="L166"/>
      <c r="M166"/>
      <c r="N166"/>
      <c r="O166"/>
      <c r="P166"/>
      <c r="Q166"/>
      <c r="R166"/>
      <c r="S166"/>
      <c r="T166"/>
      <c r="U166"/>
      <c r="V166"/>
      <c r="W166"/>
      <c r="X166"/>
      <c r="Y166"/>
      <c r="Z166"/>
      <c r="AA166"/>
      <c r="AB166"/>
      <c r="AC166"/>
      <c r="AD166"/>
      <c r="AE166"/>
      <c r="AF166"/>
      <c r="AG166" s="406"/>
    </row>
    <row r="167" spans="3:33">
      <c r="C167"/>
      <c r="D167"/>
      <c r="E167"/>
      <c r="F167"/>
      <c r="G167"/>
      <c r="H167"/>
      <c r="I167"/>
      <c r="J167"/>
      <c r="K167"/>
      <c r="L167"/>
      <c r="M167"/>
      <c r="N167"/>
      <c r="O167"/>
      <c r="P167"/>
      <c r="Q167"/>
      <c r="R167"/>
      <c r="S167"/>
      <c r="T167"/>
      <c r="U167"/>
      <c r="V167"/>
      <c r="W167"/>
      <c r="X167"/>
      <c r="Y167"/>
      <c r="Z167"/>
      <c r="AA167"/>
      <c r="AB167"/>
      <c r="AC167"/>
      <c r="AD167"/>
      <c r="AE167"/>
      <c r="AF167"/>
      <c r="AG167" s="406"/>
    </row>
    <row r="168" spans="3:33">
      <c r="C168"/>
      <c r="D168"/>
      <c r="E168"/>
      <c r="F168"/>
      <c r="G168"/>
      <c r="H168"/>
      <c r="I168"/>
      <c r="J168"/>
      <c r="K168"/>
      <c r="L168"/>
      <c r="M168"/>
      <c r="N168"/>
      <c r="O168"/>
      <c r="P168"/>
      <c r="Q168"/>
      <c r="R168"/>
      <c r="S168"/>
      <c r="T168"/>
      <c r="U168"/>
      <c r="V168"/>
      <c r="W168"/>
      <c r="X168"/>
      <c r="Y168"/>
      <c r="Z168"/>
      <c r="AA168"/>
      <c r="AB168"/>
      <c r="AC168"/>
      <c r="AD168"/>
      <c r="AE168"/>
      <c r="AF168"/>
      <c r="AG168" s="406"/>
    </row>
    <row r="169" spans="3:33">
      <c r="C169"/>
      <c r="D169"/>
      <c r="E169"/>
      <c r="F169"/>
      <c r="G169"/>
      <c r="H169"/>
      <c r="I169"/>
      <c r="J169"/>
      <c r="K169"/>
      <c r="L169"/>
      <c r="M169"/>
      <c r="N169"/>
      <c r="O169"/>
      <c r="P169"/>
      <c r="Q169"/>
      <c r="R169"/>
      <c r="S169"/>
      <c r="T169"/>
      <c r="U169"/>
      <c r="V169"/>
      <c r="W169"/>
      <c r="X169"/>
      <c r="Y169"/>
      <c r="Z169"/>
      <c r="AA169"/>
      <c r="AB169"/>
      <c r="AC169"/>
      <c r="AD169"/>
      <c r="AE169"/>
      <c r="AF169"/>
      <c r="AG169" s="406"/>
    </row>
    <row r="170" spans="3:33">
      <c r="C170"/>
      <c r="D170"/>
      <c r="E170"/>
      <c r="F170"/>
      <c r="G170"/>
      <c r="H170"/>
      <c r="I170"/>
      <c r="J170"/>
      <c r="K170"/>
      <c r="L170"/>
      <c r="M170"/>
      <c r="N170"/>
      <c r="O170"/>
      <c r="P170"/>
      <c r="Q170"/>
      <c r="R170"/>
      <c r="S170"/>
      <c r="T170"/>
      <c r="U170"/>
      <c r="V170"/>
      <c r="W170"/>
      <c r="X170"/>
      <c r="Y170"/>
      <c r="Z170"/>
      <c r="AA170"/>
      <c r="AB170"/>
      <c r="AC170"/>
      <c r="AD170"/>
      <c r="AE170"/>
      <c r="AF170"/>
      <c r="AG170" s="406"/>
    </row>
    <row r="171" spans="3:33">
      <c r="C171"/>
      <c r="D171"/>
      <c r="E171"/>
      <c r="F171"/>
      <c r="G171"/>
      <c r="H171"/>
      <c r="I171"/>
      <c r="J171"/>
      <c r="K171"/>
      <c r="L171"/>
      <c r="M171"/>
      <c r="N171"/>
      <c r="O171"/>
      <c r="P171"/>
      <c r="Q171"/>
      <c r="R171"/>
      <c r="S171"/>
      <c r="T171"/>
      <c r="U171"/>
      <c r="V171"/>
      <c r="W171"/>
      <c r="X171"/>
      <c r="Y171"/>
      <c r="Z171"/>
      <c r="AA171"/>
      <c r="AB171"/>
      <c r="AC171"/>
      <c r="AD171"/>
      <c r="AE171"/>
      <c r="AF171"/>
      <c r="AG171" s="406"/>
    </row>
    <row r="172" spans="3:33">
      <c r="C172"/>
      <c r="D172"/>
      <c r="E172"/>
      <c r="F172"/>
      <c r="G172"/>
      <c r="H172"/>
      <c r="I172"/>
      <c r="J172"/>
      <c r="K172"/>
      <c r="L172"/>
      <c r="M172"/>
      <c r="N172"/>
      <c r="O172"/>
      <c r="P172"/>
      <c r="Q172"/>
      <c r="R172"/>
      <c r="S172"/>
      <c r="T172"/>
      <c r="U172"/>
      <c r="V172"/>
      <c r="W172"/>
      <c r="X172"/>
      <c r="Y172"/>
      <c r="Z172"/>
      <c r="AA172"/>
      <c r="AB172"/>
      <c r="AC172"/>
      <c r="AD172"/>
      <c r="AE172"/>
      <c r="AF172"/>
      <c r="AG172" s="406"/>
    </row>
    <row r="173" spans="3:33">
      <c r="C173"/>
      <c r="D173"/>
      <c r="E173"/>
      <c r="F173"/>
      <c r="G173"/>
      <c r="H173"/>
      <c r="I173"/>
      <c r="J173"/>
      <c r="K173"/>
      <c r="L173"/>
      <c r="M173"/>
      <c r="N173"/>
      <c r="O173"/>
      <c r="P173"/>
      <c r="Q173"/>
      <c r="R173"/>
      <c r="S173"/>
      <c r="T173"/>
      <c r="U173"/>
      <c r="V173"/>
      <c r="W173"/>
      <c r="X173"/>
      <c r="Y173"/>
      <c r="Z173"/>
      <c r="AA173"/>
      <c r="AB173"/>
      <c r="AC173"/>
      <c r="AD173"/>
      <c r="AE173"/>
      <c r="AF173"/>
      <c r="AG173" s="406"/>
    </row>
    <row r="174" spans="3:33">
      <c r="C174"/>
      <c r="D174"/>
      <c r="E174"/>
      <c r="F174"/>
      <c r="G174"/>
      <c r="H174"/>
      <c r="I174"/>
      <c r="J174"/>
      <c r="K174"/>
      <c r="L174"/>
      <c r="M174"/>
      <c r="N174"/>
      <c r="O174"/>
      <c r="P174"/>
      <c r="Q174"/>
      <c r="R174"/>
      <c r="S174"/>
      <c r="T174"/>
      <c r="U174"/>
      <c r="V174"/>
      <c r="W174"/>
      <c r="X174"/>
      <c r="Y174"/>
      <c r="Z174"/>
      <c r="AA174"/>
      <c r="AB174"/>
      <c r="AC174"/>
      <c r="AD174"/>
      <c r="AE174"/>
      <c r="AF174"/>
      <c r="AG174" s="406"/>
    </row>
    <row r="175" spans="3:33">
      <c r="C175"/>
      <c r="D175"/>
      <c r="E175"/>
      <c r="F175"/>
      <c r="G175"/>
      <c r="H175"/>
      <c r="I175"/>
      <c r="J175"/>
      <c r="K175"/>
      <c r="L175"/>
      <c r="M175"/>
      <c r="N175"/>
      <c r="O175"/>
      <c r="P175"/>
      <c r="Q175"/>
      <c r="R175"/>
      <c r="S175"/>
      <c r="T175"/>
      <c r="U175"/>
      <c r="V175"/>
      <c r="W175"/>
      <c r="X175"/>
      <c r="Y175"/>
      <c r="Z175"/>
      <c r="AA175"/>
      <c r="AB175"/>
      <c r="AC175"/>
      <c r="AD175"/>
      <c r="AE175"/>
      <c r="AF175"/>
      <c r="AG175" s="406"/>
    </row>
    <row r="176" spans="3:33">
      <c r="C176"/>
      <c r="D176"/>
      <c r="E176"/>
      <c r="F176"/>
      <c r="G176"/>
      <c r="H176"/>
      <c r="I176"/>
      <c r="J176"/>
      <c r="K176"/>
      <c r="L176"/>
      <c r="M176"/>
      <c r="N176"/>
      <c r="O176"/>
      <c r="P176"/>
      <c r="Q176"/>
      <c r="R176"/>
      <c r="S176"/>
      <c r="T176"/>
      <c r="U176"/>
      <c r="V176"/>
      <c r="W176"/>
      <c r="X176"/>
      <c r="Y176"/>
      <c r="Z176"/>
      <c r="AA176"/>
      <c r="AB176"/>
      <c r="AC176"/>
      <c r="AD176"/>
      <c r="AE176"/>
      <c r="AF176"/>
      <c r="AG176" s="406"/>
    </row>
    <row r="177" spans="3:33">
      <c r="C177"/>
      <c r="D177"/>
      <c r="E177"/>
      <c r="F177"/>
      <c r="G177"/>
      <c r="H177"/>
      <c r="I177"/>
      <c r="J177"/>
      <c r="K177"/>
      <c r="L177"/>
      <c r="M177"/>
      <c r="N177"/>
      <c r="O177"/>
      <c r="P177"/>
      <c r="Q177"/>
      <c r="R177"/>
      <c r="S177"/>
      <c r="T177"/>
      <c r="U177"/>
      <c r="V177"/>
      <c r="W177"/>
      <c r="X177"/>
      <c r="Y177"/>
      <c r="Z177"/>
      <c r="AA177"/>
      <c r="AB177"/>
      <c r="AC177"/>
      <c r="AD177"/>
      <c r="AE177"/>
      <c r="AF177"/>
      <c r="AG177" s="406"/>
    </row>
    <row r="178" spans="3:33">
      <c r="C178"/>
      <c r="D178"/>
      <c r="E178"/>
      <c r="F178"/>
      <c r="G178"/>
      <c r="H178"/>
      <c r="I178"/>
      <c r="J178"/>
      <c r="K178"/>
      <c r="L178"/>
      <c r="M178"/>
      <c r="N178"/>
      <c r="O178"/>
      <c r="P178"/>
      <c r="Q178"/>
      <c r="R178"/>
      <c r="S178"/>
      <c r="T178"/>
      <c r="U178"/>
      <c r="V178"/>
      <c r="W178"/>
      <c r="X178"/>
      <c r="Y178"/>
      <c r="Z178"/>
      <c r="AA178"/>
      <c r="AB178"/>
      <c r="AC178"/>
      <c r="AD178"/>
      <c r="AE178"/>
      <c r="AF178"/>
      <c r="AG178" s="406"/>
    </row>
    <row r="179" spans="3:33">
      <c r="C179"/>
      <c r="D179"/>
      <c r="E179"/>
      <c r="F179"/>
      <c r="G179"/>
      <c r="H179"/>
      <c r="I179"/>
      <c r="J179"/>
      <c r="K179"/>
      <c r="L179"/>
      <c r="M179"/>
      <c r="N179"/>
      <c r="O179"/>
      <c r="P179"/>
      <c r="Q179"/>
      <c r="R179"/>
      <c r="S179"/>
      <c r="T179"/>
      <c r="U179"/>
      <c r="V179"/>
      <c r="W179"/>
      <c r="X179"/>
      <c r="Y179"/>
      <c r="Z179"/>
      <c r="AA179"/>
      <c r="AB179"/>
      <c r="AC179"/>
      <c r="AD179"/>
      <c r="AE179"/>
      <c r="AF179"/>
      <c r="AG179" s="406"/>
    </row>
    <row r="180" spans="3:33">
      <c r="C180"/>
      <c r="D180"/>
      <c r="E180"/>
      <c r="F180"/>
      <c r="G180"/>
      <c r="H180"/>
      <c r="I180"/>
      <c r="J180"/>
      <c r="K180"/>
      <c r="L180"/>
      <c r="M180"/>
      <c r="N180"/>
      <c r="O180"/>
      <c r="P180"/>
      <c r="Q180"/>
      <c r="R180"/>
      <c r="S180"/>
      <c r="T180"/>
      <c r="U180"/>
      <c r="V180"/>
      <c r="W180"/>
      <c r="X180"/>
      <c r="Y180"/>
      <c r="Z180"/>
      <c r="AA180"/>
      <c r="AB180"/>
      <c r="AC180"/>
      <c r="AD180"/>
      <c r="AE180"/>
      <c r="AF180"/>
      <c r="AG180" s="406"/>
    </row>
    <row r="181" spans="3:33">
      <c r="C181"/>
      <c r="D181"/>
      <c r="E181"/>
      <c r="F181"/>
      <c r="G181"/>
      <c r="H181"/>
      <c r="I181"/>
      <c r="J181"/>
      <c r="K181"/>
      <c r="L181"/>
      <c r="M181"/>
      <c r="N181"/>
      <c r="O181"/>
      <c r="P181"/>
      <c r="Q181"/>
      <c r="R181"/>
      <c r="S181"/>
      <c r="T181"/>
      <c r="U181"/>
      <c r="V181"/>
      <c r="W181"/>
      <c r="X181"/>
      <c r="Y181"/>
      <c r="Z181"/>
      <c r="AA181"/>
      <c r="AB181"/>
      <c r="AC181"/>
      <c r="AD181"/>
      <c r="AE181"/>
      <c r="AF181"/>
      <c r="AG181" s="406"/>
    </row>
    <row r="182" spans="3:33">
      <c r="C182"/>
      <c r="D182"/>
      <c r="E182"/>
      <c r="F182"/>
      <c r="G182"/>
      <c r="H182"/>
      <c r="I182"/>
      <c r="J182"/>
      <c r="K182"/>
      <c r="L182"/>
      <c r="M182"/>
      <c r="N182"/>
      <c r="O182"/>
      <c r="P182"/>
      <c r="Q182"/>
      <c r="R182"/>
      <c r="S182"/>
      <c r="T182"/>
      <c r="U182"/>
      <c r="V182"/>
      <c r="W182"/>
      <c r="X182"/>
      <c r="Y182"/>
      <c r="Z182"/>
      <c r="AA182"/>
      <c r="AB182"/>
      <c r="AC182"/>
      <c r="AD182"/>
      <c r="AE182"/>
      <c r="AF182"/>
      <c r="AG182" s="406"/>
    </row>
    <row r="183" spans="3:33">
      <c r="C183"/>
      <c r="D183"/>
      <c r="E183"/>
      <c r="F183"/>
      <c r="G183"/>
      <c r="H183"/>
      <c r="I183"/>
      <c r="J183"/>
      <c r="K183"/>
      <c r="L183"/>
      <c r="M183"/>
      <c r="N183"/>
      <c r="O183"/>
      <c r="P183"/>
      <c r="Q183"/>
      <c r="R183"/>
      <c r="S183"/>
      <c r="T183"/>
      <c r="U183"/>
      <c r="V183"/>
      <c r="W183"/>
      <c r="X183"/>
      <c r="Y183"/>
      <c r="Z183"/>
      <c r="AA183"/>
      <c r="AB183"/>
      <c r="AC183"/>
      <c r="AD183"/>
      <c r="AE183"/>
      <c r="AF183"/>
      <c r="AG183" s="406"/>
    </row>
    <row r="184" spans="3:33">
      <c r="C184"/>
      <c r="D184"/>
      <c r="E184"/>
      <c r="F184"/>
      <c r="G184"/>
      <c r="H184"/>
      <c r="I184"/>
      <c r="J184"/>
      <c r="K184"/>
      <c r="L184"/>
      <c r="M184"/>
      <c r="N184"/>
      <c r="O184"/>
      <c r="P184"/>
      <c r="Q184"/>
      <c r="R184"/>
      <c r="S184"/>
      <c r="T184"/>
      <c r="U184"/>
      <c r="V184"/>
      <c r="W184"/>
      <c r="X184"/>
      <c r="Y184"/>
      <c r="Z184"/>
      <c r="AA184"/>
      <c r="AB184"/>
      <c r="AC184"/>
      <c r="AD184"/>
      <c r="AE184"/>
      <c r="AF184"/>
      <c r="AG184" s="406"/>
    </row>
    <row r="185" spans="3:33">
      <c r="C185"/>
      <c r="D185"/>
      <c r="E185"/>
      <c r="F185"/>
      <c r="G185"/>
      <c r="H185"/>
      <c r="I185"/>
      <c r="J185"/>
      <c r="K185"/>
      <c r="L185"/>
      <c r="M185"/>
      <c r="N185"/>
      <c r="O185"/>
      <c r="P185"/>
      <c r="Q185"/>
      <c r="R185"/>
      <c r="S185"/>
      <c r="T185"/>
      <c r="U185"/>
      <c r="V185"/>
      <c r="W185"/>
      <c r="X185"/>
      <c r="Y185"/>
      <c r="Z185"/>
      <c r="AA185"/>
      <c r="AB185"/>
      <c r="AC185"/>
      <c r="AD185"/>
      <c r="AE185"/>
      <c r="AF185"/>
      <c r="AG185" s="406"/>
    </row>
    <row r="186" spans="3:33">
      <c r="C186" s="42"/>
      <c r="D186" s="42"/>
      <c r="E186" s="42"/>
      <c r="F186" s="42"/>
      <c r="G186" s="42"/>
      <c r="H186" s="42"/>
      <c r="I186"/>
      <c r="J186"/>
      <c r="K186"/>
      <c r="L186"/>
      <c r="M186"/>
      <c r="N186"/>
      <c r="O186"/>
      <c r="P186"/>
      <c r="Q186"/>
      <c r="R186"/>
      <c r="S186"/>
      <c r="T186"/>
      <c r="U186"/>
      <c r="V186"/>
      <c r="W186"/>
      <c r="X186"/>
      <c r="Y186"/>
      <c r="Z186"/>
      <c r="AA186"/>
      <c r="AB186"/>
      <c r="AC186"/>
      <c r="AD186"/>
      <c r="AE186"/>
      <c r="AF186" s="42"/>
      <c r="AG186" s="406"/>
    </row>
    <row r="187" spans="3:33">
      <c r="C187" s="42"/>
      <c r="D187" s="42"/>
      <c r="E187" s="42"/>
      <c r="F187" s="42"/>
      <c r="G187" s="42"/>
      <c r="H187" s="42"/>
      <c r="I187"/>
      <c r="J187"/>
      <c r="K187"/>
      <c r="L187"/>
      <c r="M187"/>
      <c r="N187"/>
      <c r="O187"/>
      <c r="P187"/>
      <c r="Q187"/>
      <c r="R187"/>
      <c r="S187"/>
      <c r="T187"/>
      <c r="U187"/>
      <c r="V187"/>
      <c r="W187"/>
      <c r="X187"/>
      <c r="Y187"/>
      <c r="Z187"/>
      <c r="AA187"/>
      <c r="AB187"/>
      <c r="AC187"/>
      <c r="AD187"/>
      <c r="AE187"/>
      <c r="AF187" s="42"/>
      <c r="AG187" s="406"/>
    </row>
    <row r="188" spans="3:33">
      <c r="C188" s="42"/>
      <c r="D188" s="42"/>
      <c r="E188" s="42"/>
      <c r="F188" s="42"/>
      <c r="G188" s="42"/>
      <c r="H188" s="42"/>
      <c r="I188"/>
      <c r="J188"/>
      <c r="K188"/>
      <c r="L188"/>
      <c r="M188"/>
      <c r="N188"/>
      <c r="O188"/>
      <c r="P188"/>
      <c r="Q188"/>
      <c r="R188"/>
      <c r="S188"/>
      <c r="T188"/>
      <c r="U188"/>
      <c r="V188"/>
      <c r="W188"/>
      <c r="X188"/>
      <c r="Y188"/>
      <c r="Z188"/>
      <c r="AA188"/>
      <c r="AB188"/>
      <c r="AC188"/>
      <c r="AD188"/>
      <c r="AE188"/>
      <c r="AF188" s="42"/>
      <c r="AG188" s="406"/>
    </row>
    <row r="189" spans="3:33">
      <c r="C189" s="42"/>
      <c r="D189" s="42"/>
      <c r="E189" s="42"/>
      <c r="F189" s="42"/>
      <c r="G189" s="42"/>
      <c r="H189" s="42"/>
      <c r="I189"/>
      <c r="J189"/>
      <c r="K189"/>
      <c r="L189"/>
      <c r="M189"/>
      <c r="N189"/>
      <c r="O189"/>
      <c r="P189"/>
      <c r="Q189"/>
      <c r="R189"/>
      <c r="S189"/>
      <c r="T189"/>
      <c r="U189"/>
      <c r="V189"/>
      <c r="W189"/>
      <c r="X189"/>
      <c r="Y189"/>
      <c r="Z189"/>
      <c r="AA189"/>
      <c r="AB189"/>
      <c r="AC189"/>
      <c r="AD189"/>
      <c r="AE189"/>
      <c r="AF189" s="42"/>
      <c r="AG189" s="406"/>
    </row>
    <row r="190" spans="3:33">
      <c r="C190" s="42"/>
      <c r="D190" s="42"/>
      <c r="E190" s="42"/>
      <c r="F190" s="42"/>
      <c r="G190" s="42"/>
      <c r="H190" s="42"/>
      <c r="I190"/>
      <c r="J190"/>
      <c r="K190"/>
      <c r="L190"/>
      <c r="M190"/>
      <c r="N190"/>
      <c r="O190"/>
      <c r="P190"/>
      <c r="Q190"/>
      <c r="R190"/>
      <c r="S190"/>
      <c r="T190"/>
      <c r="U190"/>
      <c r="V190"/>
      <c r="W190"/>
      <c r="X190"/>
      <c r="Y190"/>
      <c r="Z190"/>
      <c r="AA190"/>
      <c r="AB190"/>
      <c r="AC190"/>
      <c r="AD190"/>
      <c r="AE190"/>
      <c r="AF190" s="42"/>
      <c r="AG190" s="406"/>
    </row>
    <row r="191" spans="3:33">
      <c r="C191" s="42"/>
      <c r="D191" s="42"/>
      <c r="E191" s="42"/>
      <c r="F191" s="42"/>
      <c r="G191" s="42"/>
      <c r="H191" s="42"/>
      <c r="I191"/>
      <c r="J191"/>
      <c r="K191"/>
      <c r="L191"/>
      <c r="M191"/>
      <c r="N191"/>
      <c r="O191"/>
      <c r="P191"/>
      <c r="Q191"/>
      <c r="R191"/>
      <c r="S191"/>
      <c r="T191"/>
      <c r="U191"/>
      <c r="V191"/>
      <c r="W191"/>
      <c r="X191"/>
      <c r="Y191"/>
      <c r="Z191"/>
      <c r="AA191"/>
      <c r="AB191"/>
      <c r="AC191"/>
      <c r="AD191"/>
      <c r="AE191"/>
      <c r="AF191" s="42"/>
      <c r="AG191" s="406"/>
    </row>
    <row r="192" spans="3:33">
      <c r="C192" s="42"/>
      <c r="D192" s="42"/>
      <c r="E192" s="42"/>
      <c r="F192" s="42"/>
      <c r="G192" s="42"/>
      <c r="H192" s="42"/>
      <c r="I192"/>
      <c r="J192"/>
      <c r="K192"/>
      <c r="L192"/>
      <c r="M192"/>
      <c r="N192"/>
      <c r="O192"/>
      <c r="P192"/>
      <c r="Q192"/>
      <c r="R192"/>
      <c r="S192"/>
      <c r="T192"/>
      <c r="U192"/>
      <c r="V192"/>
      <c r="W192"/>
      <c r="X192"/>
      <c r="Y192"/>
      <c r="Z192"/>
      <c r="AA192"/>
      <c r="AB192"/>
      <c r="AC192"/>
      <c r="AD192"/>
      <c r="AE192"/>
      <c r="AF192" s="42"/>
      <c r="AG192" s="406"/>
    </row>
    <row r="193" spans="3:33">
      <c r="C193" s="42"/>
      <c r="D193" s="42"/>
      <c r="E193" s="42"/>
      <c r="F193" s="42"/>
      <c r="G193" s="42"/>
      <c r="H193" s="42"/>
      <c r="I193"/>
      <c r="J193"/>
      <c r="K193"/>
      <c r="L193"/>
      <c r="M193"/>
      <c r="N193"/>
      <c r="O193"/>
      <c r="P193"/>
      <c r="Q193"/>
      <c r="R193"/>
      <c r="S193"/>
      <c r="T193"/>
      <c r="U193"/>
      <c r="V193"/>
      <c r="W193"/>
      <c r="X193"/>
      <c r="Y193"/>
      <c r="Z193"/>
      <c r="AA193"/>
      <c r="AB193"/>
      <c r="AC193"/>
      <c r="AD193"/>
      <c r="AE193"/>
      <c r="AF193" s="42"/>
      <c r="AG193" s="406"/>
    </row>
    <row r="194" spans="3:33">
      <c r="C194" s="42"/>
      <c r="D194" s="42"/>
      <c r="E194" s="42"/>
      <c r="F194" s="42"/>
      <c r="G194" s="42"/>
      <c r="H194" s="42"/>
      <c r="I194"/>
      <c r="J194"/>
      <c r="K194"/>
      <c r="L194"/>
      <c r="M194"/>
      <c r="N194"/>
      <c r="O194"/>
      <c r="P194"/>
      <c r="Q194"/>
      <c r="R194"/>
      <c r="S194"/>
      <c r="T194"/>
      <c r="U194"/>
      <c r="V194"/>
      <c r="W194"/>
      <c r="X194"/>
      <c r="Y194"/>
      <c r="Z194"/>
      <c r="AA194"/>
      <c r="AB194"/>
      <c r="AC194"/>
      <c r="AD194"/>
      <c r="AE194"/>
      <c r="AF194" s="42"/>
      <c r="AG194" s="406"/>
    </row>
    <row r="195" spans="3:33">
      <c r="C195" s="42"/>
      <c r="D195" s="42"/>
      <c r="E195" s="42"/>
      <c r="F195" s="42"/>
      <c r="G195" s="42"/>
      <c r="H195" s="42"/>
      <c r="I195"/>
      <c r="J195"/>
      <c r="K195"/>
      <c r="L195"/>
      <c r="M195"/>
      <c r="N195"/>
      <c r="O195"/>
      <c r="P195"/>
      <c r="Q195"/>
      <c r="R195"/>
      <c r="S195"/>
      <c r="T195"/>
      <c r="U195"/>
      <c r="V195"/>
      <c r="W195"/>
      <c r="X195"/>
      <c r="Y195"/>
      <c r="Z195"/>
      <c r="AA195"/>
      <c r="AB195"/>
      <c r="AC195"/>
      <c r="AD195"/>
      <c r="AE195"/>
      <c r="AF195" s="42"/>
      <c r="AG195" s="406"/>
    </row>
    <row r="196" spans="3:33">
      <c r="C196" s="42"/>
      <c r="D196" s="42"/>
      <c r="E196" s="42"/>
      <c r="F196" s="42"/>
      <c r="G196" s="42"/>
      <c r="H196" s="42"/>
      <c r="I196"/>
      <c r="J196"/>
      <c r="K196"/>
      <c r="L196"/>
      <c r="M196"/>
      <c r="N196"/>
      <c r="O196"/>
      <c r="P196"/>
      <c r="Q196"/>
      <c r="R196"/>
      <c r="S196"/>
      <c r="T196"/>
      <c r="U196"/>
      <c r="V196"/>
      <c r="W196"/>
      <c r="X196"/>
      <c r="Y196"/>
      <c r="Z196"/>
      <c r="AA196"/>
      <c r="AB196"/>
      <c r="AC196"/>
      <c r="AD196"/>
      <c r="AE196"/>
      <c r="AF196" s="42"/>
      <c r="AG196" s="406"/>
    </row>
    <row r="197" spans="3:33">
      <c r="C197" s="42"/>
      <c r="D197" s="42"/>
      <c r="E197" s="42"/>
      <c r="F197" s="42"/>
      <c r="G197" s="42"/>
      <c r="H197" s="42"/>
      <c r="I197"/>
      <c r="J197"/>
      <c r="K197"/>
      <c r="L197"/>
      <c r="M197"/>
      <c r="N197"/>
      <c r="O197"/>
      <c r="P197"/>
      <c r="Q197"/>
      <c r="R197"/>
      <c r="S197"/>
      <c r="T197"/>
      <c r="U197"/>
      <c r="V197"/>
      <c r="W197"/>
      <c r="X197"/>
      <c r="Y197"/>
      <c r="Z197"/>
      <c r="AA197"/>
      <c r="AB197"/>
      <c r="AC197"/>
      <c r="AD197"/>
      <c r="AE197"/>
      <c r="AF197" s="42"/>
      <c r="AG197" s="406"/>
    </row>
    <row r="198" spans="3:33">
      <c r="C198" s="42"/>
      <c r="D198" s="42"/>
      <c r="E198" s="42"/>
      <c r="F198" s="42"/>
      <c r="G198" s="42"/>
      <c r="H198" s="42"/>
      <c r="I198"/>
      <c r="J198"/>
      <c r="K198"/>
      <c r="L198"/>
      <c r="M198"/>
      <c r="N198"/>
      <c r="O198"/>
      <c r="P198"/>
      <c r="Q198"/>
      <c r="R198"/>
      <c r="S198"/>
      <c r="T198"/>
      <c r="U198"/>
      <c r="V198"/>
      <c r="W198"/>
      <c r="X198"/>
      <c r="Y198"/>
      <c r="Z198"/>
      <c r="AA198"/>
      <c r="AB198"/>
      <c r="AC198"/>
      <c r="AD198"/>
      <c r="AE198"/>
      <c r="AF198" s="42"/>
      <c r="AG198" s="406"/>
    </row>
    <row r="199" spans="3:33">
      <c r="C199" s="42"/>
      <c r="D199" s="42"/>
      <c r="E199" s="42"/>
      <c r="F199" s="42"/>
      <c r="G199" s="42"/>
      <c r="H199" s="42"/>
      <c r="I199"/>
      <c r="J199"/>
      <c r="K199"/>
      <c r="L199"/>
      <c r="M199"/>
      <c r="N199"/>
      <c r="O199"/>
      <c r="P199"/>
      <c r="Q199"/>
      <c r="R199"/>
      <c r="S199"/>
      <c r="T199"/>
      <c r="U199"/>
      <c r="V199"/>
      <c r="W199"/>
      <c r="X199"/>
      <c r="Y199"/>
      <c r="Z199"/>
      <c r="AA199"/>
      <c r="AB199"/>
      <c r="AC199"/>
      <c r="AD199"/>
      <c r="AE199"/>
      <c r="AF199" s="42"/>
      <c r="AG199" s="406"/>
    </row>
    <row r="200" spans="3:33">
      <c r="C200" s="42"/>
      <c r="D200" s="42"/>
      <c r="E200" s="42"/>
      <c r="F200" s="42"/>
      <c r="G200" s="42"/>
      <c r="H200" s="42"/>
      <c r="I200"/>
      <c r="J200"/>
      <c r="K200"/>
      <c r="L200"/>
      <c r="M200"/>
      <c r="N200"/>
      <c r="O200"/>
      <c r="P200"/>
      <c r="Q200"/>
      <c r="R200"/>
      <c r="S200"/>
      <c r="T200"/>
      <c r="U200"/>
      <c r="V200"/>
      <c r="W200"/>
      <c r="X200"/>
      <c r="Y200"/>
      <c r="Z200"/>
      <c r="AA200"/>
      <c r="AB200"/>
      <c r="AC200"/>
      <c r="AD200"/>
      <c r="AE200"/>
      <c r="AF200" s="42"/>
      <c r="AG200" s="406"/>
    </row>
    <row r="201" spans="3:33">
      <c r="C201" s="42"/>
      <c r="D201" s="42"/>
      <c r="E201" s="42"/>
      <c r="F201" s="42"/>
      <c r="G201" s="42"/>
      <c r="H201" s="42"/>
      <c r="I201"/>
      <c r="J201"/>
      <c r="K201"/>
      <c r="L201"/>
      <c r="M201"/>
      <c r="N201"/>
      <c r="O201"/>
      <c r="P201"/>
      <c r="Q201"/>
      <c r="R201"/>
      <c r="S201"/>
      <c r="T201"/>
      <c r="U201"/>
      <c r="V201"/>
      <c r="W201"/>
      <c r="X201"/>
      <c r="Y201"/>
      <c r="Z201"/>
      <c r="AA201"/>
      <c r="AB201"/>
      <c r="AC201"/>
      <c r="AD201"/>
      <c r="AE201"/>
      <c r="AF201" s="42"/>
      <c r="AG201" s="406"/>
    </row>
    <row r="202" spans="3:33">
      <c r="C202" s="42"/>
      <c r="D202" s="42"/>
      <c r="E202" s="42"/>
      <c r="F202" s="42"/>
      <c r="G202" s="42"/>
      <c r="H202" s="42"/>
      <c r="I202"/>
      <c r="J202"/>
      <c r="K202"/>
      <c r="L202"/>
      <c r="M202"/>
      <c r="N202"/>
      <c r="O202"/>
      <c r="P202"/>
      <c r="Q202"/>
      <c r="R202"/>
      <c r="S202"/>
      <c r="T202"/>
      <c r="U202"/>
      <c r="V202"/>
      <c r="W202"/>
      <c r="X202"/>
      <c r="Y202"/>
      <c r="Z202"/>
      <c r="AA202"/>
      <c r="AB202"/>
      <c r="AC202"/>
      <c r="AD202"/>
      <c r="AE202"/>
      <c r="AF202" s="42"/>
      <c r="AG202" s="406"/>
    </row>
    <row r="203" spans="3:33">
      <c r="C203" s="42"/>
      <c r="D203" s="42"/>
      <c r="E203" s="42"/>
      <c r="F203" s="42"/>
      <c r="G203" s="42"/>
      <c r="H203" s="42"/>
      <c r="I203"/>
      <c r="J203"/>
      <c r="K203"/>
      <c r="L203"/>
      <c r="M203"/>
      <c r="N203"/>
      <c r="O203"/>
      <c r="P203"/>
      <c r="Q203"/>
      <c r="R203"/>
      <c r="S203"/>
      <c r="T203"/>
      <c r="U203"/>
      <c r="V203"/>
      <c r="W203"/>
      <c r="X203"/>
      <c r="Y203"/>
      <c r="Z203"/>
      <c r="AA203"/>
      <c r="AB203"/>
      <c r="AC203"/>
      <c r="AD203"/>
      <c r="AE203"/>
      <c r="AF203" s="42"/>
      <c r="AG203" s="406"/>
    </row>
    <row r="204" spans="3:33">
      <c r="C204" s="42"/>
      <c r="D204" s="42"/>
      <c r="E204" s="42"/>
      <c r="F204" s="42"/>
      <c r="G204" s="42"/>
      <c r="H204" s="42"/>
      <c r="I204"/>
      <c r="J204"/>
      <c r="K204"/>
      <c r="L204"/>
      <c r="M204"/>
      <c r="N204"/>
      <c r="O204"/>
      <c r="P204"/>
      <c r="Q204"/>
      <c r="R204"/>
      <c r="S204"/>
      <c r="T204"/>
      <c r="U204"/>
      <c r="V204"/>
      <c r="W204"/>
      <c r="X204"/>
      <c r="Y204"/>
      <c r="Z204"/>
      <c r="AA204"/>
      <c r="AB204"/>
      <c r="AC204"/>
      <c r="AD204"/>
      <c r="AE204"/>
      <c r="AF204" s="42"/>
      <c r="AG204" s="406"/>
    </row>
    <row r="205" spans="3:33">
      <c r="C205" s="42"/>
      <c r="D205" s="42"/>
      <c r="E205" s="42"/>
      <c r="F205" s="42"/>
      <c r="G205" s="42"/>
      <c r="H205" s="42"/>
      <c r="I205"/>
      <c r="J205"/>
      <c r="K205"/>
      <c r="L205"/>
      <c r="M205"/>
      <c r="N205"/>
      <c r="O205"/>
      <c r="P205"/>
      <c r="Q205"/>
      <c r="R205"/>
      <c r="S205"/>
      <c r="T205"/>
      <c r="U205"/>
      <c r="V205"/>
      <c r="W205"/>
      <c r="X205"/>
      <c r="Y205"/>
      <c r="Z205"/>
      <c r="AA205"/>
      <c r="AB205"/>
      <c r="AC205"/>
      <c r="AD205"/>
      <c r="AE205"/>
      <c r="AF205" s="42"/>
      <c r="AG205" s="406"/>
    </row>
    <row r="206" spans="3:33">
      <c r="C206" s="42"/>
      <c r="D206" s="42"/>
      <c r="E206" s="42"/>
      <c r="F206" s="42"/>
      <c r="G206" s="42"/>
      <c r="H206" s="42"/>
      <c r="I206"/>
      <c r="J206"/>
      <c r="K206"/>
      <c r="L206"/>
      <c r="M206"/>
      <c r="N206"/>
      <c r="O206"/>
      <c r="P206"/>
      <c r="Q206"/>
      <c r="R206"/>
      <c r="S206"/>
      <c r="T206"/>
      <c r="U206"/>
      <c r="V206"/>
      <c r="W206"/>
      <c r="X206"/>
      <c r="Y206"/>
      <c r="Z206"/>
      <c r="AA206"/>
      <c r="AB206"/>
      <c r="AC206"/>
      <c r="AD206"/>
      <c r="AE206"/>
      <c r="AF206" s="42"/>
      <c r="AG206" s="406"/>
    </row>
    <row r="207" spans="3:33">
      <c r="C207" s="42"/>
      <c r="D207" s="42"/>
      <c r="E207" s="42"/>
      <c r="F207" s="42"/>
      <c r="G207" s="42"/>
      <c r="H207" s="42"/>
      <c r="I207"/>
      <c r="J207"/>
      <c r="K207"/>
      <c r="L207"/>
      <c r="M207"/>
      <c r="N207"/>
      <c r="O207"/>
      <c r="P207"/>
      <c r="Q207"/>
      <c r="R207"/>
      <c r="S207"/>
      <c r="T207"/>
      <c r="U207"/>
      <c r="V207"/>
      <c r="W207"/>
      <c r="X207"/>
      <c r="Y207"/>
      <c r="Z207"/>
      <c r="AA207"/>
      <c r="AB207"/>
      <c r="AC207"/>
      <c r="AD207"/>
      <c r="AE207"/>
      <c r="AF207" s="42"/>
      <c r="AG207" s="406"/>
    </row>
    <row r="208" spans="3:33">
      <c r="C208" s="42"/>
      <c r="D208" s="42"/>
      <c r="E208" s="42"/>
      <c r="F208" s="42"/>
      <c r="G208" s="42"/>
      <c r="H208" s="42"/>
      <c r="I208"/>
      <c r="J208"/>
      <c r="K208"/>
      <c r="L208"/>
      <c r="M208"/>
      <c r="N208"/>
      <c r="O208"/>
      <c r="P208"/>
      <c r="Q208"/>
      <c r="R208"/>
      <c r="S208"/>
      <c r="T208"/>
      <c r="U208"/>
      <c r="V208"/>
      <c r="W208"/>
      <c r="X208"/>
      <c r="Y208"/>
      <c r="Z208"/>
      <c r="AA208"/>
      <c r="AB208"/>
      <c r="AC208"/>
      <c r="AD208"/>
      <c r="AE208"/>
      <c r="AF208" s="42"/>
      <c r="AG208" s="406"/>
    </row>
    <row r="209" spans="3:33">
      <c r="C209" s="42"/>
      <c r="D209" s="42"/>
      <c r="E209" s="42"/>
      <c r="F209" s="42"/>
      <c r="G209" s="42"/>
      <c r="H209" s="42"/>
      <c r="I209"/>
      <c r="J209"/>
      <c r="K209"/>
      <c r="L209"/>
      <c r="M209"/>
      <c r="N209"/>
      <c r="O209"/>
      <c r="P209"/>
      <c r="Q209"/>
      <c r="R209"/>
      <c r="S209"/>
      <c r="T209"/>
      <c r="U209"/>
      <c r="V209"/>
      <c r="W209"/>
      <c r="X209"/>
      <c r="Y209"/>
      <c r="Z209"/>
      <c r="AA209"/>
      <c r="AB209"/>
      <c r="AC209"/>
      <c r="AD209"/>
      <c r="AE209"/>
      <c r="AF209" s="42"/>
      <c r="AG209" s="406"/>
    </row>
    <row r="210" spans="3:33">
      <c r="C210" s="42"/>
      <c r="D210" s="42"/>
      <c r="E210" s="42"/>
      <c r="F210" s="42"/>
      <c r="G210" s="42"/>
      <c r="H210" s="42"/>
      <c r="I210"/>
      <c r="J210"/>
      <c r="K210"/>
      <c r="L210"/>
      <c r="M210"/>
      <c r="N210"/>
      <c r="O210"/>
      <c r="P210"/>
      <c r="Q210"/>
      <c r="R210"/>
      <c r="S210"/>
      <c r="T210"/>
      <c r="U210"/>
      <c r="V210"/>
      <c r="W210"/>
      <c r="X210"/>
      <c r="Y210"/>
      <c r="Z210"/>
      <c r="AA210"/>
      <c r="AB210"/>
      <c r="AC210"/>
      <c r="AD210"/>
      <c r="AE210"/>
      <c r="AF210" s="42"/>
      <c r="AG210" s="406"/>
    </row>
    <row r="211" spans="3:33">
      <c r="C211" s="42"/>
      <c r="D211" s="42"/>
      <c r="E211" s="42"/>
      <c r="F211" s="42"/>
      <c r="G211" s="42"/>
      <c r="H211" s="42"/>
      <c r="I211"/>
      <c r="J211"/>
      <c r="K211"/>
      <c r="L211"/>
      <c r="M211"/>
      <c r="N211"/>
      <c r="O211"/>
      <c r="P211"/>
      <c r="Q211"/>
      <c r="R211"/>
      <c r="S211"/>
      <c r="T211"/>
      <c r="U211"/>
      <c r="V211"/>
      <c r="W211"/>
      <c r="X211"/>
      <c r="Y211"/>
      <c r="Z211"/>
      <c r="AA211"/>
      <c r="AB211"/>
      <c r="AC211"/>
      <c r="AD211"/>
      <c r="AE211"/>
      <c r="AF211" s="42"/>
      <c r="AG211" s="406"/>
    </row>
    <row r="212" spans="3:33">
      <c r="C212" s="42"/>
      <c r="D212" s="42"/>
      <c r="E212" s="42"/>
      <c r="F212" s="42"/>
      <c r="G212" s="42"/>
      <c r="H212" s="42"/>
      <c r="I212"/>
      <c r="J212"/>
      <c r="K212"/>
      <c r="L212"/>
      <c r="M212"/>
      <c r="N212"/>
      <c r="O212"/>
      <c r="P212"/>
      <c r="Q212"/>
      <c r="R212"/>
      <c r="S212"/>
      <c r="T212"/>
      <c r="U212"/>
      <c r="V212"/>
      <c r="W212"/>
      <c r="X212"/>
      <c r="Y212"/>
      <c r="Z212"/>
      <c r="AA212"/>
      <c r="AB212"/>
      <c r="AC212"/>
      <c r="AD212"/>
      <c r="AE212"/>
      <c r="AF212" s="42"/>
      <c r="AG212" s="406"/>
    </row>
    <row r="213" spans="3:33">
      <c r="C213" s="42"/>
      <c r="D213" s="42"/>
      <c r="E213" s="42"/>
      <c r="F213" s="42"/>
      <c r="G213" s="42"/>
      <c r="H213" s="42"/>
      <c r="I213"/>
      <c r="J213"/>
      <c r="K213"/>
      <c r="L213"/>
      <c r="M213"/>
      <c r="N213"/>
      <c r="O213"/>
      <c r="P213"/>
      <c r="Q213"/>
      <c r="R213"/>
      <c r="S213"/>
      <c r="T213"/>
      <c r="U213"/>
      <c r="V213"/>
      <c r="W213"/>
      <c r="X213"/>
      <c r="Y213"/>
      <c r="Z213"/>
      <c r="AA213"/>
      <c r="AB213"/>
      <c r="AC213"/>
      <c r="AD213"/>
      <c r="AE213"/>
      <c r="AF213" s="42"/>
      <c r="AG213" s="406"/>
    </row>
    <row r="214" spans="3:33">
      <c r="C214" s="42"/>
      <c r="D214" s="42"/>
      <c r="E214" s="42"/>
      <c r="F214" s="42"/>
      <c r="G214" s="42"/>
      <c r="H214" s="42"/>
      <c r="I214"/>
      <c r="J214"/>
      <c r="K214"/>
      <c r="L214"/>
      <c r="M214"/>
      <c r="N214"/>
      <c r="O214"/>
      <c r="P214"/>
      <c r="Q214"/>
      <c r="R214"/>
      <c r="S214"/>
      <c r="T214"/>
      <c r="U214"/>
      <c r="V214"/>
      <c r="W214"/>
      <c r="X214"/>
      <c r="Y214"/>
      <c r="Z214"/>
      <c r="AA214"/>
      <c r="AB214"/>
      <c r="AC214"/>
      <c r="AD214"/>
      <c r="AE214"/>
      <c r="AF214" s="42"/>
      <c r="AG214" s="406"/>
    </row>
    <row r="215" spans="3:33">
      <c r="C215" s="42"/>
      <c r="D215" s="42"/>
      <c r="E215" s="42"/>
      <c r="F215" s="42"/>
      <c r="G215" s="42"/>
      <c r="H215" s="42"/>
      <c r="I215"/>
      <c r="J215"/>
      <c r="K215"/>
      <c r="L215"/>
      <c r="M215"/>
      <c r="N215"/>
      <c r="O215"/>
      <c r="P215"/>
      <c r="Q215"/>
      <c r="R215"/>
      <c r="S215"/>
      <c r="T215"/>
      <c r="U215"/>
      <c r="V215"/>
      <c r="W215"/>
      <c r="X215"/>
      <c r="Y215"/>
      <c r="Z215"/>
      <c r="AA215"/>
      <c r="AB215"/>
      <c r="AC215"/>
      <c r="AD215"/>
      <c r="AE215"/>
      <c r="AF215" s="42"/>
      <c r="AG215" s="406"/>
    </row>
    <row r="216" spans="3:33">
      <c r="C216" s="42"/>
      <c r="D216" s="42"/>
      <c r="E216" s="42"/>
      <c r="F216" s="42"/>
      <c r="G216" s="42"/>
      <c r="H216" s="42"/>
      <c r="I216"/>
      <c r="J216"/>
      <c r="K216"/>
      <c r="L216"/>
      <c r="M216"/>
      <c r="N216"/>
      <c r="O216"/>
      <c r="P216"/>
      <c r="Q216"/>
      <c r="R216"/>
      <c r="S216"/>
      <c r="T216"/>
      <c r="U216"/>
      <c r="V216"/>
      <c r="W216"/>
      <c r="X216"/>
      <c r="Y216"/>
      <c r="Z216"/>
      <c r="AA216"/>
      <c r="AB216"/>
      <c r="AC216"/>
      <c r="AD216"/>
      <c r="AE216"/>
      <c r="AF216" s="42"/>
      <c r="AG216" s="406"/>
    </row>
    <row r="217" spans="3:33">
      <c r="C217" s="42"/>
      <c r="D217" s="42"/>
      <c r="E217" s="42"/>
      <c r="F217" s="42"/>
      <c r="G217" s="42"/>
      <c r="H217" s="42"/>
      <c r="I217"/>
      <c r="J217"/>
      <c r="K217"/>
      <c r="L217"/>
      <c r="M217"/>
      <c r="N217"/>
      <c r="O217"/>
      <c r="P217"/>
      <c r="Q217"/>
      <c r="R217"/>
      <c r="S217"/>
      <c r="T217"/>
      <c r="U217"/>
      <c r="V217"/>
      <c r="W217"/>
      <c r="X217"/>
      <c r="Y217"/>
      <c r="Z217"/>
      <c r="AA217"/>
      <c r="AB217"/>
      <c r="AC217"/>
      <c r="AD217"/>
      <c r="AE217"/>
      <c r="AF217" s="42"/>
      <c r="AG217" s="406"/>
    </row>
    <row r="218" spans="3:33">
      <c r="C218" s="42"/>
      <c r="D218" s="42"/>
      <c r="E218" s="42"/>
      <c r="F218" s="42"/>
      <c r="G218" s="42"/>
      <c r="H218" s="42"/>
      <c r="I218"/>
      <c r="J218"/>
      <c r="K218"/>
      <c r="L218"/>
      <c r="M218"/>
      <c r="N218"/>
      <c r="O218"/>
      <c r="P218"/>
      <c r="Q218"/>
      <c r="R218"/>
      <c r="S218"/>
      <c r="T218"/>
      <c r="U218"/>
      <c r="V218"/>
      <c r="W218"/>
      <c r="X218"/>
      <c r="Y218"/>
      <c r="Z218"/>
      <c r="AA218"/>
      <c r="AB218"/>
      <c r="AC218"/>
      <c r="AD218"/>
      <c r="AE218"/>
      <c r="AF218" s="42"/>
      <c r="AG218" s="406"/>
    </row>
    <row r="219" spans="3:33">
      <c r="C219" s="42"/>
      <c r="D219" s="42"/>
      <c r="E219" s="42"/>
      <c r="F219" s="42"/>
      <c r="G219" s="42"/>
      <c r="H219" s="42"/>
      <c r="I219"/>
      <c r="J219"/>
      <c r="K219"/>
      <c r="L219"/>
      <c r="M219"/>
      <c r="N219"/>
      <c r="O219"/>
      <c r="P219"/>
      <c r="Q219"/>
      <c r="R219"/>
      <c r="S219"/>
      <c r="T219"/>
      <c r="U219"/>
      <c r="V219"/>
      <c r="W219"/>
      <c r="X219"/>
      <c r="Y219"/>
      <c r="Z219"/>
      <c r="AA219"/>
      <c r="AB219"/>
      <c r="AC219"/>
      <c r="AD219"/>
      <c r="AE219"/>
      <c r="AF219" s="42"/>
      <c r="AG219" s="406"/>
    </row>
    <row r="220" spans="3:33">
      <c r="C220" s="42"/>
      <c r="D220" s="42"/>
      <c r="E220" s="42"/>
      <c r="F220" s="42"/>
      <c r="G220" s="42"/>
      <c r="H220" s="42"/>
      <c r="I220"/>
      <c r="J220"/>
      <c r="K220"/>
      <c r="L220"/>
      <c r="M220"/>
      <c r="N220"/>
      <c r="O220"/>
      <c r="P220"/>
      <c r="Q220"/>
      <c r="R220"/>
      <c r="S220"/>
      <c r="T220"/>
      <c r="U220"/>
      <c r="V220"/>
      <c r="W220"/>
      <c r="X220"/>
      <c r="Y220"/>
      <c r="Z220"/>
      <c r="AA220"/>
      <c r="AB220"/>
      <c r="AC220"/>
      <c r="AD220"/>
      <c r="AE220"/>
      <c r="AF220" s="42"/>
      <c r="AG220" s="406"/>
    </row>
    <row r="221" spans="3:33">
      <c r="C221" s="439"/>
      <c r="D221" s="434"/>
      <c r="E221" s="434"/>
      <c r="F221" s="434"/>
      <c r="G221" s="434"/>
      <c r="H221" s="434"/>
      <c r="I221" s="414"/>
      <c r="J221" s="414"/>
      <c r="K221" s="414"/>
      <c r="L221" s="414"/>
      <c r="M221" s="414"/>
      <c r="N221" s="414"/>
      <c r="O221" s="414"/>
      <c r="P221" s="414"/>
      <c r="Q221" s="414"/>
      <c r="R221" s="414"/>
      <c r="S221" s="414"/>
      <c r="T221" s="414"/>
      <c r="U221" s="414"/>
      <c r="V221" s="414"/>
      <c r="W221" s="414"/>
      <c r="X221" s="414"/>
      <c r="Y221" s="414"/>
      <c r="Z221" s="414"/>
      <c r="AA221" s="414"/>
      <c r="AB221" s="414"/>
      <c r="AC221" s="414"/>
      <c r="AD221" s="414"/>
      <c r="AE221" s="415"/>
      <c r="AF221" s="426"/>
      <c r="AG221" s="406"/>
    </row>
    <row r="222" spans="3:33">
      <c r="C222" s="440"/>
      <c r="D222" s="435"/>
      <c r="E222" s="435"/>
      <c r="F222" s="435"/>
      <c r="G222" s="435"/>
      <c r="H222" s="435"/>
      <c r="I222" s="412"/>
      <c r="J222" s="412"/>
      <c r="K222" s="412"/>
      <c r="L222" s="412"/>
      <c r="M222" s="412"/>
      <c r="N222" s="412"/>
      <c r="O222" s="412"/>
      <c r="P222" s="412"/>
      <c r="Q222" s="412"/>
      <c r="R222" s="412"/>
      <c r="S222" s="412"/>
      <c r="T222" s="412"/>
      <c r="U222" s="412"/>
      <c r="V222" s="412"/>
      <c r="W222" s="412"/>
      <c r="X222" s="412"/>
      <c r="Y222" s="412"/>
      <c r="Z222" s="412"/>
      <c r="AA222" s="412"/>
      <c r="AB222" s="412"/>
      <c r="AC222" s="412"/>
      <c r="AD222" s="412"/>
      <c r="AE222" s="413"/>
      <c r="AF222" s="426"/>
      <c r="AG222" s="406"/>
    </row>
    <row r="223" spans="3:33">
      <c r="C223" s="439"/>
      <c r="D223" s="434"/>
      <c r="E223" s="434"/>
      <c r="F223" s="434"/>
      <c r="G223" s="434"/>
      <c r="H223" s="434"/>
      <c r="I223" s="414"/>
      <c r="J223" s="414"/>
      <c r="K223" s="414"/>
      <c r="L223" s="414"/>
      <c r="M223" s="414"/>
      <c r="N223" s="414"/>
      <c r="O223" s="414"/>
      <c r="P223" s="414"/>
      <c r="Q223" s="414"/>
      <c r="R223" s="414"/>
      <c r="S223" s="414"/>
      <c r="T223" s="414"/>
      <c r="U223" s="414"/>
      <c r="V223" s="414"/>
      <c r="W223" s="414"/>
      <c r="X223" s="414"/>
      <c r="Y223" s="414"/>
      <c r="Z223" s="414"/>
      <c r="AA223" s="414"/>
      <c r="AB223" s="414"/>
      <c r="AC223" s="414"/>
      <c r="AD223" s="414"/>
      <c r="AE223" s="415"/>
      <c r="AF223" s="426"/>
      <c r="AG223" s="406"/>
    </row>
    <row r="224" spans="3:33">
      <c r="C224" s="440"/>
      <c r="D224" s="435"/>
      <c r="E224" s="435"/>
      <c r="F224" s="435"/>
      <c r="G224" s="435"/>
      <c r="H224" s="435"/>
      <c r="I224" s="412"/>
      <c r="J224" s="412"/>
      <c r="K224" s="412"/>
      <c r="L224" s="412"/>
      <c r="M224" s="412"/>
      <c r="N224" s="412"/>
      <c r="O224" s="412"/>
      <c r="P224" s="412"/>
      <c r="Q224" s="412"/>
      <c r="R224" s="412"/>
      <c r="S224" s="412"/>
      <c r="T224" s="412"/>
      <c r="U224" s="412"/>
      <c r="V224" s="412"/>
      <c r="W224" s="412"/>
      <c r="X224" s="412"/>
      <c r="Y224" s="412"/>
      <c r="Z224" s="412"/>
      <c r="AA224" s="412"/>
      <c r="AB224" s="412"/>
      <c r="AC224" s="412"/>
      <c r="AD224" s="412"/>
      <c r="AE224" s="413"/>
      <c r="AF224" s="426"/>
      <c r="AG224" s="406"/>
    </row>
    <row r="225" spans="3:33">
      <c r="C225" s="439"/>
      <c r="D225" s="434"/>
      <c r="E225" s="434"/>
      <c r="F225" s="434"/>
      <c r="G225" s="434"/>
      <c r="H225" s="434"/>
      <c r="I225" s="414"/>
      <c r="J225" s="414"/>
      <c r="K225" s="414"/>
      <c r="L225" s="414"/>
      <c r="M225" s="414"/>
      <c r="N225" s="414"/>
      <c r="O225" s="414"/>
      <c r="P225" s="414"/>
      <c r="Q225" s="414"/>
      <c r="R225" s="414"/>
      <c r="S225" s="414"/>
      <c r="T225" s="414"/>
      <c r="U225" s="414"/>
      <c r="V225" s="414"/>
      <c r="W225" s="414"/>
      <c r="X225" s="414"/>
      <c r="Y225" s="414"/>
      <c r="Z225" s="414"/>
      <c r="AA225" s="414"/>
      <c r="AB225" s="414"/>
      <c r="AC225" s="414"/>
      <c r="AD225" s="414"/>
      <c r="AE225" s="415"/>
      <c r="AF225" s="426"/>
      <c r="AG225" s="406"/>
    </row>
    <row r="226" spans="3:33">
      <c r="C226" s="440"/>
      <c r="D226" s="435"/>
      <c r="E226" s="435"/>
      <c r="F226" s="435"/>
      <c r="G226" s="435"/>
      <c r="H226" s="435"/>
      <c r="I226" s="412"/>
      <c r="J226" s="412"/>
      <c r="K226" s="412"/>
      <c r="L226" s="412"/>
      <c r="M226" s="412"/>
      <c r="N226" s="412"/>
      <c r="O226" s="412"/>
      <c r="P226" s="412"/>
      <c r="Q226" s="412"/>
      <c r="R226" s="412"/>
      <c r="S226" s="412"/>
      <c r="T226" s="412"/>
      <c r="U226" s="412"/>
      <c r="V226" s="412"/>
      <c r="W226" s="412"/>
      <c r="X226" s="412"/>
      <c r="Y226" s="412"/>
      <c r="Z226" s="412"/>
      <c r="AA226" s="412"/>
      <c r="AB226" s="412"/>
      <c r="AC226" s="412"/>
      <c r="AD226" s="412"/>
      <c r="AE226" s="413"/>
      <c r="AF226" s="426"/>
      <c r="AG226" s="406"/>
    </row>
    <row r="227" spans="3:33">
      <c r="C227" s="439"/>
      <c r="D227" s="434"/>
      <c r="E227" s="434"/>
      <c r="F227" s="434"/>
      <c r="G227" s="434"/>
      <c r="H227" s="434"/>
      <c r="I227" s="414"/>
      <c r="J227" s="414"/>
      <c r="K227" s="414"/>
      <c r="L227" s="414"/>
      <c r="M227" s="414"/>
      <c r="N227" s="414"/>
      <c r="O227" s="414"/>
      <c r="P227" s="414"/>
      <c r="Q227" s="414"/>
      <c r="R227" s="414"/>
      <c r="S227" s="414"/>
      <c r="T227" s="414"/>
      <c r="U227" s="414"/>
      <c r="V227" s="414"/>
      <c r="W227" s="414"/>
      <c r="X227" s="414"/>
      <c r="Y227" s="414"/>
      <c r="Z227" s="414"/>
      <c r="AA227" s="414"/>
      <c r="AB227" s="414"/>
      <c r="AC227" s="414"/>
      <c r="AD227" s="414"/>
      <c r="AE227" s="415"/>
      <c r="AF227" s="426"/>
      <c r="AG227" s="406"/>
    </row>
    <row r="228" spans="3:33">
      <c r="C228" s="440"/>
      <c r="D228" s="435"/>
      <c r="E228" s="435"/>
      <c r="F228" s="435"/>
      <c r="G228" s="435"/>
      <c r="H228" s="435"/>
      <c r="I228" s="412"/>
      <c r="J228" s="412"/>
      <c r="K228" s="412"/>
      <c r="L228" s="412"/>
      <c r="M228" s="412"/>
      <c r="N228" s="412"/>
      <c r="O228" s="412"/>
      <c r="P228" s="412"/>
      <c r="Q228" s="412"/>
      <c r="R228" s="412"/>
      <c r="S228" s="412"/>
      <c r="T228" s="412"/>
      <c r="U228" s="412"/>
      <c r="V228" s="412"/>
      <c r="W228" s="412"/>
      <c r="X228" s="412"/>
      <c r="Y228" s="412"/>
      <c r="Z228" s="412"/>
      <c r="AA228" s="412"/>
      <c r="AB228" s="412"/>
      <c r="AC228" s="412"/>
      <c r="AD228" s="412"/>
      <c r="AE228" s="413"/>
      <c r="AF228" s="426"/>
      <c r="AG228" s="406"/>
    </row>
    <row r="229" spans="3:33">
      <c r="C229" s="439"/>
      <c r="D229" s="434"/>
      <c r="E229" s="434"/>
      <c r="F229" s="434"/>
      <c r="G229" s="434"/>
      <c r="H229" s="434"/>
      <c r="I229" s="414"/>
      <c r="J229" s="414"/>
      <c r="K229" s="414"/>
      <c r="L229" s="414"/>
      <c r="M229" s="414"/>
      <c r="N229" s="414"/>
      <c r="O229" s="414"/>
      <c r="P229" s="414"/>
      <c r="Q229" s="414"/>
      <c r="R229" s="414"/>
      <c r="S229" s="414"/>
      <c r="T229" s="414"/>
      <c r="U229" s="414"/>
      <c r="V229" s="414"/>
      <c r="W229" s="414"/>
      <c r="X229" s="414"/>
      <c r="Y229" s="414"/>
      <c r="Z229" s="414"/>
      <c r="AA229" s="414"/>
      <c r="AB229" s="414"/>
      <c r="AC229" s="414"/>
      <c r="AD229" s="414"/>
      <c r="AE229" s="415"/>
      <c r="AF229" s="426"/>
      <c r="AG229" s="406"/>
    </row>
    <row r="230" spans="3:33">
      <c r="C230" s="440"/>
      <c r="D230" s="435"/>
      <c r="E230" s="435"/>
      <c r="F230" s="435"/>
      <c r="G230" s="435"/>
      <c r="H230" s="435"/>
      <c r="I230" s="412"/>
      <c r="J230" s="412"/>
      <c r="K230" s="412"/>
      <c r="L230" s="412"/>
      <c r="M230" s="412"/>
      <c r="N230" s="412"/>
      <c r="O230" s="412"/>
      <c r="P230" s="412"/>
      <c r="Q230" s="412"/>
      <c r="R230" s="412"/>
      <c r="S230" s="412"/>
      <c r="T230" s="412"/>
      <c r="U230" s="412"/>
      <c r="V230" s="412"/>
      <c r="W230" s="412"/>
      <c r="X230" s="412"/>
      <c r="Y230" s="412"/>
      <c r="Z230" s="412"/>
      <c r="AA230" s="412"/>
      <c r="AB230" s="412"/>
      <c r="AC230" s="412"/>
      <c r="AD230" s="412"/>
      <c r="AE230" s="413"/>
      <c r="AF230" s="426"/>
      <c r="AG230" s="406"/>
    </row>
    <row r="231" spans="3:33">
      <c r="C231" s="439"/>
      <c r="D231" s="434"/>
      <c r="E231" s="434"/>
      <c r="F231" s="434"/>
      <c r="G231" s="434"/>
      <c r="H231" s="434"/>
      <c r="I231" s="414"/>
      <c r="J231" s="414"/>
      <c r="K231" s="414"/>
      <c r="L231" s="414"/>
      <c r="M231" s="414"/>
      <c r="N231" s="414"/>
      <c r="O231" s="414"/>
      <c r="P231" s="414"/>
      <c r="Q231" s="414"/>
      <c r="R231" s="414"/>
      <c r="S231" s="414"/>
      <c r="T231" s="414"/>
      <c r="U231" s="414"/>
      <c r="V231" s="414"/>
      <c r="W231" s="414"/>
      <c r="X231" s="414"/>
      <c r="Y231" s="414"/>
      <c r="Z231" s="414"/>
      <c r="AA231" s="414"/>
      <c r="AB231" s="414"/>
      <c r="AC231" s="414"/>
      <c r="AD231" s="414"/>
      <c r="AE231" s="415"/>
      <c r="AF231" s="426"/>
      <c r="AG231" s="406"/>
    </row>
    <row r="232" spans="3:33">
      <c r="C232" s="440"/>
      <c r="D232" s="435"/>
      <c r="E232" s="435"/>
      <c r="F232" s="435"/>
      <c r="G232" s="435"/>
      <c r="H232" s="435"/>
      <c r="I232" s="412"/>
      <c r="J232" s="412"/>
      <c r="K232" s="412"/>
      <c r="L232" s="412"/>
      <c r="M232" s="412"/>
      <c r="N232" s="412"/>
      <c r="O232" s="412"/>
      <c r="P232" s="412"/>
      <c r="Q232" s="412"/>
      <c r="R232" s="412"/>
      <c r="S232" s="412"/>
      <c r="T232" s="412"/>
      <c r="U232" s="412"/>
      <c r="V232" s="412"/>
      <c r="W232" s="412"/>
      <c r="X232" s="412"/>
      <c r="Y232" s="412"/>
      <c r="Z232" s="412"/>
      <c r="AA232" s="412"/>
      <c r="AB232" s="412"/>
      <c r="AC232" s="412"/>
      <c r="AD232" s="412"/>
      <c r="AE232" s="413"/>
      <c r="AF232" s="426"/>
      <c r="AG232" s="406"/>
    </row>
    <row r="233" spans="3:33">
      <c r="C233" s="439"/>
      <c r="D233" s="434"/>
      <c r="E233" s="434"/>
      <c r="F233" s="434"/>
      <c r="G233" s="434"/>
      <c r="H233" s="434"/>
      <c r="I233" s="414"/>
      <c r="J233" s="414"/>
      <c r="K233" s="414"/>
      <c r="L233" s="414"/>
      <c r="M233" s="414"/>
      <c r="N233" s="414"/>
      <c r="O233" s="414"/>
      <c r="P233" s="414"/>
      <c r="Q233" s="414"/>
      <c r="R233" s="414"/>
      <c r="S233" s="414"/>
      <c r="T233" s="414"/>
      <c r="U233" s="414"/>
      <c r="V233" s="414"/>
      <c r="W233" s="414"/>
      <c r="X233" s="414"/>
      <c r="Y233" s="414"/>
      <c r="Z233" s="414"/>
      <c r="AA233" s="414"/>
      <c r="AB233" s="414"/>
      <c r="AC233" s="414"/>
      <c r="AD233" s="414"/>
      <c r="AE233" s="415"/>
      <c r="AF233" s="426"/>
      <c r="AG233" s="406"/>
    </row>
    <row r="234" spans="3:33">
      <c r="C234" s="440"/>
      <c r="D234" s="435"/>
      <c r="E234" s="435"/>
      <c r="F234" s="435"/>
      <c r="G234" s="435"/>
      <c r="H234" s="435"/>
      <c r="I234" s="412"/>
      <c r="J234" s="412"/>
      <c r="K234" s="412"/>
      <c r="L234" s="412"/>
      <c r="M234" s="412"/>
      <c r="N234" s="412"/>
      <c r="O234" s="412"/>
      <c r="P234" s="412"/>
      <c r="Q234" s="412"/>
      <c r="R234" s="412"/>
      <c r="S234" s="412"/>
      <c r="T234" s="412"/>
      <c r="U234" s="412"/>
      <c r="V234" s="412"/>
      <c r="W234" s="412"/>
      <c r="X234" s="412"/>
      <c r="Y234" s="412"/>
      <c r="Z234" s="412"/>
      <c r="AA234" s="412"/>
      <c r="AB234" s="412"/>
      <c r="AC234" s="412"/>
      <c r="AD234" s="412"/>
      <c r="AE234" s="413"/>
      <c r="AF234" s="426"/>
      <c r="AG234" s="406"/>
    </row>
    <row r="235" spans="3:33">
      <c r="C235" s="439"/>
      <c r="D235" s="434"/>
      <c r="E235" s="434"/>
      <c r="F235" s="434"/>
      <c r="G235" s="434"/>
      <c r="H235" s="434"/>
      <c r="I235" s="414"/>
      <c r="J235" s="414"/>
      <c r="K235" s="414"/>
      <c r="L235" s="414"/>
      <c r="M235" s="414"/>
      <c r="N235" s="414"/>
      <c r="O235" s="414"/>
      <c r="P235" s="414"/>
      <c r="Q235" s="414"/>
      <c r="R235" s="414"/>
      <c r="S235" s="414"/>
      <c r="T235" s="414"/>
      <c r="U235" s="414"/>
      <c r="V235" s="414"/>
      <c r="W235" s="414"/>
      <c r="X235" s="414"/>
      <c r="Y235" s="414"/>
      <c r="Z235" s="414"/>
      <c r="AA235" s="414"/>
      <c r="AB235" s="414"/>
      <c r="AC235" s="414"/>
      <c r="AD235" s="414"/>
      <c r="AE235" s="415"/>
      <c r="AF235" s="426"/>
      <c r="AG235" s="406"/>
    </row>
    <row r="236" spans="3:33">
      <c r="C236" s="440"/>
      <c r="D236" s="435"/>
      <c r="E236" s="435"/>
      <c r="F236" s="435"/>
      <c r="G236" s="435"/>
      <c r="H236" s="435"/>
      <c r="I236" s="412"/>
      <c r="J236" s="412"/>
      <c r="K236" s="412"/>
      <c r="L236" s="412"/>
      <c r="M236" s="412"/>
      <c r="N236" s="412"/>
      <c r="O236" s="412"/>
      <c r="P236" s="412"/>
      <c r="Q236" s="412"/>
      <c r="R236" s="412"/>
      <c r="S236" s="412"/>
      <c r="T236" s="412"/>
      <c r="U236" s="412"/>
      <c r="V236" s="412"/>
      <c r="W236" s="412"/>
      <c r="X236" s="412"/>
      <c r="Y236" s="412"/>
      <c r="Z236" s="412"/>
      <c r="AA236" s="412"/>
      <c r="AB236" s="412"/>
      <c r="AC236" s="412"/>
      <c r="AD236" s="412"/>
      <c r="AE236" s="413"/>
      <c r="AF236" s="426"/>
      <c r="AG236" s="406"/>
    </row>
    <row r="237" spans="3:33">
      <c r="C237" s="439"/>
      <c r="D237" s="434"/>
      <c r="E237" s="434"/>
      <c r="F237" s="434"/>
      <c r="G237" s="434"/>
      <c r="H237" s="434"/>
      <c r="I237" s="414"/>
      <c r="J237" s="414"/>
      <c r="K237" s="414"/>
      <c r="L237" s="414"/>
      <c r="M237" s="414"/>
      <c r="N237" s="414"/>
      <c r="O237" s="414"/>
      <c r="P237" s="414"/>
      <c r="Q237" s="414"/>
      <c r="R237" s="414"/>
      <c r="S237" s="414"/>
      <c r="T237" s="414"/>
      <c r="U237" s="414"/>
      <c r="V237" s="414"/>
      <c r="W237" s="414"/>
      <c r="X237" s="414"/>
      <c r="Y237" s="414"/>
      <c r="Z237" s="414"/>
      <c r="AA237" s="414"/>
      <c r="AB237" s="414"/>
      <c r="AC237" s="414"/>
      <c r="AD237" s="414"/>
      <c r="AE237" s="415"/>
      <c r="AF237" s="426"/>
      <c r="AG237" s="406"/>
    </row>
    <row r="238" spans="3:33">
      <c r="C238" s="440"/>
      <c r="D238" s="435"/>
      <c r="E238" s="435"/>
      <c r="F238" s="435"/>
      <c r="G238" s="435"/>
      <c r="H238" s="435"/>
      <c r="I238" s="412"/>
      <c r="J238" s="412"/>
      <c r="K238" s="412"/>
      <c r="L238" s="412"/>
      <c r="M238" s="412"/>
      <c r="N238" s="412"/>
      <c r="O238" s="412"/>
      <c r="P238" s="412"/>
      <c r="Q238" s="412"/>
      <c r="R238" s="412"/>
      <c r="S238" s="412"/>
      <c r="T238" s="412"/>
      <c r="U238" s="412"/>
      <c r="V238" s="412"/>
      <c r="W238" s="412"/>
      <c r="X238" s="412"/>
      <c r="Y238" s="412"/>
      <c r="Z238" s="412"/>
      <c r="AA238" s="412"/>
      <c r="AB238" s="412"/>
      <c r="AC238" s="412"/>
      <c r="AD238" s="412"/>
      <c r="AE238" s="413"/>
      <c r="AF238" s="426"/>
      <c r="AG238" s="406"/>
    </row>
    <row r="239" spans="3:33">
      <c r="C239" s="439"/>
      <c r="D239" s="434"/>
      <c r="E239" s="434"/>
      <c r="F239" s="434"/>
      <c r="G239" s="434"/>
      <c r="H239" s="434"/>
      <c r="I239" s="414"/>
      <c r="J239" s="414"/>
      <c r="K239" s="414"/>
      <c r="L239" s="414"/>
      <c r="M239" s="414"/>
      <c r="N239" s="414"/>
      <c r="O239" s="414"/>
      <c r="P239" s="414"/>
      <c r="Q239" s="414"/>
      <c r="R239" s="414"/>
      <c r="S239" s="414"/>
      <c r="T239" s="414"/>
      <c r="U239" s="414"/>
      <c r="V239" s="414"/>
      <c r="W239" s="414"/>
      <c r="X239" s="414"/>
      <c r="Y239" s="414"/>
      <c r="Z239" s="414"/>
      <c r="AA239" s="414"/>
      <c r="AB239" s="414"/>
      <c r="AC239" s="414"/>
      <c r="AD239" s="414"/>
      <c r="AE239" s="415"/>
      <c r="AF239" s="426"/>
      <c r="AG239" s="406"/>
    </row>
    <row r="240" spans="3:33">
      <c r="C240" s="440"/>
      <c r="D240" s="435"/>
      <c r="E240" s="435"/>
      <c r="F240" s="435"/>
      <c r="G240" s="435"/>
      <c r="H240" s="435"/>
      <c r="I240" s="412"/>
      <c r="J240" s="412"/>
      <c r="K240" s="412"/>
      <c r="L240" s="412"/>
      <c r="M240" s="412"/>
      <c r="N240" s="412"/>
      <c r="O240" s="412"/>
      <c r="P240" s="412"/>
      <c r="Q240" s="412"/>
      <c r="R240" s="412"/>
      <c r="S240" s="412"/>
      <c r="T240" s="412"/>
      <c r="U240" s="412"/>
      <c r="V240" s="412"/>
      <c r="W240" s="412"/>
      <c r="X240" s="412"/>
      <c r="Y240" s="412"/>
      <c r="Z240" s="412"/>
      <c r="AA240" s="412"/>
      <c r="AB240" s="412"/>
      <c r="AC240" s="412"/>
      <c r="AD240" s="412"/>
      <c r="AE240" s="413"/>
      <c r="AF240" s="426"/>
      <c r="AG240" s="406"/>
    </row>
    <row r="241" spans="3:33">
      <c r="C241" s="439"/>
      <c r="D241" s="434"/>
      <c r="E241" s="434"/>
      <c r="F241" s="434"/>
      <c r="G241" s="434"/>
      <c r="H241" s="434"/>
      <c r="I241" s="414"/>
      <c r="J241" s="414"/>
      <c r="K241" s="414"/>
      <c r="L241" s="414"/>
      <c r="M241" s="414"/>
      <c r="N241" s="414"/>
      <c r="O241" s="414"/>
      <c r="P241" s="414"/>
      <c r="Q241" s="414"/>
      <c r="R241" s="414"/>
      <c r="S241" s="414"/>
      <c r="T241" s="414"/>
      <c r="U241" s="414"/>
      <c r="V241" s="414"/>
      <c r="W241" s="414"/>
      <c r="X241" s="414"/>
      <c r="Y241" s="414"/>
      <c r="Z241" s="414"/>
      <c r="AA241" s="414"/>
      <c r="AB241" s="414"/>
      <c r="AC241" s="414"/>
      <c r="AD241" s="414"/>
      <c r="AE241" s="415"/>
      <c r="AF241" s="426"/>
      <c r="AG241" s="406"/>
    </row>
    <row r="242" spans="3:33">
      <c r="C242" s="440"/>
      <c r="D242" s="435"/>
      <c r="E242" s="435"/>
      <c r="F242" s="435"/>
      <c r="G242" s="435"/>
      <c r="H242" s="435"/>
      <c r="I242" s="412"/>
      <c r="J242" s="412"/>
      <c r="K242" s="412"/>
      <c r="L242" s="412"/>
      <c r="M242" s="412"/>
      <c r="N242" s="412"/>
      <c r="O242" s="412"/>
      <c r="P242" s="412"/>
      <c r="Q242" s="412"/>
      <c r="R242" s="412"/>
      <c r="S242" s="412"/>
      <c r="T242" s="412"/>
      <c r="U242" s="412"/>
      <c r="V242" s="412"/>
      <c r="W242" s="412"/>
      <c r="X242" s="412"/>
      <c r="Y242" s="412"/>
      <c r="Z242" s="412"/>
      <c r="AA242" s="412"/>
      <c r="AB242" s="412"/>
      <c r="AC242" s="412"/>
      <c r="AD242" s="412"/>
      <c r="AE242" s="413"/>
      <c r="AF242" s="426"/>
      <c r="AG242" s="406"/>
    </row>
    <row r="243" spans="3:33">
      <c r="C243" s="439"/>
      <c r="D243" s="434"/>
      <c r="E243" s="434"/>
      <c r="F243" s="434"/>
      <c r="G243" s="434"/>
      <c r="H243" s="434"/>
      <c r="I243" s="414"/>
      <c r="J243" s="414"/>
      <c r="K243" s="414"/>
      <c r="L243" s="414"/>
      <c r="M243" s="414"/>
      <c r="N243" s="414"/>
      <c r="O243" s="414"/>
      <c r="P243" s="414"/>
      <c r="Q243" s="414"/>
      <c r="R243" s="414"/>
      <c r="S243" s="414"/>
      <c r="T243" s="414"/>
      <c r="U243" s="414"/>
      <c r="V243" s="414"/>
      <c r="W243" s="414"/>
      <c r="X243" s="414"/>
      <c r="Y243" s="414"/>
      <c r="Z243" s="414"/>
      <c r="AA243" s="414"/>
      <c r="AB243" s="414"/>
      <c r="AC243" s="414"/>
      <c r="AD243" s="414"/>
      <c r="AE243" s="415"/>
      <c r="AF243" s="426"/>
      <c r="AG243" s="406"/>
    </row>
    <row r="244" spans="3:33">
      <c r="C244" s="440"/>
      <c r="D244" s="435"/>
      <c r="E244" s="435"/>
      <c r="F244" s="435"/>
      <c r="G244" s="435"/>
      <c r="H244" s="435"/>
      <c r="I244" s="412"/>
      <c r="J244" s="412"/>
      <c r="K244" s="412"/>
      <c r="L244" s="412"/>
      <c r="M244" s="412"/>
      <c r="N244" s="412"/>
      <c r="O244" s="412"/>
      <c r="P244" s="412"/>
      <c r="Q244" s="412"/>
      <c r="R244" s="412"/>
      <c r="S244" s="412"/>
      <c r="T244" s="412"/>
      <c r="U244" s="412"/>
      <c r="V244" s="412"/>
      <c r="W244" s="412"/>
      <c r="X244" s="412"/>
      <c r="Y244" s="412"/>
      <c r="Z244" s="412"/>
      <c r="AA244" s="412"/>
      <c r="AB244" s="412"/>
      <c r="AC244" s="412"/>
      <c r="AD244" s="412"/>
      <c r="AE244" s="413"/>
      <c r="AF244" s="426"/>
      <c r="AG244" s="406"/>
    </row>
    <row r="245" spans="3:33">
      <c r="C245" s="439"/>
      <c r="D245" s="434"/>
      <c r="E245" s="434"/>
      <c r="F245" s="434"/>
      <c r="G245" s="434"/>
      <c r="H245" s="434"/>
      <c r="I245" s="414"/>
      <c r="J245" s="414"/>
      <c r="K245" s="414"/>
      <c r="L245" s="414"/>
      <c r="M245" s="414"/>
      <c r="N245" s="414"/>
      <c r="O245" s="414"/>
      <c r="P245" s="414"/>
      <c r="Q245" s="414"/>
      <c r="R245" s="414"/>
      <c r="S245" s="414"/>
      <c r="T245" s="414"/>
      <c r="U245" s="414"/>
      <c r="V245" s="414"/>
      <c r="W245" s="414"/>
      <c r="X245" s="414"/>
      <c r="Y245" s="414"/>
      <c r="Z245" s="414"/>
      <c r="AA245" s="414"/>
      <c r="AB245" s="414"/>
      <c r="AC245" s="414"/>
      <c r="AD245" s="414"/>
      <c r="AE245" s="415"/>
      <c r="AF245" s="426"/>
      <c r="AG245" s="406"/>
    </row>
    <row r="246" spans="3:33">
      <c r="C246" s="440"/>
      <c r="D246" s="435"/>
      <c r="E246" s="435"/>
      <c r="F246" s="435"/>
      <c r="G246" s="435"/>
      <c r="H246" s="435"/>
      <c r="I246" s="412"/>
      <c r="J246" s="412"/>
      <c r="K246" s="412"/>
      <c r="L246" s="412"/>
      <c r="M246" s="412"/>
      <c r="N246" s="412"/>
      <c r="O246" s="412"/>
      <c r="P246" s="412"/>
      <c r="Q246" s="412"/>
      <c r="R246" s="412"/>
      <c r="S246" s="412"/>
      <c r="T246" s="412"/>
      <c r="U246" s="412"/>
      <c r="V246" s="412"/>
      <c r="W246" s="412"/>
      <c r="X246" s="412"/>
      <c r="Y246" s="412"/>
      <c r="Z246" s="412"/>
      <c r="AA246" s="412"/>
      <c r="AB246" s="412"/>
      <c r="AC246" s="412"/>
      <c r="AD246" s="412"/>
      <c r="AE246" s="413"/>
      <c r="AF246" s="426"/>
      <c r="AG246" s="406"/>
    </row>
    <row r="247" spans="3:33">
      <c r="C247" s="439"/>
      <c r="D247" s="434"/>
      <c r="E247" s="434"/>
      <c r="F247" s="434"/>
      <c r="G247" s="434"/>
      <c r="H247" s="434"/>
      <c r="I247" s="414"/>
      <c r="J247" s="414"/>
      <c r="K247" s="414"/>
      <c r="L247" s="414"/>
      <c r="M247" s="414"/>
      <c r="N247" s="414"/>
      <c r="O247" s="414"/>
      <c r="P247" s="414"/>
      <c r="Q247" s="414"/>
      <c r="R247" s="414"/>
      <c r="S247" s="414"/>
      <c r="T247" s="414"/>
      <c r="U247" s="414"/>
      <c r="V247" s="414"/>
      <c r="W247" s="414"/>
      <c r="X247" s="414"/>
      <c r="Y247" s="414"/>
      <c r="Z247" s="414"/>
      <c r="AA247" s="414"/>
      <c r="AB247" s="414"/>
      <c r="AC247" s="414"/>
      <c r="AD247" s="414"/>
      <c r="AE247" s="415"/>
      <c r="AF247" s="426"/>
      <c r="AG247" s="406"/>
    </row>
    <row r="248" spans="3:33">
      <c r="C248" s="440"/>
      <c r="D248" s="435"/>
      <c r="E248" s="435"/>
      <c r="F248" s="435"/>
      <c r="G248" s="435"/>
      <c r="H248" s="435"/>
      <c r="I248" s="412"/>
      <c r="J248" s="412"/>
      <c r="K248" s="412"/>
      <c r="L248" s="412"/>
      <c r="M248" s="412"/>
      <c r="N248" s="412"/>
      <c r="O248" s="412"/>
      <c r="P248" s="412"/>
      <c r="Q248" s="412"/>
      <c r="R248" s="412"/>
      <c r="S248" s="412"/>
      <c r="T248" s="412"/>
      <c r="U248" s="412"/>
      <c r="V248" s="412"/>
      <c r="W248" s="412"/>
      <c r="X248" s="412"/>
      <c r="Y248" s="412"/>
      <c r="Z248" s="412"/>
      <c r="AA248" s="412"/>
      <c r="AB248" s="412"/>
      <c r="AC248" s="412"/>
      <c r="AD248" s="412"/>
      <c r="AE248" s="413"/>
      <c r="AF248" s="426"/>
      <c r="AG248" s="406"/>
    </row>
    <row r="249" spans="3:33">
      <c r="C249" s="439"/>
      <c r="D249" s="434"/>
      <c r="E249" s="434"/>
      <c r="F249" s="434"/>
      <c r="G249" s="434"/>
      <c r="H249" s="434"/>
      <c r="I249" s="414"/>
      <c r="J249" s="414"/>
      <c r="K249" s="414"/>
      <c r="L249" s="414"/>
      <c r="M249" s="414"/>
      <c r="N249" s="414"/>
      <c r="O249" s="414"/>
      <c r="P249" s="414"/>
      <c r="Q249" s="414"/>
      <c r="R249" s="414"/>
      <c r="S249" s="414"/>
      <c r="T249" s="414"/>
      <c r="U249" s="414"/>
      <c r="V249" s="414"/>
      <c r="W249" s="414"/>
      <c r="X249" s="414"/>
      <c r="Y249" s="414"/>
      <c r="Z249" s="414"/>
      <c r="AA249" s="414"/>
      <c r="AB249" s="414"/>
      <c r="AC249" s="414"/>
      <c r="AD249" s="414"/>
      <c r="AE249" s="415"/>
      <c r="AF249" s="426"/>
      <c r="AG249" s="406"/>
    </row>
    <row r="250" spans="3:33">
      <c r="C250" s="440"/>
      <c r="D250" s="435"/>
      <c r="E250" s="435"/>
      <c r="F250" s="435"/>
      <c r="G250" s="435"/>
      <c r="H250" s="435"/>
      <c r="I250" s="412"/>
      <c r="J250" s="412"/>
      <c r="K250" s="412"/>
      <c r="L250" s="412"/>
      <c r="M250" s="412"/>
      <c r="N250" s="412"/>
      <c r="O250" s="412"/>
      <c r="P250" s="412"/>
      <c r="Q250" s="412"/>
      <c r="R250" s="412"/>
      <c r="S250" s="412"/>
      <c r="T250" s="412"/>
      <c r="U250" s="412"/>
      <c r="V250" s="412"/>
      <c r="W250" s="412"/>
      <c r="X250" s="412"/>
      <c r="Y250" s="412"/>
      <c r="Z250" s="412"/>
      <c r="AA250" s="412"/>
      <c r="AB250" s="412"/>
      <c r="AC250" s="412"/>
      <c r="AD250" s="412"/>
      <c r="AE250" s="413"/>
      <c r="AF250" s="426"/>
      <c r="AG250" s="406"/>
    </row>
    <row r="251" spans="3:33">
      <c r="C251" s="439"/>
      <c r="D251" s="434"/>
      <c r="E251" s="434"/>
      <c r="F251" s="434"/>
      <c r="G251" s="434"/>
      <c r="H251" s="434"/>
      <c r="I251" s="414"/>
      <c r="J251" s="414"/>
      <c r="K251" s="414"/>
      <c r="L251" s="414"/>
      <c r="M251" s="414"/>
      <c r="N251" s="414"/>
      <c r="O251" s="414"/>
      <c r="P251" s="414"/>
      <c r="Q251" s="414"/>
      <c r="R251" s="414"/>
      <c r="S251" s="414"/>
      <c r="T251" s="414"/>
      <c r="U251" s="414"/>
      <c r="V251" s="414"/>
      <c r="W251" s="414"/>
      <c r="X251" s="414"/>
      <c r="Y251" s="414"/>
      <c r="Z251" s="414"/>
      <c r="AA251" s="414"/>
      <c r="AB251" s="414"/>
      <c r="AC251" s="414"/>
      <c r="AD251" s="414"/>
      <c r="AE251" s="415"/>
      <c r="AF251" s="426"/>
      <c r="AG251" s="406"/>
    </row>
    <row r="252" spans="3:33">
      <c r="C252" s="440"/>
      <c r="D252" s="435"/>
      <c r="E252" s="435"/>
      <c r="F252" s="435"/>
      <c r="G252" s="435"/>
      <c r="H252" s="435"/>
      <c r="I252" s="412"/>
      <c r="J252" s="412"/>
      <c r="K252" s="412"/>
      <c r="L252" s="412"/>
      <c r="M252" s="412"/>
      <c r="N252" s="412"/>
      <c r="O252" s="412"/>
      <c r="P252" s="412"/>
      <c r="Q252" s="412"/>
      <c r="R252" s="412"/>
      <c r="S252" s="412"/>
      <c r="T252" s="412"/>
      <c r="U252" s="412"/>
      <c r="V252" s="412"/>
      <c r="W252" s="412"/>
      <c r="X252" s="412"/>
      <c r="Y252" s="412"/>
      <c r="Z252" s="412"/>
      <c r="AA252" s="412"/>
      <c r="AB252" s="412"/>
      <c r="AC252" s="412"/>
      <c r="AD252" s="412"/>
      <c r="AE252" s="413"/>
      <c r="AF252" s="426"/>
      <c r="AG252" s="406"/>
    </row>
    <row r="253" spans="3:33">
      <c r="C253" s="439"/>
      <c r="D253" s="434"/>
      <c r="E253" s="434"/>
      <c r="F253" s="434"/>
      <c r="G253" s="434"/>
      <c r="H253" s="434"/>
      <c r="I253" s="414"/>
      <c r="J253" s="414"/>
      <c r="K253" s="414"/>
      <c r="L253" s="414"/>
      <c r="M253" s="414"/>
      <c r="N253" s="414"/>
      <c r="O253" s="414"/>
      <c r="P253" s="414"/>
      <c r="Q253" s="414"/>
      <c r="R253" s="414"/>
      <c r="S253" s="414"/>
      <c r="T253" s="414"/>
      <c r="U253" s="414"/>
      <c r="V253" s="414"/>
      <c r="W253" s="414"/>
      <c r="X253" s="414"/>
      <c r="Y253" s="414"/>
      <c r="Z253" s="414"/>
      <c r="AA253" s="414"/>
      <c r="AB253" s="414"/>
      <c r="AC253" s="414"/>
      <c r="AD253" s="414"/>
      <c r="AE253" s="415"/>
      <c r="AF253" s="426"/>
      <c r="AG253" s="406"/>
    </row>
    <row r="254" spans="3:33">
      <c r="C254" s="440"/>
      <c r="D254" s="435"/>
      <c r="E254" s="435"/>
      <c r="F254" s="435"/>
      <c r="G254" s="435"/>
      <c r="H254" s="435"/>
      <c r="I254" s="412"/>
      <c r="J254" s="412"/>
      <c r="K254" s="412"/>
      <c r="L254" s="412"/>
      <c r="M254" s="412"/>
      <c r="N254" s="412"/>
      <c r="O254" s="412"/>
      <c r="P254" s="412"/>
      <c r="Q254" s="412"/>
      <c r="R254" s="412"/>
      <c r="S254" s="412"/>
      <c r="T254" s="412"/>
      <c r="U254" s="412"/>
      <c r="V254" s="412"/>
      <c r="W254" s="412"/>
      <c r="X254" s="412"/>
      <c r="Y254" s="412"/>
      <c r="Z254" s="412"/>
      <c r="AA254" s="412"/>
      <c r="AB254" s="412"/>
      <c r="AC254" s="412"/>
      <c r="AD254" s="412"/>
      <c r="AE254" s="413"/>
      <c r="AF254" s="426"/>
      <c r="AG254" s="406"/>
    </row>
    <row r="255" spans="3:33">
      <c r="C255" s="439"/>
      <c r="D255" s="434"/>
      <c r="E255" s="434"/>
      <c r="F255" s="434"/>
      <c r="G255" s="434"/>
      <c r="H255" s="434"/>
      <c r="I255" s="414"/>
      <c r="J255" s="414"/>
      <c r="K255" s="414"/>
      <c r="L255" s="414"/>
      <c r="M255" s="414"/>
      <c r="N255" s="414"/>
      <c r="O255" s="414"/>
      <c r="P255" s="414"/>
      <c r="Q255" s="414"/>
      <c r="R255" s="414"/>
      <c r="S255" s="414"/>
      <c r="T255" s="414"/>
      <c r="U255" s="414"/>
      <c r="V255" s="414"/>
      <c r="W255" s="414"/>
      <c r="X255" s="414"/>
      <c r="Y255" s="414"/>
      <c r="Z255" s="414"/>
      <c r="AA255" s="414"/>
      <c r="AB255" s="414"/>
      <c r="AC255" s="414"/>
      <c r="AD255" s="414"/>
      <c r="AE255" s="415"/>
      <c r="AF255" s="426"/>
      <c r="AG255" s="406"/>
    </row>
    <row r="256" spans="3:33">
      <c r="C256" s="440"/>
      <c r="D256" s="435"/>
      <c r="E256" s="435"/>
      <c r="F256" s="435"/>
      <c r="G256" s="435"/>
      <c r="H256" s="435"/>
      <c r="I256" s="412"/>
      <c r="J256" s="412"/>
      <c r="K256" s="412"/>
      <c r="L256" s="412"/>
      <c r="M256" s="412"/>
      <c r="N256" s="412"/>
      <c r="O256" s="412"/>
      <c r="P256" s="412"/>
      <c r="Q256" s="412"/>
      <c r="R256" s="412"/>
      <c r="S256" s="412"/>
      <c r="T256" s="412"/>
      <c r="U256" s="412"/>
      <c r="V256" s="412"/>
      <c r="W256" s="412"/>
      <c r="X256" s="412"/>
      <c r="Y256" s="412"/>
      <c r="Z256" s="412"/>
      <c r="AA256" s="412"/>
      <c r="AB256" s="412"/>
      <c r="AC256" s="412"/>
      <c r="AD256" s="412"/>
      <c r="AE256" s="413"/>
      <c r="AF256" s="426"/>
      <c r="AG256" s="406"/>
    </row>
    <row r="257" spans="3:33">
      <c r="C257" s="439"/>
      <c r="D257" s="434"/>
      <c r="E257" s="434"/>
      <c r="F257" s="434"/>
      <c r="G257" s="434"/>
      <c r="H257" s="434"/>
      <c r="I257" s="414"/>
      <c r="J257" s="414"/>
      <c r="K257" s="414"/>
      <c r="L257" s="414"/>
      <c r="M257" s="414"/>
      <c r="N257" s="414"/>
      <c r="O257" s="414"/>
      <c r="P257" s="414"/>
      <c r="Q257" s="414"/>
      <c r="R257" s="414"/>
      <c r="S257" s="414"/>
      <c r="T257" s="414"/>
      <c r="U257" s="414"/>
      <c r="V257" s="414"/>
      <c r="W257" s="414"/>
      <c r="X257" s="414"/>
      <c r="Y257" s="414"/>
      <c r="Z257" s="414"/>
      <c r="AA257" s="414"/>
      <c r="AB257" s="414"/>
      <c r="AC257" s="414"/>
      <c r="AD257" s="414"/>
      <c r="AE257" s="415"/>
      <c r="AF257" s="426"/>
      <c r="AG257" s="406"/>
    </row>
    <row r="258" spans="3:33">
      <c r="C258" s="440"/>
      <c r="D258" s="435"/>
      <c r="E258" s="435"/>
      <c r="F258" s="435"/>
      <c r="G258" s="435"/>
      <c r="H258" s="435"/>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3"/>
      <c r="AF258" s="426"/>
      <c r="AG258" s="406"/>
    </row>
    <row r="259" spans="3:33">
      <c r="C259" s="439"/>
      <c r="D259" s="434"/>
      <c r="E259" s="434"/>
      <c r="F259" s="434"/>
      <c r="G259" s="434"/>
      <c r="H259" s="434"/>
      <c r="I259" s="414"/>
      <c r="J259" s="414"/>
      <c r="K259" s="414"/>
      <c r="L259" s="414"/>
      <c r="M259" s="414"/>
      <c r="N259" s="414"/>
      <c r="O259" s="414"/>
      <c r="P259" s="414"/>
      <c r="Q259" s="414"/>
      <c r="R259" s="414"/>
      <c r="S259" s="414"/>
      <c r="T259" s="414"/>
      <c r="U259" s="414"/>
      <c r="V259" s="414"/>
      <c r="W259" s="414"/>
      <c r="X259" s="414"/>
      <c r="Y259" s="414"/>
      <c r="Z259" s="414"/>
      <c r="AA259" s="414"/>
      <c r="AB259" s="414"/>
      <c r="AC259" s="414"/>
      <c r="AD259" s="414"/>
      <c r="AE259" s="415"/>
      <c r="AF259" s="426"/>
      <c r="AG259" s="406"/>
    </row>
    <row r="260" spans="3:33">
      <c r="C260" s="440"/>
      <c r="D260" s="435"/>
      <c r="E260" s="435"/>
      <c r="F260" s="435"/>
      <c r="G260" s="435"/>
      <c r="H260" s="435"/>
      <c r="I260" s="412"/>
      <c r="J260" s="412"/>
      <c r="K260" s="412"/>
      <c r="L260" s="412"/>
      <c r="M260" s="412"/>
      <c r="N260" s="412"/>
      <c r="O260" s="412"/>
      <c r="P260" s="412"/>
      <c r="Q260" s="412"/>
      <c r="R260" s="412"/>
      <c r="S260" s="412"/>
      <c r="T260" s="412"/>
      <c r="U260" s="412"/>
      <c r="V260" s="412"/>
      <c r="W260" s="412"/>
      <c r="X260" s="412"/>
      <c r="Y260" s="412"/>
      <c r="Z260" s="412"/>
      <c r="AA260" s="412"/>
      <c r="AB260" s="412"/>
      <c r="AC260" s="412"/>
      <c r="AD260" s="412"/>
      <c r="AE260" s="413"/>
      <c r="AF260" s="426"/>
      <c r="AG260" s="406"/>
    </row>
    <row r="261" spans="3:33">
      <c r="C261" s="439"/>
      <c r="D261" s="434"/>
      <c r="E261" s="434"/>
      <c r="F261" s="434"/>
      <c r="G261" s="434"/>
      <c r="H261" s="434"/>
      <c r="I261" s="414"/>
      <c r="J261" s="414"/>
      <c r="K261" s="414"/>
      <c r="L261" s="414"/>
      <c r="M261" s="414"/>
      <c r="N261" s="414"/>
      <c r="O261" s="414"/>
      <c r="P261" s="414"/>
      <c r="Q261" s="414"/>
      <c r="R261" s="414"/>
      <c r="S261" s="414"/>
      <c r="T261" s="414"/>
      <c r="U261" s="414"/>
      <c r="V261" s="414"/>
      <c r="W261" s="414"/>
      <c r="X261" s="414"/>
      <c r="Y261" s="414"/>
      <c r="Z261" s="414"/>
      <c r="AA261" s="414"/>
      <c r="AB261" s="414"/>
      <c r="AC261" s="414"/>
      <c r="AD261" s="414"/>
      <c r="AE261" s="415"/>
      <c r="AF261" s="426"/>
      <c r="AG261" s="406"/>
    </row>
    <row r="262" spans="3:33">
      <c r="C262" s="440"/>
      <c r="D262" s="435"/>
      <c r="E262" s="435"/>
      <c r="F262" s="435"/>
      <c r="G262" s="435"/>
      <c r="H262" s="435"/>
      <c r="I262" s="412"/>
      <c r="J262" s="412"/>
      <c r="K262" s="412"/>
      <c r="L262" s="412"/>
      <c r="M262" s="412"/>
      <c r="N262" s="412"/>
      <c r="O262" s="412"/>
      <c r="P262" s="412"/>
      <c r="Q262" s="412"/>
      <c r="R262" s="412"/>
      <c r="S262" s="412"/>
      <c r="T262" s="412"/>
      <c r="U262" s="412"/>
      <c r="V262" s="412"/>
      <c r="W262" s="412"/>
      <c r="X262" s="412"/>
      <c r="Y262" s="412"/>
      <c r="Z262" s="412"/>
      <c r="AA262" s="412"/>
      <c r="AB262" s="412"/>
      <c r="AC262" s="412"/>
      <c r="AD262" s="412"/>
      <c r="AE262" s="413"/>
    </row>
    <row r="263" spans="3:33">
      <c r="C263" s="439"/>
      <c r="D263" s="434"/>
      <c r="E263" s="434"/>
      <c r="F263" s="434"/>
      <c r="G263" s="434"/>
      <c r="H263" s="434"/>
      <c r="I263" s="414"/>
      <c r="J263" s="414"/>
      <c r="K263" s="414"/>
      <c r="L263" s="414"/>
      <c r="M263" s="414"/>
      <c r="N263" s="414"/>
      <c r="O263" s="414"/>
      <c r="P263" s="414"/>
      <c r="Q263" s="414"/>
      <c r="R263" s="414"/>
      <c r="S263" s="414"/>
      <c r="T263" s="414"/>
      <c r="U263" s="414"/>
      <c r="V263" s="414"/>
      <c r="W263" s="414"/>
      <c r="X263" s="414"/>
      <c r="Y263" s="414"/>
      <c r="Z263" s="414"/>
      <c r="AA263" s="414"/>
      <c r="AB263" s="414"/>
      <c r="AC263" s="414"/>
      <c r="AD263" s="414"/>
      <c r="AE263" s="415"/>
    </row>
    <row r="264" spans="3:33">
      <c r="C264" s="440"/>
      <c r="D264" s="435"/>
      <c r="E264" s="435"/>
      <c r="F264" s="435"/>
      <c r="G264" s="435"/>
      <c r="H264" s="435"/>
      <c r="I264" s="412"/>
      <c r="J264" s="412"/>
      <c r="K264" s="412"/>
      <c r="L264" s="412"/>
      <c r="M264" s="412"/>
      <c r="N264" s="412"/>
      <c r="O264" s="412"/>
      <c r="P264" s="412"/>
      <c r="Q264" s="412"/>
      <c r="R264" s="412"/>
      <c r="S264" s="412"/>
      <c r="T264" s="412"/>
      <c r="U264" s="412"/>
      <c r="V264" s="412"/>
      <c r="W264" s="412"/>
      <c r="X264" s="412"/>
      <c r="Y264" s="412"/>
      <c r="Z264" s="412"/>
      <c r="AA264" s="412"/>
      <c r="AB264" s="412"/>
      <c r="AC264" s="412"/>
      <c r="AD264" s="412"/>
      <c r="AE264" s="413"/>
    </row>
    <row r="265" spans="3:33">
      <c r="C265" s="439"/>
      <c r="D265" s="434"/>
      <c r="E265" s="434"/>
      <c r="F265" s="434"/>
      <c r="G265" s="434"/>
      <c r="H265" s="434"/>
      <c r="I265" s="414"/>
      <c r="J265" s="414"/>
      <c r="K265" s="414"/>
      <c r="L265" s="414"/>
      <c r="M265" s="414"/>
      <c r="N265" s="414"/>
      <c r="O265" s="414"/>
      <c r="P265" s="414"/>
      <c r="Q265" s="414"/>
      <c r="R265" s="414"/>
      <c r="S265" s="414"/>
      <c r="T265" s="414"/>
      <c r="U265" s="414"/>
      <c r="V265" s="414"/>
      <c r="W265" s="414"/>
      <c r="X265" s="414"/>
      <c r="Y265" s="414"/>
      <c r="Z265" s="414"/>
      <c r="AA265" s="414"/>
      <c r="AB265" s="414"/>
      <c r="AC265" s="414"/>
      <c r="AD265" s="414"/>
      <c r="AE265" s="415"/>
    </row>
    <row r="266" spans="3:33">
      <c r="C266" s="440"/>
      <c r="D266" s="435"/>
      <c r="E266" s="435"/>
      <c r="F266" s="435"/>
      <c r="G266" s="435"/>
      <c r="H266" s="435"/>
      <c r="I266" s="412"/>
      <c r="J266" s="412"/>
      <c r="K266" s="412"/>
      <c r="L266" s="412"/>
      <c r="M266" s="412"/>
      <c r="N266" s="412"/>
      <c r="O266" s="412"/>
      <c r="P266" s="412"/>
      <c r="Q266" s="412"/>
      <c r="R266" s="412"/>
      <c r="S266" s="412"/>
      <c r="T266" s="412"/>
      <c r="U266" s="412"/>
      <c r="V266" s="412"/>
      <c r="W266" s="412"/>
      <c r="X266" s="412"/>
      <c r="Y266" s="412"/>
      <c r="Z266" s="412"/>
      <c r="AA266" s="412"/>
      <c r="AB266" s="412"/>
      <c r="AC266" s="412"/>
      <c r="AD266" s="412"/>
      <c r="AE266" s="413"/>
    </row>
    <row r="267" spans="3:33">
      <c r="C267" s="439"/>
      <c r="D267" s="434"/>
      <c r="E267" s="434"/>
      <c r="F267" s="434"/>
      <c r="G267" s="434"/>
      <c r="H267" s="434"/>
      <c r="I267" s="414"/>
      <c r="J267" s="414"/>
      <c r="K267" s="414"/>
      <c r="L267" s="414"/>
      <c r="M267" s="414"/>
      <c r="N267" s="414"/>
      <c r="O267" s="414"/>
      <c r="P267" s="414"/>
      <c r="Q267" s="414"/>
      <c r="R267" s="414"/>
      <c r="S267" s="414"/>
      <c r="T267" s="414"/>
      <c r="U267" s="414"/>
      <c r="V267" s="414"/>
      <c r="W267" s="414"/>
      <c r="X267" s="414"/>
      <c r="Y267" s="414"/>
      <c r="Z267" s="414"/>
      <c r="AA267" s="414"/>
      <c r="AB267" s="414"/>
      <c r="AC267" s="414"/>
      <c r="AD267" s="414"/>
      <c r="AE267" s="415"/>
    </row>
    <row r="268" spans="3:33">
      <c r="C268" s="440"/>
      <c r="D268" s="435"/>
      <c r="E268" s="435"/>
      <c r="F268" s="435"/>
      <c r="G268" s="435"/>
      <c r="H268" s="435"/>
      <c r="I268" s="412"/>
      <c r="J268" s="412"/>
      <c r="K268" s="412"/>
      <c r="L268" s="412"/>
      <c r="M268" s="412"/>
      <c r="N268" s="412"/>
      <c r="O268" s="412"/>
      <c r="P268" s="412"/>
      <c r="Q268" s="412"/>
      <c r="R268" s="412"/>
      <c r="S268" s="412"/>
      <c r="T268" s="412"/>
      <c r="U268" s="412"/>
      <c r="V268" s="412"/>
      <c r="W268" s="412"/>
      <c r="X268" s="412"/>
      <c r="Y268" s="412"/>
      <c r="Z268" s="412"/>
      <c r="AA268" s="412"/>
      <c r="AB268" s="412"/>
      <c r="AC268" s="412"/>
      <c r="AD268" s="412"/>
      <c r="AE268" s="413"/>
    </row>
    <row r="269" spans="3:33">
      <c r="C269" s="439"/>
      <c r="D269" s="434"/>
      <c r="E269" s="434"/>
      <c r="F269" s="434"/>
      <c r="G269" s="434"/>
      <c r="H269" s="434"/>
      <c r="I269" s="414"/>
      <c r="J269" s="414"/>
      <c r="K269" s="414"/>
      <c r="L269" s="414"/>
      <c r="M269" s="414"/>
      <c r="N269" s="414"/>
      <c r="O269" s="414"/>
      <c r="P269" s="414"/>
      <c r="Q269" s="414"/>
      <c r="R269" s="414"/>
      <c r="S269" s="414"/>
      <c r="T269" s="414"/>
      <c r="U269" s="414"/>
      <c r="V269" s="414"/>
      <c r="W269" s="414"/>
      <c r="X269" s="414"/>
      <c r="Y269" s="414"/>
      <c r="Z269" s="414"/>
      <c r="AA269" s="414"/>
      <c r="AB269" s="414"/>
      <c r="AC269" s="414"/>
      <c r="AD269" s="414"/>
      <c r="AE269" s="415"/>
    </row>
    <row r="270" spans="3:33">
      <c r="C270" s="440"/>
      <c r="D270" s="435"/>
      <c r="E270" s="435"/>
      <c r="F270" s="435"/>
      <c r="G270" s="435"/>
      <c r="H270" s="435"/>
      <c r="I270" s="412"/>
      <c r="J270" s="412"/>
      <c r="K270" s="412"/>
      <c r="L270" s="412"/>
      <c r="M270" s="412"/>
      <c r="N270" s="412"/>
      <c r="O270" s="412"/>
      <c r="P270" s="412"/>
      <c r="Q270" s="412"/>
      <c r="R270" s="412"/>
      <c r="S270" s="412"/>
      <c r="T270" s="412"/>
      <c r="U270" s="412"/>
      <c r="V270" s="412"/>
      <c r="W270" s="412"/>
      <c r="X270" s="412"/>
      <c r="Y270" s="412"/>
      <c r="Z270" s="412"/>
      <c r="AA270" s="412"/>
      <c r="AB270" s="412"/>
      <c r="AC270" s="412"/>
      <c r="AD270" s="412"/>
      <c r="AE270" s="413"/>
    </row>
    <row r="271" spans="3:33">
      <c r="C271" s="439"/>
      <c r="D271" s="434"/>
      <c r="E271" s="434"/>
      <c r="F271" s="434"/>
      <c r="G271" s="434"/>
      <c r="H271" s="434"/>
      <c r="I271" s="414"/>
      <c r="J271" s="414"/>
      <c r="K271" s="414"/>
      <c r="L271" s="414"/>
      <c r="M271" s="414"/>
      <c r="N271" s="414"/>
      <c r="O271" s="414"/>
      <c r="P271" s="414"/>
      <c r="Q271" s="414"/>
      <c r="R271" s="414"/>
      <c r="S271" s="414"/>
      <c r="T271" s="414"/>
      <c r="U271" s="414"/>
      <c r="V271" s="414"/>
      <c r="W271" s="414"/>
      <c r="X271" s="414"/>
      <c r="Y271" s="414"/>
      <c r="Z271" s="414"/>
      <c r="AA271" s="414"/>
      <c r="AB271" s="414"/>
      <c r="AC271" s="414"/>
      <c r="AD271" s="414"/>
      <c r="AE271" s="415"/>
    </row>
    <row r="272" spans="3:33">
      <c r="C272" s="440"/>
      <c r="D272" s="435"/>
      <c r="E272" s="435"/>
      <c r="F272" s="435"/>
      <c r="G272" s="435"/>
      <c r="H272" s="435"/>
      <c r="I272" s="412"/>
      <c r="J272" s="412"/>
      <c r="K272" s="412"/>
      <c r="L272" s="412"/>
      <c r="M272" s="412"/>
      <c r="N272" s="412"/>
      <c r="O272" s="412"/>
      <c r="P272" s="412"/>
      <c r="Q272" s="412"/>
      <c r="R272" s="412"/>
      <c r="S272" s="412"/>
      <c r="T272" s="412"/>
      <c r="U272" s="412"/>
      <c r="V272" s="412"/>
      <c r="W272" s="412"/>
      <c r="X272" s="412"/>
      <c r="Y272" s="412"/>
      <c r="Z272" s="412"/>
      <c r="AA272" s="412"/>
      <c r="AB272" s="412"/>
      <c r="AC272" s="412"/>
      <c r="AD272" s="412"/>
      <c r="AE272" s="413"/>
    </row>
    <row r="273" spans="3:31">
      <c r="C273" s="439"/>
      <c r="D273" s="434"/>
      <c r="E273" s="434"/>
      <c r="F273" s="434"/>
      <c r="G273" s="434"/>
      <c r="H273" s="434"/>
      <c r="I273" s="414"/>
      <c r="J273" s="414"/>
      <c r="K273" s="414"/>
      <c r="L273" s="414"/>
      <c r="M273" s="414"/>
      <c r="N273" s="414"/>
      <c r="O273" s="414"/>
      <c r="P273" s="414"/>
      <c r="Q273" s="414"/>
      <c r="R273" s="414"/>
      <c r="S273" s="414"/>
      <c r="T273" s="414"/>
      <c r="U273" s="414"/>
      <c r="V273" s="414"/>
      <c r="W273" s="414"/>
      <c r="X273" s="414"/>
      <c r="Y273" s="414"/>
      <c r="Z273" s="414"/>
      <c r="AA273" s="414"/>
      <c r="AB273" s="414"/>
      <c r="AC273" s="414"/>
      <c r="AD273" s="414"/>
      <c r="AE273" s="415"/>
    </row>
    <row r="274" spans="3:31">
      <c r="C274" s="440"/>
      <c r="D274" s="435"/>
      <c r="E274" s="435"/>
      <c r="F274" s="435"/>
      <c r="G274" s="435"/>
      <c r="H274" s="435"/>
      <c r="I274" s="412"/>
      <c r="J274" s="412"/>
      <c r="K274" s="412"/>
      <c r="L274" s="412"/>
      <c r="M274" s="412"/>
      <c r="N274" s="412"/>
      <c r="O274" s="412"/>
      <c r="P274" s="412"/>
      <c r="Q274" s="412"/>
      <c r="R274" s="412"/>
      <c r="S274" s="412"/>
      <c r="T274" s="412"/>
      <c r="U274" s="412"/>
      <c r="V274" s="412"/>
      <c r="W274" s="412"/>
      <c r="X274" s="412"/>
      <c r="Y274" s="412"/>
      <c r="Z274" s="412"/>
      <c r="AA274" s="412"/>
      <c r="AB274" s="412"/>
      <c r="AC274" s="412"/>
      <c r="AD274" s="412"/>
      <c r="AE274" s="413"/>
    </row>
    <row r="275" spans="3:31">
      <c r="C275" s="439"/>
      <c r="D275" s="434"/>
      <c r="E275" s="434"/>
      <c r="F275" s="434"/>
      <c r="G275" s="434"/>
      <c r="H275" s="434"/>
      <c r="I275" s="414"/>
      <c r="J275" s="414"/>
      <c r="K275" s="414"/>
      <c r="L275" s="414"/>
      <c r="M275" s="414"/>
      <c r="N275" s="414"/>
      <c r="O275" s="414"/>
      <c r="P275" s="414"/>
      <c r="Q275" s="414"/>
      <c r="R275" s="414"/>
      <c r="S275" s="414"/>
      <c r="T275" s="414"/>
      <c r="U275" s="414"/>
      <c r="V275" s="414"/>
      <c r="W275" s="414"/>
      <c r="X275" s="414"/>
      <c r="Y275" s="414"/>
      <c r="Z275" s="414"/>
      <c r="AA275" s="414"/>
      <c r="AB275" s="414"/>
      <c r="AC275" s="414"/>
      <c r="AD275" s="414"/>
      <c r="AE275" s="415"/>
    </row>
    <row r="276" spans="3:31">
      <c r="C276" s="440"/>
      <c r="D276" s="435"/>
      <c r="E276" s="435"/>
      <c r="F276" s="435"/>
      <c r="G276" s="435"/>
      <c r="H276" s="435"/>
      <c r="I276" s="412"/>
      <c r="J276" s="412"/>
      <c r="K276" s="412"/>
      <c r="L276" s="412"/>
      <c r="M276" s="412"/>
      <c r="N276" s="412"/>
      <c r="O276" s="412"/>
      <c r="P276" s="412"/>
      <c r="Q276" s="412"/>
      <c r="R276" s="412"/>
      <c r="S276" s="412"/>
      <c r="T276" s="412"/>
      <c r="U276" s="412"/>
      <c r="V276" s="412"/>
      <c r="W276" s="412"/>
      <c r="X276" s="412"/>
      <c r="Y276" s="412"/>
      <c r="Z276" s="412"/>
      <c r="AA276" s="412"/>
      <c r="AB276" s="412"/>
      <c r="AC276" s="412"/>
      <c r="AD276" s="412"/>
      <c r="AE276" s="413"/>
    </row>
    <row r="277" spans="3:31">
      <c r="C277" s="439"/>
      <c r="D277" s="434"/>
      <c r="E277" s="434"/>
      <c r="F277" s="434"/>
      <c r="G277" s="434"/>
      <c r="H277" s="434"/>
      <c r="I277" s="414"/>
      <c r="J277" s="414"/>
      <c r="K277" s="414"/>
      <c r="L277" s="414"/>
      <c r="M277" s="414"/>
      <c r="N277" s="414"/>
      <c r="O277" s="414"/>
      <c r="P277" s="414"/>
      <c r="Q277" s="414"/>
      <c r="R277" s="414"/>
      <c r="S277" s="414"/>
      <c r="T277" s="414"/>
      <c r="U277" s="414"/>
      <c r="V277" s="414"/>
      <c r="W277" s="414"/>
      <c r="X277" s="414"/>
      <c r="Y277" s="414"/>
      <c r="Z277" s="414"/>
      <c r="AA277" s="414"/>
      <c r="AB277" s="414"/>
      <c r="AC277" s="414"/>
      <c r="AD277" s="414"/>
      <c r="AE277" s="415"/>
    </row>
    <row r="278" spans="3:31">
      <c r="C278" s="440"/>
      <c r="D278" s="435"/>
      <c r="E278" s="435"/>
      <c r="F278" s="435"/>
      <c r="G278" s="435"/>
      <c r="H278" s="435"/>
      <c r="I278" s="412"/>
      <c r="J278" s="412"/>
      <c r="K278" s="412"/>
      <c r="L278" s="412"/>
      <c r="M278" s="412"/>
      <c r="N278" s="412"/>
      <c r="O278" s="412"/>
      <c r="P278" s="412"/>
      <c r="Q278" s="412"/>
      <c r="R278" s="412"/>
      <c r="S278" s="412"/>
      <c r="T278" s="412"/>
      <c r="U278" s="412"/>
      <c r="V278" s="412"/>
      <c r="W278" s="412"/>
      <c r="X278" s="412"/>
      <c r="Y278" s="412"/>
      <c r="Z278" s="412"/>
      <c r="AA278" s="412"/>
      <c r="AB278" s="412"/>
      <c r="AC278" s="412"/>
      <c r="AD278" s="412"/>
      <c r="AE278" s="413"/>
    </row>
    <row r="279" spans="3:31">
      <c r="C279" s="439"/>
      <c r="D279" s="434"/>
      <c r="E279" s="434"/>
      <c r="F279" s="434"/>
      <c r="G279" s="434"/>
      <c r="H279" s="434"/>
      <c r="I279" s="414"/>
      <c r="J279" s="414"/>
      <c r="K279" s="414"/>
      <c r="L279" s="414"/>
      <c r="M279" s="414"/>
      <c r="N279" s="414"/>
      <c r="O279" s="414"/>
      <c r="P279" s="414"/>
      <c r="Q279" s="414"/>
      <c r="R279" s="414"/>
      <c r="S279" s="414"/>
      <c r="T279" s="414"/>
      <c r="U279" s="414"/>
      <c r="V279" s="414"/>
      <c r="W279" s="414"/>
      <c r="X279" s="414"/>
      <c r="Y279" s="414"/>
      <c r="Z279" s="414"/>
      <c r="AA279" s="414"/>
      <c r="AB279" s="414"/>
      <c r="AC279" s="414"/>
      <c r="AD279" s="414"/>
      <c r="AE279" s="415"/>
    </row>
    <row r="280" spans="3:31">
      <c r="C280" s="440"/>
      <c r="D280" s="435"/>
      <c r="E280" s="435"/>
      <c r="F280" s="435"/>
      <c r="G280" s="435"/>
      <c r="H280" s="435"/>
      <c r="I280" s="412"/>
      <c r="J280" s="412"/>
      <c r="K280" s="412"/>
      <c r="L280" s="412"/>
      <c r="M280" s="412"/>
      <c r="N280" s="412"/>
      <c r="O280" s="412"/>
      <c r="P280" s="412"/>
      <c r="Q280" s="412"/>
      <c r="R280" s="412"/>
      <c r="S280" s="412"/>
      <c r="T280" s="412"/>
      <c r="U280" s="412"/>
      <c r="V280" s="412"/>
      <c r="W280" s="412"/>
      <c r="X280" s="412"/>
      <c r="Y280" s="412"/>
      <c r="Z280" s="412"/>
      <c r="AA280" s="412"/>
      <c r="AB280" s="412"/>
      <c r="AC280" s="412"/>
      <c r="AD280" s="412"/>
      <c r="AE280" s="413"/>
    </row>
    <row r="281" spans="3:31">
      <c r="C281" s="439"/>
      <c r="D281" s="434"/>
      <c r="E281" s="434"/>
      <c r="F281" s="434"/>
      <c r="G281" s="434"/>
      <c r="H281" s="434"/>
      <c r="I281" s="414"/>
      <c r="J281" s="414"/>
      <c r="K281" s="414"/>
      <c r="L281" s="414"/>
      <c r="M281" s="414"/>
      <c r="N281" s="414"/>
      <c r="O281" s="414"/>
      <c r="P281" s="414"/>
      <c r="Q281" s="414"/>
      <c r="R281" s="414"/>
      <c r="S281" s="414"/>
      <c r="T281" s="414"/>
      <c r="U281" s="414"/>
      <c r="V281" s="414"/>
      <c r="W281" s="414"/>
      <c r="X281" s="414"/>
      <c r="Y281" s="414"/>
      <c r="Z281" s="414"/>
      <c r="AA281" s="414"/>
      <c r="AB281" s="414"/>
      <c r="AC281" s="414"/>
      <c r="AD281" s="414"/>
      <c r="AE281" s="415"/>
    </row>
    <row r="282" spans="3:31">
      <c r="C282" s="440"/>
      <c r="D282" s="435"/>
      <c r="E282" s="435"/>
      <c r="F282" s="435"/>
      <c r="G282" s="435"/>
      <c r="H282" s="435"/>
      <c r="I282" s="412"/>
      <c r="J282" s="412"/>
      <c r="K282" s="412"/>
      <c r="L282" s="412"/>
      <c r="M282" s="412"/>
      <c r="N282" s="412"/>
      <c r="O282" s="412"/>
      <c r="P282" s="412"/>
      <c r="Q282" s="412"/>
      <c r="R282" s="412"/>
      <c r="S282" s="412"/>
      <c r="T282" s="412"/>
      <c r="U282" s="412"/>
      <c r="V282" s="412"/>
      <c r="W282" s="412"/>
      <c r="X282" s="412"/>
      <c r="Y282" s="412"/>
      <c r="Z282" s="412"/>
      <c r="AA282" s="412"/>
      <c r="AB282" s="412"/>
      <c r="AC282" s="412"/>
      <c r="AD282" s="412"/>
      <c r="AE282" s="413"/>
    </row>
    <row r="283" spans="3:31">
      <c r="C283" s="439"/>
      <c r="D283" s="434"/>
      <c r="E283" s="434"/>
      <c r="F283" s="434"/>
      <c r="G283" s="434"/>
      <c r="H283" s="434"/>
      <c r="I283" s="414"/>
      <c r="J283" s="414"/>
      <c r="K283" s="414"/>
      <c r="L283" s="414"/>
      <c r="M283" s="414"/>
      <c r="N283" s="414"/>
      <c r="O283" s="414"/>
      <c r="P283" s="414"/>
      <c r="Q283" s="414"/>
      <c r="R283" s="414"/>
      <c r="S283" s="414"/>
      <c r="T283" s="414"/>
      <c r="U283" s="414"/>
      <c r="V283" s="414"/>
      <c r="W283" s="414"/>
      <c r="X283" s="414"/>
      <c r="Y283" s="414"/>
      <c r="Z283" s="414"/>
      <c r="AA283" s="414"/>
      <c r="AB283" s="414"/>
      <c r="AC283" s="414"/>
      <c r="AD283" s="414"/>
      <c r="AE283" s="415"/>
    </row>
    <row r="284" spans="3:31">
      <c r="C284" s="440"/>
      <c r="D284" s="435"/>
      <c r="E284" s="435"/>
      <c r="F284" s="435"/>
      <c r="G284" s="435"/>
      <c r="H284" s="435"/>
      <c r="I284" s="412"/>
      <c r="J284" s="412"/>
      <c r="K284" s="412"/>
      <c r="L284" s="412"/>
      <c r="M284" s="412"/>
      <c r="N284" s="412"/>
      <c r="O284" s="412"/>
      <c r="P284" s="412"/>
      <c r="Q284" s="412"/>
      <c r="R284" s="412"/>
      <c r="S284" s="412"/>
      <c r="T284" s="412"/>
      <c r="U284" s="412"/>
      <c r="V284" s="412"/>
      <c r="W284" s="412"/>
      <c r="X284" s="412"/>
      <c r="Y284" s="412"/>
      <c r="Z284" s="412"/>
      <c r="AA284" s="412"/>
      <c r="AB284" s="412"/>
      <c r="AC284" s="412"/>
      <c r="AD284" s="412"/>
      <c r="AE284" s="413"/>
    </row>
    <row r="285" spans="3:31">
      <c r="C285" s="439"/>
      <c r="D285" s="434"/>
      <c r="E285" s="434"/>
      <c r="F285" s="434"/>
      <c r="G285" s="434"/>
      <c r="H285" s="434"/>
      <c r="I285" s="414"/>
      <c r="J285" s="414"/>
      <c r="K285" s="414"/>
      <c r="L285" s="414"/>
      <c r="M285" s="414"/>
      <c r="N285" s="414"/>
      <c r="O285" s="414"/>
      <c r="P285" s="414"/>
      <c r="Q285" s="414"/>
      <c r="R285" s="414"/>
      <c r="S285" s="414"/>
      <c r="T285" s="414"/>
      <c r="U285" s="414"/>
      <c r="V285" s="414"/>
      <c r="W285" s="414"/>
      <c r="X285" s="414"/>
      <c r="Y285" s="414"/>
      <c r="Z285" s="414"/>
      <c r="AA285" s="414"/>
      <c r="AB285" s="414"/>
      <c r="AC285" s="414"/>
      <c r="AD285" s="414"/>
      <c r="AE285" s="415"/>
    </row>
    <row r="286" spans="3:31">
      <c r="C286" s="440"/>
      <c r="D286" s="435"/>
      <c r="E286" s="435"/>
      <c r="F286" s="435"/>
      <c r="G286" s="435"/>
      <c r="H286" s="435"/>
      <c r="I286" s="412"/>
      <c r="J286" s="412"/>
      <c r="K286" s="412"/>
      <c r="L286" s="412"/>
      <c r="M286" s="412"/>
      <c r="N286" s="412"/>
      <c r="O286" s="412"/>
      <c r="P286" s="412"/>
      <c r="Q286" s="412"/>
      <c r="R286" s="412"/>
      <c r="S286" s="412"/>
      <c r="T286" s="412"/>
      <c r="U286" s="412"/>
      <c r="V286" s="412"/>
      <c r="W286" s="412"/>
      <c r="X286" s="412"/>
      <c r="Y286" s="412"/>
      <c r="Z286" s="412"/>
      <c r="AA286" s="412"/>
      <c r="AB286" s="412"/>
      <c r="AC286" s="412"/>
      <c r="AD286" s="412"/>
      <c r="AE286" s="413"/>
    </row>
    <row r="287" spans="3:31">
      <c r="C287" s="439"/>
      <c r="D287" s="434"/>
      <c r="E287" s="434"/>
      <c r="F287" s="434"/>
      <c r="G287" s="434"/>
      <c r="H287" s="434"/>
      <c r="I287" s="414"/>
      <c r="J287" s="414"/>
      <c r="K287" s="414"/>
      <c r="L287" s="414"/>
      <c r="M287" s="414"/>
      <c r="N287" s="414"/>
      <c r="O287" s="414"/>
      <c r="P287" s="414"/>
      <c r="Q287" s="414"/>
      <c r="R287" s="414"/>
      <c r="S287" s="414"/>
      <c r="T287" s="414"/>
      <c r="U287" s="414"/>
      <c r="V287" s="414"/>
      <c r="W287" s="414"/>
      <c r="X287" s="414"/>
      <c r="Y287" s="414"/>
      <c r="Z287" s="414"/>
      <c r="AA287" s="414"/>
      <c r="AB287" s="414"/>
      <c r="AC287" s="414"/>
      <c r="AD287" s="414"/>
      <c r="AE287" s="415"/>
    </row>
    <row r="288" spans="3:31">
      <c r="C288" s="440"/>
      <c r="D288" s="435"/>
      <c r="E288" s="435"/>
      <c r="F288" s="435"/>
      <c r="G288" s="435"/>
      <c r="H288" s="435"/>
      <c r="I288" s="412"/>
      <c r="J288" s="412"/>
      <c r="K288" s="412"/>
      <c r="L288" s="412"/>
      <c r="M288" s="412"/>
      <c r="N288" s="412"/>
      <c r="O288" s="412"/>
      <c r="P288" s="412"/>
      <c r="Q288" s="412"/>
      <c r="R288" s="412"/>
      <c r="S288" s="412"/>
      <c r="T288" s="412"/>
      <c r="U288" s="412"/>
      <c r="V288" s="412"/>
      <c r="W288" s="412"/>
      <c r="X288" s="412"/>
      <c r="Y288" s="412"/>
      <c r="Z288" s="412"/>
      <c r="AA288" s="412"/>
      <c r="AB288" s="412"/>
      <c r="AC288" s="412"/>
      <c r="AD288" s="412"/>
      <c r="AE288" s="413"/>
    </row>
    <row r="289" spans="3:31">
      <c r="C289" s="439"/>
      <c r="D289" s="434"/>
      <c r="E289" s="434"/>
      <c r="F289" s="434"/>
      <c r="G289" s="434"/>
      <c r="H289" s="434"/>
      <c r="I289" s="414"/>
      <c r="J289" s="414"/>
      <c r="K289" s="414"/>
      <c r="L289" s="414"/>
      <c r="M289" s="414"/>
      <c r="N289" s="414"/>
      <c r="O289" s="414"/>
      <c r="P289" s="414"/>
      <c r="Q289" s="414"/>
      <c r="R289" s="414"/>
      <c r="S289" s="414"/>
      <c r="T289" s="414"/>
      <c r="U289" s="414"/>
      <c r="V289" s="414"/>
      <c r="W289" s="414"/>
      <c r="X289" s="414"/>
      <c r="Y289" s="414"/>
      <c r="Z289" s="414"/>
      <c r="AA289" s="414"/>
      <c r="AB289" s="414"/>
      <c r="AC289" s="414"/>
      <c r="AD289" s="414"/>
      <c r="AE289" s="415"/>
    </row>
    <row r="290" spans="3:31">
      <c r="C290" s="440"/>
      <c r="D290" s="435"/>
      <c r="E290" s="435"/>
      <c r="F290" s="435"/>
      <c r="G290" s="435"/>
      <c r="H290" s="435"/>
      <c r="I290" s="412"/>
      <c r="J290" s="412"/>
      <c r="K290" s="412"/>
      <c r="L290" s="412"/>
      <c r="M290" s="412"/>
      <c r="N290" s="412"/>
      <c r="O290" s="412"/>
      <c r="P290" s="412"/>
      <c r="Q290" s="412"/>
      <c r="R290" s="412"/>
      <c r="S290" s="412"/>
      <c r="T290" s="412"/>
      <c r="U290" s="412"/>
      <c r="V290" s="412"/>
      <c r="W290" s="412"/>
      <c r="X290" s="412"/>
      <c r="Y290" s="412"/>
      <c r="Z290" s="412"/>
      <c r="AA290" s="412"/>
      <c r="AB290" s="412"/>
      <c r="AC290" s="412"/>
      <c r="AD290" s="412"/>
      <c r="AE290" s="413"/>
    </row>
    <row r="291" spans="3:31">
      <c r="C291" s="439"/>
      <c r="D291" s="434"/>
      <c r="E291" s="434"/>
      <c r="F291" s="434"/>
      <c r="G291" s="434"/>
      <c r="H291" s="434"/>
      <c r="I291" s="414"/>
      <c r="J291" s="414"/>
      <c r="K291" s="414"/>
      <c r="L291" s="414"/>
      <c r="M291" s="414"/>
      <c r="N291" s="414"/>
      <c r="O291" s="414"/>
      <c r="P291" s="414"/>
      <c r="Q291" s="414"/>
      <c r="R291" s="414"/>
      <c r="S291" s="414"/>
      <c r="T291" s="414"/>
      <c r="U291" s="414"/>
      <c r="V291" s="414"/>
      <c r="W291" s="414"/>
      <c r="X291" s="414"/>
      <c r="Y291" s="414"/>
      <c r="Z291" s="414"/>
      <c r="AA291" s="414"/>
      <c r="AB291" s="414"/>
      <c r="AC291" s="414"/>
      <c r="AD291" s="414"/>
      <c r="AE291" s="415"/>
    </row>
    <row r="292" spans="3:31">
      <c r="C292" s="440"/>
      <c r="D292" s="435"/>
      <c r="E292" s="435"/>
      <c r="F292" s="435"/>
      <c r="G292" s="435"/>
      <c r="H292" s="435"/>
      <c r="I292" s="412"/>
      <c r="J292" s="412"/>
      <c r="K292" s="412"/>
      <c r="L292" s="412"/>
      <c r="M292" s="412"/>
      <c r="N292" s="412"/>
      <c r="O292" s="412"/>
      <c r="P292" s="412"/>
      <c r="Q292" s="412"/>
      <c r="R292" s="412"/>
      <c r="S292" s="412"/>
      <c r="T292" s="412"/>
      <c r="U292" s="412"/>
      <c r="V292" s="412"/>
      <c r="W292" s="412"/>
      <c r="X292" s="412"/>
      <c r="Y292" s="412"/>
      <c r="Z292" s="412"/>
      <c r="AA292" s="412"/>
      <c r="AB292" s="412"/>
      <c r="AC292" s="412"/>
      <c r="AD292" s="412"/>
      <c r="AE292" s="413"/>
    </row>
    <row r="293" spans="3:31">
      <c r="C293" s="439"/>
      <c r="D293" s="434"/>
      <c r="E293" s="434"/>
      <c r="F293" s="434"/>
      <c r="G293" s="434"/>
      <c r="H293" s="434"/>
      <c r="I293" s="414"/>
      <c r="J293" s="414"/>
      <c r="K293" s="414"/>
      <c r="L293" s="414"/>
      <c r="M293" s="414"/>
      <c r="N293" s="414"/>
      <c r="O293" s="414"/>
      <c r="P293" s="414"/>
      <c r="Q293" s="414"/>
      <c r="R293" s="414"/>
      <c r="S293" s="414"/>
      <c r="T293" s="414"/>
      <c r="U293" s="414"/>
      <c r="V293" s="414"/>
      <c r="W293" s="414"/>
      <c r="X293" s="414"/>
      <c r="Y293" s="414"/>
      <c r="Z293" s="414"/>
      <c r="AA293" s="414"/>
      <c r="AB293" s="414"/>
      <c r="AC293" s="414"/>
      <c r="AD293" s="414"/>
      <c r="AE293" s="415"/>
    </row>
    <row r="294" spans="3:31">
      <c r="C294" s="440"/>
      <c r="D294" s="435"/>
      <c r="E294" s="435"/>
      <c r="F294" s="435"/>
      <c r="G294" s="435"/>
      <c r="H294" s="435"/>
      <c r="I294" s="412"/>
      <c r="J294" s="412"/>
      <c r="K294" s="412"/>
      <c r="L294" s="412"/>
      <c r="M294" s="412"/>
      <c r="N294" s="412"/>
      <c r="O294" s="412"/>
      <c r="P294" s="412"/>
      <c r="Q294" s="412"/>
      <c r="R294" s="412"/>
      <c r="S294" s="412"/>
      <c r="T294" s="412"/>
      <c r="U294" s="412"/>
      <c r="V294" s="412"/>
      <c r="W294" s="412"/>
      <c r="X294" s="412"/>
      <c r="Y294" s="412"/>
      <c r="Z294" s="412"/>
      <c r="AA294" s="412"/>
      <c r="AB294" s="412"/>
      <c r="AC294" s="412"/>
      <c r="AD294" s="412"/>
      <c r="AE294" s="413"/>
    </row>
    <row r="295" spans="3:31">
      <c r="C295" s="439"/>
      <c r="D295" s="434"/>
      <c r="E295" s="434"/>
      <c r="F295" s="434"/>
      <c r="G295" s="434"/>
      <c r="H295" s="434"/>
      <c r="I295" s="414"/>
      <c r="J295" s="414"/>
      <c r="K295" s="414"/>
      <c r="L295" s="414"/>
      <c r="M295" s="414"/>
      <c r="N295" s="414"/>
      <c r="O295" s="414"/>
      <c r="P295" s="414"/>
      <c r="Q295" s="414"/>
      <c r="R295" s="414"/>
      <c r="S295" s="414"/>
      <c r="T295" s="414"/>
      <c r="U295" s="414"/>
      <c r="V295" s="414"/>
      <c r="W295" s="414"/>
      <c r="X295" s="414"/>
      <c r="Y295" s="414"/>
      <c r="Z295" s="414"/>
      <c r="AA295" s="414"/>
      <c r="AB295" s="414"/>
      <c r="AC295" s="414"/>
      <c r="AD295" s="414"/>
      <c r="AE295" s="415"/>
    </row>
    <row r="296" spans="3:31">
      <c r="C296" s="440"/>
      <c r="D296" s="435"/>
      <c r="E296" s="435"/>
      <c r="F296" s="435"/>
      <c r="G296" s="435"/>
      <c r="H296" s="435"/>
      <c r="I296" s="412"/>
      <c r="J296" s="412"/>
      <c r="K296" s="412"/>
      <c r="L296" s="412"/>
      <c r="M296" s="412"/>
      <c r="N296" s="412"/>
      <c r="O296" s="412"/>
      <c r="P296" s="412"/>
      <c r="Q296" s="412"/>
      <c r="R296" s="412"/>
      <c r="S296" s="412"/>
      <c r="T296" s="412"/>
      <c r="U296" s="412"/>
      <c r="V296" s="412"/>
      <c r="W296" s="412"/>
      <c r="X296" s="412"/>
      <c r="Y296" s="412"/>
      <c r="Z296" s="412"/>
      <c r="AA296" s="412"/>
      <c r="AB296" s="412"/>
      <c r="AC296" s="412"/>
      <c r="AD296" s="412"/>
      <c r="AE296" s="413"/>
    </row>
    <row r="297" spans="3:31">
      <c r="C297" s="439"/>
      <c r="D297" s="434"/>
      <c r="E297" s="434"/>
      <c r="F297" s="434"/>
      <c r="G297" s="434"/>
      <c r="H297" s="434"/>
      <c r="I297" s="414"/>
      <c r="J297" s="414"/>
      <c r="K297" s="414"/>
      <c r="L297" s="414"/>
      <c r="M297" s="414"/>
      <c r="N297" s="414"/>
      <c r="O297" s="414"/>
      <c r="P297" s="414"/>
      <c r="Q297" s="414"/>
      <c r="R297" s="414"/>
      <c r="S297" s="414"/>
      <c r="T297" s="414"/>
      <c r="U297" s="414"/>
      <c r="V297" s="414"/>
      <c r="W297" s="414"/>
      <c r="X297" s="414"/>
      <c r="Y297" s="414"/>
      <c r="Z297" s="414"/>
      <c r="AA297" s="414"/>
      <c r="AB297" s="414"/>
      <c r="AC297" s="414"/>
      <c r="AD297" s="414"/>
      <c r="AE297" s="415"/>
    </row>
    <row r="298" spans="3:31">
      <c r="C298" s="440"/>
      <c r="D298" s="435"/>
      <c r="E298" s="435"/>
      <c r="F298" s="435"/>
      <c r="G298" s="435"/>
      <c r="H298" s="435"/>
      <c r="I298" s="412"/>
      <c r="J298" s="412"/>
      <c r="K298" s="412"/>
      <c r="L298" s="412"/>
      <c r="M298" s="412"/>
      <c r="N298" s="412"/>
      <c r="O298" s="412"/>
      <c r="P298" s="412"/>
      <c r="Q298" s="412"/>
      <c r="R298" s="412"/>
      <c r="S298" s="412"/>
      <c r="T298" s="412"/>
      <c r="U298" s="412"/>
      <c r="V298" s="412"/>
      <c r="W298" s="412"/>
      <c r="X298" s="412"/>
      <c r="Y298" s="412"/>
      <c r="Z298" s="412"/>
      <c r="AA298" s="412"/>
      <c r="AB298" s="412"/>
      <c r="AC298" s="412"/>
      <c r="AD298" s="412"/>
      <c r="AE298" s="413"/>
    </row>
    <row r="299" spans="3:31">
      <c r="C299" s="439"/>
      <c r="D299" s="434"/>
      <c r="E299" s="434"/>
      <c r="F299" s="434"/>
      <c r="G299" s="434"/>
      <c r="H299" s="434"/>
      <c r="I299" s="414"/>
      <c r="J299" s="414"/>
      <c r="K299" s="414"/>
      <c r="L299" s="414"/>
      <c r="M299" s="414"/>
      <c r="N299" s="414"/>
      <c r="O299" s="414"/>
      <c r="P299" s="414"/>
      <c r="Q299" s="414"/>
      <c r="R299" s="414"/>
      <c r="S299" s="414"/>
      <c r="T299" s="414"/>
      <c r="U299" s="414"/>
      <c r="V299" s="414"/>
      <c r="W299" s="414"/>
      <c r="X299" s="414"/>
      <c r="Y299" s="414"/>
      <c r="Z299" s="414"/>
      <c r="AA299" s="414"/>
      <c r="AB299" s="414"/>
      <c r="AC299" s="414"/>
      <c r="AD299" s="414"/>
      <c r="AE299" s="415"/>
    </row>
    <row r="300" spans="3:31">
      <c r="C300" s="440"/>
      <c r="D300" s="435"/>
      <c r="E300" s="435"/>
      <c r="F300" s="435"/>
      <c r="G300" s="435"/>
      <c r="H300" s="435"/>
      <c r="I300" s="412"/>
      <c r="J300" s="412"/>
      <c r="K300" s="412"/>
      <c r="L300" s="412"/>
      <c r="M300" s="412"/>
      <c r="N300" s="412"/>
      <c r="O300" s="412"/>
      <c r="P300" s="412"/>
      <c r="Q300" s="412"/>
      <c r="R300" s="412"/>
      <c r="S300" s="412"/>
      <c r="T300" s="412"/>
      <c r="U300" s="412"/>
      <c r="V300" s="412"/>
      <c r="W300" s="412"/>
      <c r="X300" s="412"/>
      <c r="Y300" s="412"/>
      <c r="Z300" s="412"/>
      <c r="AA300" s="412"/>
      <c r="AB300" s="412"/>
      <c r="AC300" s="412"/>
      <c r="AD300" s="412"/>
      <c r="AE300" s="413"/>
    </row>
    <row r="301" spans="3:31">
      <c r="C301" s="439"/>
      <c r="D301" s="434"/>
      <c r="E301" s="434"/>
      <c r="F301" s="434"/>
      <c r="G301" s="434"/>
      <c r="H301" s="434"/>
      <c r="I301" s="414"/>
      <c r="J301" s="414"/>
      <c r="K301" s="414"/>
      <c r="L301" s="414"/>
      <c r="M301" s="414"/>
      <c r="N301" s="414"/>
      <c r="O301" s="414"/>
      <c r="P301" s="414"/>
      <c r="Q301" s="414"/>
      <c r="R301" s="414"/>
      <c r="S301" s="414"/>
      <c r="T301" s="414"/>
      <c r="U301" s="414"/>
      <c r="V301" s="414"/>
      <c r="W301" s="414"/>
      <c r="X301" s="414"/>
      <c r="Y301" s="414"/>
      <c r="Z301" s="414"/>
      <c r="AA301" s="414"/>
      <c r="AB301" s="414"/>
      <c r="AC301" s="414"/>
      <c r="AD301" s="414"/>
      <c r="AE301" s="415"/>
    </row>
    <row r="302" spans="3:31">
      <c r="C302" s="440"/>
      <c r="D302" s="435"/>
      <c r="E302" s="435"/>
      <c r="F302" s="435"/>
      <c r="G302" s="435"/>
      <c r="H302" s="435"/>
      <c r="I302" s="412"/>
      <c r="J302" s="412"/>
      <c r="K302" s="412"/>
      <c r="L302" s="412"/>
      <c r="M302" s="412"/>
      <c r="N302" s="412"/>
      <c r="O302" s="412"/>
      <c r="P302" s="412"/>
      <c r="Q302" s="412"/>
      <c r="R302" s="412"/>
      <c r="S302" s="412"/>
      <c r="T302" s="412"/>
      <c r="U302" s="412"/>
      <c r="V302" s="412"/>
      <c r="W302" s="412"/>
      <c r="X302" s="412"/>
      <c r="Y302" s="412"/>
      <c r="Z302" s="412"/>
      <c r="AA302" s="412"/>
      <c r="AB302" s="412"/>
      <c r="AC302" s="412"/>
      <c r="AD302" s="412"/>
      <c r="AE302" s="413"/>
    </row>
    <row r="303" spans="3:31">
      <c r="C303" s="439"/>
      <c r="D303" s="434"/>
      <c r="E303" s="434"/>
      <c r="F303" s="434"/>
      <c r="G303" s="434"/>
      <c r="H303" s="434"/>
      <c r="I303" s="414"/>
      <c r="J303" s="414"/>
      <c r="K303" s="414"/>
      <c r="L303" s="414"/>
      <c r="M303" s="414"/>
      <c r="N303" s="414"/>
      <c r="O303" s="414"/>
      <c r="P303" s="414"/>
      <c r="Q303" s="414"/>
      <c r="R303" s="414"/>
      <c r="S303" s="414"/>
      <c r="T303" s="414"/>
      <c r="U303" s="414"/>
      <c r="V303" s="414"/>
      <c r="W303" s="414"/>
      <c r="X303" s="414"/>
      <c r="Y303" s="414"/>
      <c r="Z303" s="414"/>
      <c r="AA303" s="414"/>
      <c r="AB303" s="414"/>
      <c r="AC303" s="414"/>
      <c r="AD303" s="414"/>
      <c r="AE303" s="415"/>
    </row>
    <row r="304" spans="3:31">
      <c r="C304" s="440"/>
      <c r="D304" s="435"/>
      <c r="E304" s="435"/>
      <c r="F304" s="435"/>
      <c r="G304" s="435"/>
      <c r="H304" s="435"/>
      <c r="I304" s="412"/>
      <c r="J304" s="412"/>
      <c r="K304" s="412"/>
      <c r="L304" s="412"/>
      <c r="M304" s="412"/>
      <c r="N304" s="412"/>
      <c r="O304" s="412"/>
      <c r="P304" s="412"/>
      <c r="Q304" s="412"/>
      <c r="R304" s="412"/>
      <c r="S304" s="412"/>
      <c r="T304" s="412"/>
      <c r="U304" s="412"/>
      <c r="V304" s="412"/>
      <c r="W304" s="412"/>
      <c r="X304" s="412"/>
      <c r="Y304" s="412"/>
      <c r="Z304" s="412"/>
      <c r="AA304" s="412"/>
      <c r="AB304" s="412"/>
      <c r="AC304" s="412"/>
      <c r="AD304" s="412"/>
      <c r="AE304" s="413"/>
    </row>
    <row r="305" spans="3:31">
      <c r="C305" s="439"/>
      <c r="D305" s="434"/>
      <c r="E305" s="434"/>
      <c r="F305" s="434"/>
      <c r="G305" s="434"/>
      <c r="H305" s="434"/>
      <c r="I305" s="414"/>
      <c r="J305" s="414"/>
      <c r="K305" s="414"/>
      <c r="L305" s="414"/>
      <c r="M305" s="414"/>
      <c r="N305" s="414"/>
      <c r="O305" s="414"/>
      <c r="P305" s="414"/>
      <c r="Q305" s="414"/>
      <c r="R305" s="414"/>
      <c r="S305" s="414"/>
      <c r="T305" s="414"/>
      <c r="U305" s="414"/>
      <c r="V305" s="414"/>
      <c r="W305" s="414"/>
      <c r="X305" s="414"/>
      <c r="Y305" s="414"/>
      <c r="Z305" s="414"/>
      <c r="AA305" s="414"/>
      <c r="AB305" s="414"/>
      <c r="AC305" s="414"/>
      <c r="AD305" s="414"/>
      <c r="AE305" s="415"/>
    </row>
    <row r="306" spans="3:31">
      <c r="C306" s="440"/>
      <c r="D306" s="435"/>
      <c r="E306" s="435"/>
      <c r="F306" s="435"/>
      <c r="G306" s="435"/>
      <c r="H306" s="435"/>
      <c r="I306" s="412"/>
      <c r="J306" s="412"/>
      <c r="K306" s="412"/>
      <c r="L306" s="412"/>
      <c r="M306" s="412"/>
      <c r="N306" s="412"/>
      <c r="O306" s="412"/>
      <c r="P306" s="412"/>
      <c r="Q306" s="412"/>
      <c r="R306" s="412"/>
      <c r="S306" s="412"/>
      <c r="T306" s="412"/>
      <c r="U306" s="412"/>
      <c r="V306" s="412"/>
      <c r="W306" s="412"/>
      <c r="X306" s="412"/>
      <c r="Y306" s="412"/>
      <c r="Z306" s="412"/>
      <c r="AA306" s="412"/>
      <c r="AB306" s="412"/>
      <c r="AC306" s="412"/>
      <c r="AD306" s="412"/>
      <c r="AE306" s="413"/>
    </row>
    <row r="307" spans="3:31">
      <c r="C307" s="439"/>
      <c r="D307" s="434"/>
      <c r="E307" s="434"/>
      <c r="F307" s="434"/>
      <c r="G307" s="434"/>
      <c r="H307" s="434"/>
      <c r="I307" s="414"/>
      <c r="J307" s="414"/>
      <c r="K307" s="414"/>
      <c r="L307" s="414"/>
      <c r="M307" s="414"/>
      <c r="N307" s="414"/>
      <c r="O307" s="414"/>
      <c r="P307" s="414"/>
      <c r="Q307" s="414"/>
      <c r="R307" s="414"/>
      <c r="S307" s="414"/>
      <c r="T307" s="414"/>
      <c r="U307" s="414"/>
      <c r="V307" s="414"/>
      <c r="W307" s="414"/>
      <c r="X307" s="414"/>
      <c r="Y307" s="414"/>
      <c r="Z307" s="414"/>
      <c r="AA307" s="414"/>
      <c r="AB307" s="414"/>
      <c r="AC307" s="414"/>
      <c r="AD307" s="414"/>
      <c r="AE307" s="415"/>
    </row>
    <row r="308" spans="3:31">
      <c r="C308" s="440"/>
      <c r="D308" s="435"/>
      <c r="E308" s="435"/>
      <c r="F308" s="435"/>
      <c r="G308" s="435"/>
      <c r="H308" s="435"/>
      <c r="I308" s="412"/>
      <c r="J308" s="412"/>
      <c r="K308" s="412"/>
      <c r="L308" s="412"/>
      <c r="M308" s="412"/>
      <c r="N308" s="412"/>
      <c r="O308" s="412"/>
      <c r="P308" s="412"/>
      <c r="Q308" s="412"/>
      <c r="R308" s="412"/>
      <c r="S308" s="412"/>
      <c r="T308" s="412"/>
      <c r="U308" s="412"/>
      <c r="V308" s="412"/>
      <c r="W308" s="412"/>
      <c r="X308" s="412"/>
      <c r="Y308" s="412"/>
      <c r="Z308" s="412"/>
      <c r="AA308" s="412"/>
      <c r="AB308" s="412"/>
      <c r="AC308" s="412"/>
      <c r="AD308" s="412"/>
      <c r="AE308" s="413"/>
    </row>
    <row r="309" spans="3:31">
      <c r="C309" s="439"/>
      <c r="D309" s="434"/>
      <c r="E309" s="434"/>
      <c r="F309" s="434"/>
      <c r="G309" s="434"/>
      <c r="H309" s="434"/>
      <c r="I309" s="414"/>
      <c r="J309" s="414"/>
      <c r="K309" s="414"/>
      <c r="L309" s="414"/>
      <c r="M309" s="414"/>
      <c r="N309" s="414"/>
      <c r="O309" s="414"/>
      <c r="P309" s="414"/>
      <c r="Q309" s="414"/>
      <c r="R309" s="414"/>
      <c r="S309" s="414"/>
      <c r="T309" s="414"/>
      <c r="U309" s="414"/>
      <c r="V309" s="414"/>
      <c r="W309" s="414"/>
      <c r="X309" s="414"/>
      <c r="Y309" s="414"/>
      <c r="Z309" s="414"/>
      <c r="AA309" s="414"/>
      <c r="AB309" s="414"/>
      <c r="AC309" s="414"/>
      <c r="AD309" s="414"/>
      <c r="AE309" s="415"/>
    </row>
    <row r="310" spans="3:31">
      <c r="C310" s="440"/>
      <c r="D310" s="435"/>
      <c r="E310" s="435"/>
      <c r="F310" s="435"/>
      <c r="G310" s="435"/>
      <c r="H310" s="435"/>
      <c r="I310" s="412"/>
      <c r="J310" s="412"/>
      <c r="K310" s="412"/>
      <c r="L310" s="412"/>
      <c r="M310" s="412"/>
      <c r="N310" s="412"/>
      <c r="O310" s="412"/>
      <c r="P310" s="412"/>
      <c r="Q310" s="412"/>
      <c r="R310" s="412"/>
      <c r="S310" s="412"/>
      <c r="T310" s="412"/>
      <c r="U310" s="412"/>
      <c r="V310" s="412"/>
      <c r="W310" s="412"/>
      <c r="X310" s="412"/>
      <c r="Y310" s="412"/>
      <c r="Z310" s="412"/>
      <c r="AA310" s="412"/>
      <c r="AB310" s="412"/>
      <c r="AC310" s="412"/>
      <c r="AD310" s="412"/>
      <c r="AE310" s="413"/>
    </row>
    <row r="311" spans="3:31">
      <c r="C311" s="439"/>
      <c r="D311" s="434"/>
      <c r="E311" s="434"/>
      <c r="F311" s="434"/>
      <c r="G311" s="434"/>
      <c r="H311" s="434"/>
      <c r="I311" s="414"/>
      <c r="J311" s="414"/>
      <c r="K311" s="414"/>
      <c r="L311" s="414"/>
      <c r="M311" s="414"/>
      <c r="N311" s="414"/>
      <c r="O311" s="414"/>
      <c r="P311" s="414"/>
      <c r="Q311" s="414"/>
      <c r="R311" s="414"/>
      <c r="S311" s="414"/>
      <c r="T311" s="414"/>
      <c r="U311" s="414"/>
      <c r="V311" s="414"/>
      <c r="W311" s="414"/>
      <c r="X311" s="414"/>
      <c r="Y311" s="414"/>
      <c r="Z311" s="414"/>
      <c r="AA311" s="414"/>
      <c r="AB311" s="414"/>
      <c r="AC311" s="414"/>
      <c r="AD311" s="414"/>
      <c r="AE311" s="415"/>
    </row>
    <row r="312" spans="3:31">
      <c r="C312" s="440"/>
      <c r="D312" s="435"/>
      <c r="E312" s="435"/>
      <c r="F312" s="435"/>
      <c r="G312" s="435"/>
      <c r="H312" s="435"/>
      <c r="I312" s="412"/>
      <c r="J312" s="412"/>
      <c r="K312" s="412"/>
      <c r="L312" s="412"/>
      <c r="M312" s="412"/>
      <c r="N312" s="412"/>
      <c r="O312" s="412"/>
      <c r="P312" s="412"/>
      <c r="Q312" s="412"/>
      <c r="R312" s="412"/>
      <c r="S312" s="412"/>
      <c r="T312" s="412"/>
      <c r="U312" s="412"/>
      <c r="V312" s="412"/>
      <c r="W312" s="412"/>
      <c r="X312" s="412"/>
      <c r="Y312" s="412"/>
      <c r="Z312" s="412"/>
      <c r="AA312" s="412"/>
      <c r="AB312" s="412"/>
      <c r="AC312" s="412"/>
      <c r="AD312" s="412"/>
      <c r="AE312" s="413"/>
    </row>
    <row r="313" spans="3:31">
      <c r="C313" s="439"/>
      <c r="D313" s="434"/>
      <c r="E313" s="434"/>
      <c r="F313" s="434"/>
      <c r="G313" s="434"/>
      <c r="H313" s="434"/>
      <c r="I313" s="414"/>
      <c r="J313" s="414"/>
      <c r="K313" s="414"/>
      <c r="L313" s="414"/>
      <c r="M313" s="414"/>
      <c r="N313" s="414"/>
      <c r="O313" s="414"/>
      <c r="P313" s="414"/>
      <c r="Q313" s="414"/>
      <c r="R313" s="414"/>
      <c r="S313" s="414"/>
      <c r="T313" s="414"/>
      <c r="U313" s="414"/>
      <c r="V313" s="414"/>
      <c r="W313" s="414"/>
      <c r="X313" s="414"/>
      <c r="Y313" s="414"/>
      <c r="Z313" s="414"/>
      <c r="AA313" s="414"/>
      <c r="AB313" s="414"/>
      <c r="AC313" s="414"/>
      <c r="AD313" s="414"/>
      <c r="AE313" s="415"/>
    </row>
    <row r="314" spans="3:31">
      <c r="C314" s="440"/>
      <c r="D314" s="435"/>
      <c r="E314" s="435"/>
      <c r="F314" s="435"/>
      <c r="G314" s="435"/>
      <c r="H314" s="435"/>
      <c r="I314" s="412"/>
      <c r="J314" s="412"/>
      <c r="K314" s="412"/>
      <c r="L314" s="412"/>
      <c r="M314" s="412"/>
      <c r="N314" s="412"/>
      <c r="O314" s="412"/>
      <c r="P314" s="412"/>
      <c r="Q314" s="412"/>
      <c r="R314" s="412"/>
      <c r="S314" s="412"/>
      <c r="T314" s="412"/>
      <c r="U314" s="412"/>
      <c r="V314" s="412"/>
      <c r="W314" s="412"/>
      <c r="X314" s="412"/>
      <c r="Y314" s="412"/>
      <c r="Z314" s="412"/>
      <c r="AA314" s="412"/>
      <c r="AB314" s="412"/>
      <c r="AC314" s="412"/>
      <c r="AD314" s="412"/>
      <c r="AE314" s="413"/>
    </row>
    <row r="315" spans="3:31">
      <c r="C315" s="439"/>
      <c r="D315" s="434"/>
      <c r="E315" s="434"/>
      <c r="F315" s="434"/>
      <c r="G315" s="434"/>
      <c r="H315" s="434"/>
      <c r="I315" s="414"/>
      <c r="J315" s="414"/>
      <c r="K315" s="414"/>
      <c r="L315" s="414"/>
      <c r="M315" s="414"/>
      <c r="N315" s="414"/>
      <c r="O315" s="414"/>
      <c r="P315" s="414"/>
      <c r="Q315" s="414"/>
      <c r="R315" s="414"/>
      <c r="S315" s="414"/>
      <c r="T315" s="414"/>
      <c r="U315" s="414"/>
      <c r="V315" s="414"/>
      <c r="W315" s="414"/>
      <c r="X315" s="414"/>
      <c r="Y315" s="414"/>
      <c r="Z315" s="414"/>
      <c r="AA315" s="414"/>
      <c r="AB315" s="414"/>
      <c r="AC315" s="414"/>
      <c r="AD315" s="414"/>
      <c r="AE315" s="415"/>
    </row>
    <row r="316" spans="3:31">
      <c r="C316" s="440"/>
      <c r="D316" s="435"/>
      <c r="E316" s="435"/>
      <c r="F316" s="435"/>
      <c r="G316" s="435"/>
      <c r="H316" s="435"/>
      <c r="I316" s="412"/>
      <c r="J316" s="412"/>
      <c r="K316" s="412"/>
      <c r="L316" s="412"/>
      <c r="M316" s="412"/>
      <c r="N316" s="412"/>
      <c r="O316" s="412"/>
      <c r="P316" s="412"/>
      <c r="Q316" s="412"/>
      <c r="R316" s="412"/>
      <c r="S316" s="412"/>
      <c r="T316" s="412"/>
      <c r="U316" s="412"/>
      <c r="V316" s="412"/>
      <c r="W316" s="412"/>
      <c r="X316" s="412"/>
      <c r="Y316" s="412"/>
      <c r="Z316" s="412"/>
      <c r="AA316" s="412"/>
      <c r="AB316" s="412"/>
      <c r="AC316" s="412"/>
      <c r="AD316" s="412"/>
      <c r="AE316" s="413"/>
    </row>
    <row r="317" spans="3:31">
      <c r="C317" s="439"/>
      <c r="D317" s="434"/>
      <c r="E317" s="434"/>
      <c r="F317" s="434"/>
      <c r="G317" s="434"/>
      <c r="H317" s="434"/>
      <c r="I317" s="414"/>
      <c r="J317" s="414"/>
      <c r="K317" s="414"/>
      <c r="L317" s="414"/>
      <c r="M317" s="414"/>
      <c r="N317" s="414"/>
      <c r="O317" s="414"/>
      <c r="P317" s="414"/>
      <c r="Q317" s="414"/>
      <c r="R317" s="414"/>
      <c r="S317" s="414"/>
      <c r="T317" s="414"/>
      <c r="U317" s="414"/>
      <c r="V317" s="414"/>
      <c r="W317" s="414"/>
      <c r="X317" s="414"/>
      <c r="Y317" s="414"/>
      <c r="Z317" s="414"/>
      <c r="AA317" s="414"/>
      <c r="AB317" s="414"/>
      <c r="AC317" s="414"/>
      <c r="AD317" s="414"/>
      <c r="AE317" s="415"/>
    </row>
    <row r="318" spans="3:31">
      <c r="C318" s="440"/>
      <c r="D318" s="435"/>
      <c r="E318" s="435"/>
      <c r="F318" s="435"/>
      <c r="G318" s="435"/>
      <c r="H318" s="435"/>
      <c r="I318" s="412"/>
      <c r="J318" s="412"/>
      <c r="K318" s="412"/>
      <c r="L318" s="412"/>
      <c r="M318" s="412"/>
      <c r="N318" s="412"/>
      <c r="O318" s="412"/>
      <c r="P318" s="412"/>
      <c r="Q318" s="412"/>
      <c r="R318" s="412"/>
      <c r="S318" s="412"/>
      <c r="T318" s="412"/>
      <c r="U318" s="412"/>
      <c r="V318" s="412"/>
      <c r="W318" s="412"/>
      <c r="X318" s="412"/>
      <c r="Y318" s="412"/>
      <c r="Z318" s="412"/>
      <c r="AA318" s="412"/>
      <c r="AB318" s="412"/>
      <c r="AC318" s="412"/>
      <c r="AD318" s="412"/>
      <c r="AE318" s="413"/>
    </row>
    <row r="319" spans="3:31">
      <c r="C319" s="439"/>
      <c r="D319" s="434"/>
      <c r="E319" s="434"/>
      <c r="F319" s="434"/>
      <c r="G319" s="434"/>
      <c r="H319" s="434"/>
      <c r="I319" s="414"/>
      <c r="J319" s="414"/>
      <c r="K319" s="414"/>
      <c r="L319" s="414"/>
      <c r="M319" s="414"/>
      <c r="N319" s="414"/>
      <c r="O319" s="414"/>
      <c r="P319" s="414"/>
      <c r="Q319" s="414"/>
      <c r="R319" s="414"/>
      <c r="S319" s="414"/>
      <c r="T319" s="414"/>
      <c r="U319" s="414"/>
      <c r="V319" s="414"/>
      <c r="W319" s="414"/>
      <c r="X319" s="414"/>
      <c r="Y319" s="414"/>
      <c r="Z319" s="414"/>
      <c r="AA319" s="414"/>
      <c r="AB319" s="414"/>
      <c r="AC319" s="414"/>
      <c r="AD319" s="414"/>
      <c r="AE319" s="415"/>
    </row>
    <row r="320" spans="3:31">
      <c r="C320" s="440"/>
      <c r="D320" s="435"/>
      <c r="E320" s="435"/>
      <c r="F320" s="435"/>
      <c r="G320" s="435"/>
      <c r="H320" s="435"/>
      <c r="I320" s="412"/>
      <c r="J320" s="412"/>
      <c r="K320" s="412"/>
      <c r="L320" s="412"/>
      <c r="M320" s="412"/>
      <c r="N320" s="412"/>
      <c r="O320" s="412"/>
      <c r="P320" s="412"/>
      <c r="Q320" s="412"/>
      <c r="R320" s="412"/>
      <c r="S320" s="412"/>
      <c r="T320" s="412"/>
      <c r="U320" s="412"/>
      <c r="V320" s="412"/>
      <c r="W320" s="412"/>
      <c r="X320" s="412"/>
      <c r="Y320" s="412"/>
      <c r="Z320" s="412"/>
      <c r="AA320" s="412"/>
      <c r="AB320" s="412"/>
      <c r="AC320" s="412"/>
      <c r="AD320" s="412"/>
      <c r="AE320" s="413"/>
    </row>
    <row r="321" spans="3:31">
      <c r="C321" s="439"/>
      <c r="D321" s="434"/>
      <c r="E321" s="434"/>
      <c r="F321" s="434"/>
      <c r="G321" s="434"/>
      <c r="H321" s="434"/>
      <c r="I321" s="414"/>
      <c r="J321" s="414"/>
      <c r="K321" s="414"/>
      <c r="L321" s="414"/>
      <c r="M321" s="414"/>
      <c r="N321" s="414"/>
      <c r="O321" s="414"/>
      <c r="P321" s="414"/>
      <c r="Q321" s="414"/>
      <c r="R321" s="414"/>
      <c r="S321" s="414"/>
      <c r="T321" s="414"/>
      <c r="U321" s="414"/>
      <c r="V321" s="414"/>
      <c r="W321" s="414"/>
      <c r="X321" s="414"/>
      <c r="Y321" s="414"/>
      <c r="Z321" s="414"/>
      <c r="AA321" s="414"/>
      <c r="AB321" s="414"/>
      <c r="AC321" s="414"/>
      <c r="AD321" s="414"/>
      <c r="AE321" s="415"/>
    </row>
    <row r="322" spans="3:31">
      <c r="C322" s="440"/>
      <c r="D322" s="435"/>
      <c r="E322" s="435"/>
      <c r="F322" s="435"/>
      <c r="G322" s="435"/>
      <c r="H322" s="435"/>
      <c r="I322" s="412"/>
      <c r="J322" s="412"/>
      <c r="K322" s="412"/>
      <c r="L322" s="412"/>
      <c r="M322" s="412"/>
      <c r="N322" s="412"/>
      <c r="O322" s="412"/>
      <c r="P322" s="412"/>
      <c r="Q322" s="412"/>
      <c r="R322" s="412"/>
      <c r="S322" s="412"/>
      <c r="T322" s="412"/>
      <c r="U322" s="412"/>
      <c r="V322" s="412"/>
      <c r="W322" s="412"/>
      <c r="X322" s="412"/>
      <c r="Y322" s="412"/>
      <c r="Z322" s="412"/>
      <c r="AA322" s="412"/>
      <c r="AB322" s="412"/>
      <c r="AC322" s="412"/>
      <c r="AD322" s="412"/>
      <c r="AE322" s="413"/>
    </row>
    <row r="323" spans="3:31">
      <c r="C323" s="439"/>
      <c r="D323" s="434"/>
      <c r="E323" s="434"/>
      <c r="F323" s="434"/>
      <c r="G323" s="434"/>
      <c r="H323" s="434"/>
      <c r="I323" s="414"/>
      <c r="J323" s="414"/>
      <c r="K323" s="414"/>
      <c r="L323" s="414"/>
      <c r="M323" s="414"/>
      <c r="N323" s="414"/>
      <c r="O323" s="414"/>
      <c r="P323" s="414"/>
      <c r="Q323" s="414"/>
      <c r="R323" s="414"/>
      <c r="S323" s="414"/>
      <c r="T323" s="414"/>
      <c r="U323" s="414"/>
      <c r="V323" s="414"/>
      <c r="W323" s="414"/>
      <c r="X323" s="414"/>
      <c r="Y323" s="414"/>
      <c r="Z323" s="414"/>
      <c r="AA323" s="414"/>
      <c r="AB323" s="414"/>
      <c r="AC323" s="414"/>
      <c r="AD323" s="414"/>
      <c r="AE323" s="415"/>
    </row>
    <row r="324" spans="3:31">
      <c r="C324" s="440"/>
      <c r="D324" s="435"/>
      <c r="E324" s="435"/>
      <c r="F324" s="435"/>
      <c r="G324" s="435"/>
      <c r="H324" s="435"/>
      <c r="I324" s="412"/>
      <c r="J324" s="412"/>
      <c r="K324" s="412"/>
      <c r="L324" s="412"/>
      <c r="M324" s="412"/>
      <c r="N324" s="412"/>
      <c r="O324" s="412"/>
      <c r="P324" s="412"/>
      <c r="Q324" s="412"/>
      <c r="R324" s="412"/>
      <c r="S324" s="412"/>
      <c r="T324" s="412"/>
      <c r="U324" s="412"/>
      <c r="V324" s="412"/>
      <c r="W324" s="412"/>
      <c r="X324" s="412"/>
      <c r="Y324" s="412"/>
      <c r="Z324" s="412"/>
      <c r="AA324" s="412"/>
      <c r="AB324" s="412"/>
      <c r="AC324" s="412"/>
      <c r="AD324" s="412"/>
      <c r="AE324" s="413"/>
    </row>
    <row r="325" spans="3:31">
      <c r="C325" s="439"/>
      <c r="D325" s="434"/>
      <c r="E325" s="434"/>
      <c r="F325" s="434"/>
      <c r="G325" s="434"/>
      <c r="H325" s="434"/>
      <c r="I325" s="414"/>
      <c r="J325" s="414"/>
      <c r="K325" s="414"/>
      <c r="L325" s="414"/>
      <c r="M325" s="414"/>
      <c r="N325" s="414"/>
      <c r="O325" s="414"/>
      <c r="P325" s="414"/>
      <c r="Q325" s="414"/>
      <c r="R325" s="414"/>
      <c r="S325" s="414"/>
      <c r="T325" s="414"/>
      <c r="U325" s="414"/>
      <c r="V325" s="414"/>
      <c r="W325" s="414"/>
      <c r="X325" s="414"/>
      <c r="Y325" s="414"/>
      <c r="Z325" s="414"/>
      <c r="AA325" s="414"/>
      <c r="AB325" s="414"/>
      <c r="AC325" s="414"/>
      <c r="AD325" s="414"/>
      <c r="AE325" s="415"/>
    </row>
    <row r="326" spans="3:31">
      <c r="C326" s="440"/>
      <c r="D326" s="435"/>
      <c r="E326" s="435"/>
      <c r="F326" s="435"/>
      <c r="G326" s="435"/>
      <c r="H326" s="435"/>
      <c r="I326" s="412"/>
      <c r="J326" s="412"/>
      <c r="K326" s="412"/>
      <c r="L326" s="412"/>
      <c r="M326" s="412"/>
      <c r="N326" s="412"/>
      <c r="O326" s="412"/>
      <c r="P326" s="412"/>
      <c r="Q326" s="412"/>
      <c r="R326" s="412"/>
      <c r="S326" s="412"/>
      <c r="T326" s="412"/>
      <c r="U326" s="412"/>
      <c r="V326" s="412"/>
      <c r="W326" s="412"/>
      <c r="X326" s="412"/>
      <c r="Y326" s="412"/>
      <c r="Z326" s="412"/>
      <c r="AA326" s="412"/>
      <c r="AB326" s="412"/>
      <c r="AC326" s="412"/>
      <c r="AD326" s="412"/>
      <c r="AE326" s="413"/>
    </row>
    <row r="327" spans="3:31">
      <c r="C327" s="439"/>
      <c r="D327" s="434"/>
      <c r="E327" s="434"/>
      <c r="F327" s="434"/>
      <c r="G327" s="434"/>
      <c r="H327" s="434"/>
      <c r="I327" s="414"/>
      <c r="J327" s="414"/>
      <c r="K327" s="414"/>
      <c r="L327" s="414"/>
      <c r="M327" s="414"/>
      <c r="N327" s="414"/>
      <c r="O327" s="414"/>
      <c r="P327" s="414"/>
      <c r="Q327" s="414"/>
      <c r="R327" s="414"/>
      <c r="S327" s="414"/>
      <c r="T327" s="414"/>
      <c r="U327" s="414"/>
      <c r="V327" s="414"/>
      <c r="W327" s="414"/>
      <c r="X327" s="414"/>
      <c r="Y327" s="414"/>
      <c r="Z327" s="414"/>
      <c r="AA327" s="414"/>
      <c r="AB327" s="414"/>
      <c r="AC327" s="414"/>
      <c r="AD327" s="414"/>
      <c r="AE327" s="415"/>
    </row>
    <row r="328" spans="3:31">
      <c r="C328" s="440"/>
      <c r="D328" s="435"/>
      <c r="E328" s="435"/>
      <c r="F328" s="435"/>
      <c r="G328" s="435"/>
      <c r="H328" s="435"/>
      <c r="I328" s="412"/>
      <c r="J328" s="412"/>
      <c r="K328" s="412"/>
      <c r="L328" s="412"/>
      <c r="M328" s="412"/>
      <c r="N328" s="412"/>
      <c r="O328" s="412"/>
      <c r="P328" s="412"/>
      <c r="Q328" s="412"/>
      <c r="R328" s="412"/>
      <c r="S328" s="412"/>
      <c r="T328" s="412"/>
      <c r="U328" s="412"/>
      <c r="V328" s="412"/>
      <c r="W328" s="412"/>
      <c r="X328" s="412"/>
      <c r="Y328" s="412"/>
      <c r="Z328" s="412"/>
      <c r="AA328" s="412"/>
      <c r="AB328" s="412"/>
      <c r="AC328" s="412"/>
      <c r="AD328" s="412"/>
      <c r="AE328" s="413"/>
    </row>
    <row r="329" spans="3:31">
      <c r="C329" s="439"/>
      <c r="D329" s="434"/>
      <c r="E329" s="434"/>
      <c r="F329" s="434"/>
      <c r="G329" s="434"/>
      <c r="H329" s="434"/>
      <c r="I329" s="414"/>
      <c r="J329" s="414"/>
      <c r="K329" s="414"/>
      <c r="L329" s="414"/>
      <c r="M329" s="414"/>
      <c r="N329" s="414"/>
      <c r="O329" s="414"/>
      <c r="P329" s="414"/>
      <c r="Q329" s="414"/>
      <c r="R329" s="414"/>
      <c r="S329" s="414"/>
      <c r="T329" s="414"/>
      <c r="U329" s="414"/>
      <c r="V329" s="414"/>
      <c r="W329" s="414"/>
      <c r="X329" s="414"/>
      <c r="Y329" s="414"/>
      <c r="Z329" s="414"/>
      <c r="AA329" s="414"/>
      <c r="AB329" s="414"/>
      <c r="AC329" s="414"/>
      <c r="AD329" s="414"/>
      <c r="AE329" s="415"/>
    </row>
    <row r="330" spans="3:31">
      <c r="C330" s="440"/>
      <c r="D330" s="435"/>
      <c r="E330" s="435"/>
      <c r="F330" s="435"/>
      <c r="G330" s="435"/>
      <c r="H330" s="435"/>
      <c r="I330" s="412"/>
      <c r="J330" s="412"/>
      <c r="K330" s="412"/>
      <c r="L330" s="412"/>
      <c r="M330" s="412"/>
      <c r="N330" s="412"/>
      <c r="O330" s="412"/>
      <c r="P330" s="412"/>
      <c r="Q330" s="412"/>
      <c r="R330" s="412"/>
      <c r="S330" s="412"/>
      <c r="T330" s="412"/>
      <c r="U330" s="412"/>
      <c r="V330" s="412"/>
      <c r="W330" s="412"/>
      <c r="X330" s="412"/>
      <c r="Y330" s="412"/>
      <c r="Z330" s="412"/>
      <c r="AA330" s="412"/>
      <c r="AB330" s="412"/>
      <c r="AC330" s="412"/>
      <c r="AD330" s="412"/>
      <c r="AE330" s="413"/>
    </row>
    <row r="331" spans="3:31">
      <c r="C331" s="439"/>
      <c r="D331" s="434"/>
      <c r="E331" s="434"/>
      <c r="F331" s="434"/>
      <c r="G331" s="434"/>
      <c r="H331" s="434"/>
      <c r="I331" s="414"/>
      <c r="J331" s="414"/>
      <c r="K331" s="414"/>
      <c r="L331" s="414"/>
      <c r="M331" s="414"/>
      <c r="N331" s="414"/>
      <c r="O331" s="414"/>
      <c r="P331" s="414"/>
      <c r="Q331" s="414"/>
      <c r="R331" s="414"/>
      <c r="S331" s="414"/>
      <c r="T331" s="414"/>
      <c r="U331" s="414"/>
      <c r="V331" s="414"/>
      <c r="W331" s="414"/>
      <c r="X331" s="414"/>
      <c r="Y331" s="414"/>
      <c r="Z331" s="414"/>
      <c r="AA331" s="414"/>
      <c r="AB331" s="414"/>
      <c r="AC331" s="414"/>
      <c r="AD331" s="414"/>
      <c r="AE331" s="415"/>
    </row>
    <row r="332" spans="3:31">
      <c r="C332" s="440"/>
      <c r="D332" s="435"/>
      <c r="E332" s="435"/>
      <c r="F332" s="435"/>
      <c r="G332" s="435"/>
      <c r="H332" s="435"/>
      <c r="I332" s="412"/>
      <c r="J332" s="412"/>
      <c r="K332" s="412"/>
      <c r="L332" s="412"/>
      <c r="M332" s="412"/>
      <c r="N332" s="412"/>
      <c r="O332" s="412"/>
      <c r="P332" s="412"/>
      <c r="Q332" s="412"/>
      <c r="R332" s="412"/>
      <c r="S332" s="412"/>
      <c r="T332" s="412"/>
      <c r="U332" s="412"/>
      <c r="V332" s="412"/>
      <c r="W332" s="412"/>
      <c r="X332" s="412"/>
      <c r="Y332" s="412"/>
      <c r="Z332" s="412"/>
      <c r="AA332" s="412"/>
      <c r="AB332" s="412"/>
      <c r="AC332" s="412"/>
      <c r="AD332" s="412"/>
      <c r="AE332" s="413"/>
    </row>
    <row r="333" spans="3:31">
      <c r="C333" s="439"/>
      <c r="D333" s="434"/>
      <c r="E333" s="434"/>
      <c r="F333" s="434"/>
      <c r="G333" s="434"/>
      <c r="H333" s="434"/>
      <c r="I333" s="414"/>
      <c r="J333" s="414"/>
      <c r="K333" s="414"/>
      <c r="L333" s="414"/>
      <c r="M333" s="414"/>
      <c r="N333" s="414"/>
      <c r="O333" s="414"/>
      <c r="P333" s="414"/>
      <c r="Q333" s="414"/>
      <c r="R333" s="414"/>
      <c r="S333" s="414"/>
      <c r="T333" s="414"/>
      <c r="U333" s="414"/>
      <c r="V333" s="414"/>
      <c r="W333" s="414"/>
      <c r="X333" s="414"/>
      <c r="Y333" s="414"/>
      <c r="Z333" s="414"/>
      <c r="AA333" s="414"/>
      <c r="AB333" s="414"/>
      <c r="AC333" s="414"/>
      <c r="AD333" s="414"/>
      <c r="AE333" s="415"/>
    </row>
    <row r="334" spans="3:31">
      <c r="C334" s="440"/>
      <c r="D334" s="435"/>
      <c r="E334" s="435"/>
      <c r="F334" s="435"/>
      <c r="G334" s="435"/>
      <c r="H334" s="435"/>
      <c r="I334" s="412"/>
      <c r="J334" s="412"/>
      <c r="K334" s="412"/>
      <c r="L334" s="412"/>
      <c r="M334" s="412"/>
      <c r="N334" s="412"/>
      <c r="O334" s="412"/>
      <c r="P334" s="412"/>
      <c r="Q334" s="412"/>
      <c r="R334" s="412"/>
      <c r="S334" s="412"/>
      <c r="T334" s="412"/>
      <c r="U334" s="412"/>
      <c r="V334" s="412"/>
      <c r="W334" s="412"/>
      <c r="X334" s="412"/>
      <c r="Y334" s="412"/>
      <c r="Z334" s="412"/>
      <c r="AA334" s="412"/>
      <c r="AB334" s="412"/>
      <c r="AC334" s="412"/>
      <c r="AD334" s="412"/>
      <c r="AE334" s="413"/>
    </row>
    <row r="335" spans="3:31">
      <c r="C335" s="439"/>
      <c r="D335" s="434"/>
      <c r="E335" s="434"/>
      <c r="F335" s="434"/>
      <c r="G335" s="434"/>
      <c r="H335" s="434"/>
      <c r="I335" s="414"/>
      <c r="J335" s="414"/>
      <c r="K335" s="414"/>
      <c r="L335" s="414"/>
      <c r="M335" s="414"/>
      <c r="N335" s="414"/>
      <c r="O335" s="414"/>
      <c r="P335" s="414"/>
      <c r="Q335" s="414"/>
      <c r="R335" s="414"/>
      <c r="S335" s="414"/>
      <c r="T335" s="414"/>
      <c r="U335" s="414"/>
      <c r="V335" s="414"/>
      <c r="W335" s="414"/>
      <c r="X335" s="414"/>
      <c r="Y335" s="414"/>
      <c r="Z335" s="414"/>
      <c r="AA335" s="414"/>
      <c r="AB335" s="414"/>
      <c r="AC335" s="414"/>
      <c r="AD335" s="414"/>
      <c r="AE335" s="415"/>
    </row>
    <row r="336" spans="3:31">
      <c r="C336" s="440"/>
      <c r="D336" s="435"/>
      <c r="E336" s="435"/>
      <c r="F336" s="435"/>
      <c r="G336" s="435"/>
      <c r="H336" s="435"/>
      <c r="I336" s="412"/>
      <c r="J336" s="412"/>
      <c r="K336" s="412"/>
      <c r="L336" s="412"/>
      <c r="M336" s="412"/>
      <c r="N336" s="412"/>
      <c r="O336" s="412"/>
      <c r="P336" s="412"/>
      <c r="Q336" s="412"/>
      <c r="R336" s="412"/>
      <c r="S336" s="412"/>
      <c r="T336" s="412"/>
      <c r="U336" s="412"/>
      <c r="V336" s="412"/>
      <c r="W336" s="412"/>
      <c r="X336" s="412"/>
      <c r="Y336" s="412"/>
      <c r="Z336" s="412"/>
      <c r="AA336" s="412"/>
      <c r="AB336" s="412"/>
      <c r="AC336" s="412"/>
      <c r="AD336" s="412"/>
      <c r="AE336" s="413"/>
    </row>
    <row r="337" spans="3:31">
      <c r="C337" s="439"/>
      <c r="D337" s="434"/>
      <c r="E337" s="434"/>
      <c r="F337" s="434"/>
      <c r="G337" s="434"/>
      <c r="H337" s="434"/>
      <c r="I337" s="414"/>
      <c r="J337" s="414"/>
      <c r="K337" s="414"/>
      <c r="L337" s="414"/>
      <c r="M337" s="414"/>
      <c r="N337" s="414"/>
      <c r="O337" s="414"/>
      <c r="P337" s="414"/>
      <c r="Q337" s="414"/>
      <c r="R337" s="414"/>
      <c r="S337" s="414"/>
      <c r="T337" s="414"/>
      <c r="U337" s="414"/>
      <c r="V337" s="414"/>
      <c r="W337" s="414"/>
      <c r="X337" s="414"/>
      <c r="Y337" s="414"/>
      <c r="Z337" s="414"/>
      <c r="AA337" s="414"/>
      <c r="AB337" s="414"/>
      <c r="AC337" s="414"/>
      <c r="AD337" s="414"/>
      <c r="AE337" s="415"/>
    </row>
    <row r="338" spans="3:31">
      <c r="C338" s="440"/>
      <c r="D338" s="435"/>
      <c r="E338" s="435"/>
      <c r="F338" s="435"/>
      <c r="G338" s="435"/>
      <c r="H338" s="435"/>
      <c r="I338" s="412"/>
      <c r="J338" s="412"/>
      <c r="K338" s="412"/>
      <c r="L338" s="412"/>
      <c r="M338" s="412"/>
      <c r="N338" s="412"/>
      <c r="O338" s="412"/>
      <c r="P338" s="412"/>
      <c r="Q338" s="412"/>
      <c r="R338" s="412"/>
      <c r="S338" s="412"/>
      <c r="T338" s="412"/>
      <c r="U338" s="412"/>
      <c r="V338" s="412"/>
      <c r="W338" s="412"/>
      <c r="X338" s="412"/>
      <c r="Y338" s="412"/>
      <c r="Z338" s="412"/>
      <c r="AA338" s="412"/>
      <c r="AB338" s="412"/>
      <c r="AC338" s="412"/>
      <c r="AD338" s="412"/>
      <c r="AE338" s="413"/>
    </row>
    <row r="339" spans="3:31">
      <c r="C339" s="439"/>
      <c r="D339" s="434"/>
      <c r="E339" s="434"/>
      <c r="F339" s="434"/>
      <c r="G339" s="434"/>
      <c r="H339" s="434"/>
      <c r="I339" s="414"/>
      <c r="J339" s="414"/>
      <c r="K339" s="414"/>
      <c r="L339" s="414"/>
      <c r="M339" s="414"/>
      <c r="N339" s="414"/>
      <c r="O339" s="414"/>
      <c r="P339" s="414"/>
      <c r="Q339" s="414"/>
      <c r="R339" s="414"/>
      <c r="S339" s="414"/>
      <c r="T339" s="414"/>
      <c r="U339" s="414"/>
      <c r="V339" s="414"/>
      <c r="W339" s="414"/>
      <c r="X339" s="414"/>
      <c r="Y339" s="414"/>
      <c r="Z339" s="414"/>
      <c r="AA339" s="414"/>
      <c r="AB339" s="414"/>
      <c r="AC339" s="414"/>
      <c r="AD339" s="414"/>
      <c r="AE339" s="415"/>
    </row>
    <row r="340" spans="3:31">
      <c r="C340" s="440"/>
      <c r="D340" s="435"/>
      <c r="E340" s="435"/>
      <c r="F340" s="435"/>
      <c r="G340" s="435"/>
      <c r="H340" s="435"/>
      <c r="I340" s="412"/>
      <c r="J340" s="412"/>
      <c r="K340" s="412"/>
      <c r="L340" s="412"/>
      <c r="M340" s="412"/>
      <c r="N340" s="412"/>
      <c r="O340" s="412"/>
      <c r="P340" s="412"/>
      <c r="Q340" s="412"/>
      <c r="R340" s="412"/>
      <c r="S340" s="412"/>
      <c r="T340" s="412"/>
      <c r="U340" s="412"/>
      <c r="V340" s="412"/>
      <c r="W340" s="412"/>
      <c r="X340" s="412"/>
      <c r="Y340" s="412"/>
      <c r="Z340" s="412"/>
      <c r="AA340" s="412"/>
      <c r="AB340" s="412"/>
      <c r="AC340" s="412"/>
      <c r="AD340" s="412"/>
      <c r="AE340" s="413"/>
    </row>
    <row r="341" spans="3:31">
      <c r="C341" s="439"/>
      <c r="D341" s="434"/>
      <c r="E341" s="434"/>
      <c r="F341" s="434"/>
      <c r="G341" s="434"/>
      <c r="H341" s="434"/>
      <c r="I341" s="414"/>
      <c r="J341" s="414"/>
      <c r="K341" s="414"/>
      <c r="L341" s="414"/>
      <c r="M341" s="414"/>
      <c r="N341" s="414"/>
      <c r="O341" s="414"/>
      <c r="P341" s="414"/>
      <c r="Q341" s="414"/>
      <c r="R341" s="414"/>
      <c r="S341" s="414"/>
      <c r="T341" s="414"/>
      <c r="U341" s="414"/>
      <c r="V341" s="414"/>
      <c r="W341" s="414"/>
      <c r="X341" s="414"/>
      <c r="Y341" s="414"/>
      <c r="Z341" s="414"/>
      <c r="AA341" s="414"/>
      <c r="AB341" s="414"/>
      <c r="AC341" s="414"/>
      <c r="AD341" s="414"/>
      <c r="AE341" s="415"/>
    </row>
    <row r="342" spans="3:31">
      <c r="C342" s="440"/>
      <c r="D342" s="435"/>
      <c r="E342" s="435"/>
      <c r="F342" s="435"/>
      <c r="G342" s="435"/>
      <c r="H342" s="435"/>
      <c r="I342" s="412"/>
      <c r="J342" s="412"/>
      <c r="K342" s="412"/>
      <c r="L342" s="412"/>
      <c r="M342" s="412"/>
      <c r="N342" s="412"/>
      <c r="O342" s="412"/>
      <c r="P342" s="412"/>
      <c r="Q342" s="412"/>
      <c r="R342" s="412"/>
      <c r="S342" s="412"/>
      <c r="T342" s="412"/>
      <c r="U342" s="412"/>
      <c r="V342" s="412"/>
      <c r="W342" s="412"/>
      <c r="X342" s="412"/>
      <c r="Y342" s="412"/>
      <c r="Z342" s="412"/>
      <c r="AA342" s="412"/>
      <c r="AB342" s="412"/>
      <c r="AC342" s="412"/>
      <c r="AD342" s="412"/>
      <c r="AE342" s="413"/>
    </row>
    <row r="343" spans="3:31">
      <c r="C343" s="439"/>
      <c r="D343" s="434"/>
      <c r="E343" s="434"/>
      <c r="F343" s="434"/>
      <c r="G343" s="434"/>
      <c r="H343" s="434"/>
      <c r="I343" s="414"/>
      <c r="J343" s="414"/>
      <c r="K343" s="414"/>
      <c r="L343" s="414"/>
      <c r="M343" s="414"/>
      <c r="N343" s="414"/>
      <c r="O343" s="414"/>
      <c r="P343" s="414"/>
      <c r="Q343" s="414"/>
      <c r="R343" s="414"/>
      <c r="S343" s="414"/>
      <c r="T343" s="414"/>
      <c r="U343" s="414"/>
      <c r="V343" s="414"/>
      <c r="W343" s="414"/>
      <c r="X343" s="414"/>
      <c r="Y343" s="414"/>
      <c r="Z343" s="414"/>
      <c r="AA343" s="414"/>
      <c r="AB343" s="414"/>
      <c r="AC343" s="414"/>
      <c r="AD343" s="414"/>
      <c r="AE343" s="415"/>
    </row>
    <row r="344" spans="3:31">
      <c r="C344" s="440"/>
      <c r="D344" s="435"/>
      <c r="E344" s="435"/>
      <c r="F344" s="435"/>
      <c r="G344" s="435"/>
      <c r="H344" s="435"/>
      <c r="I344" s="412"/>
      <c r="J344" s="412"/>
      <c r="K344" s="412"/>
      <c r="L344" s="412"/>
      <c r="M344" s="412"/>
      <c r="N344" s="412"/>
      <c r="O344" s="412"/>
      <c r="P344" s="412"/>
      <c r="Q344" s="412"/>
      <c r="R344" s="412"/>
      <c r="S344" s="412"/>
      <c r="T344" s="412"/>
      <c r="U344" s="412"/>
      <c r="V344" s="412"/>
      <c r="W344" s="412"/>
      <c r="X344" s="412"/>
      <c r="Y344" s="412"/>
      <c r="Z344" s="412"/>
      <c r="AA344" s="412"/>
      <c r="AB344" s="412"/>
      <c r="AC344" s="412"/>
      <c r="AD344" s="412"/>
      <c r="AE344" s="413"/>
    </row>
    <row r="345" spans="3:31">
      <c r="C345" s="439"/>
      <c r="D345" s="434"/>
      <c r="E345" s="434"/>
      <c r="F345" s="434"/>
      <c r="G345" s="434"/>
      <c r="H345" s="434"/>
      <c r="I345" s="414"/>
      <c r="J345" s="414"/>
      <c r="K345" s="414"/>
      <c r="L345" s="414"/>
      <c r="M345" s="414"/>
      <c r="N345" s="414"/>
      <c r="O345" s="414"/>
      <c r="P345" s="414"/>
      <c r="Q345" s="414"/>
      <c r="R345" s="414"/>
      <c r="S345" s="414"/>
      <c r="T345" s="414"/>
      <c r="U345" s="414"/>
      <c r="V345" s="414"/>
      <c r="W345" s="414"/>
      <c r="X345" s="414"/>
      <c r="Y345" s="414"/>
      <c r="Z345" s="414"/>
      <c r="AA345" s="414"/>
      <c r="AB345" s="414"/>
      <c r="AC345" s="414"/>
      <c r="AD345" s="414"/>
      <c r="AE345" s="415"/>
    </row>
    <row r="346" spans="3:31">
      <c r="C346" s="440"/>
      <c r="D346" s="435"/>
      <c r="E346" s="435"/>
      <c r="F346" s="435"/>
      <c r="G346" s="435"/>
      <c r="H346" s="435"/>
      <c r="I346" s="412"/>
      <c r="J346" s="412"/>
      <c r="K346" s="412"/>
      <c r="L346" s="412"/>
      <c r="M346" s="412"/>
      <c r="N346" s="412"/>
      <c r="O346" s="412"/>
      <c r="P346" s="412"/>
      <c r="Q346" s="412"/>
      <c r="R346" s="412"/>
      <c r="S346" s="412"/>
      <c r="T346" s="412"/>
      <c r="U346" s="412"/>
      <c r="V346" s="412"/>
      <c r="W346" s="412"/>
      <c r="X346" s="412"/>
      <c r="Y346" s="412"/>
      <c r="Z346" s="412"/>
      <c r="AA346" s="412"/>
      <c r="AB346" s="412"/>
      <c r="AC346" s="412"/>
      <c r="AD346" s="412"/>
      <c r="AE346" s="413"/>
    </row>
    <row r="347" spans="3:31">
      <c r="C347" s="439"/>
      <c r="D347" s="434"/>
      <c r="E347" s="434"/>
      <c r="F347" s="434"/>
      <c r="G347" s="434"/>
      <c r="H347" s="434"/>
      <c r="I347" s="414"/>
      <c r="J347" s="414"/>
      <c r="K347" s="414"/>
      <c r="L347" s="414"/>
      <c r="M347" s="414"/>
      <c r="N347" s="414"/>
      <c r="O347" s="414"/>
      <c r="P347" s="414"/>
      <c r="Q347" s="414"/>
      <c r="R347" s="414"/>
      <c r="S347" s="414"/>
      <c r="T347" s="414"/>
      <c r="U347" s="414"/>
      <c r="V347" s="414"/>
      <c r="W347" s="414"/>
      <c r="X347" s="414"/>
      <c r="Y347" s="414"/>
      <c r="Z347" s="414"/>
      <c r="AA347" s="414"/>
      <c r="AB347" s="414"/>
      <c r="AC347" s="414"/>
      <c r="AD347" s="414"/>
      <c r="AE347" s="415"/>
    </row>
    <row r="348" spans="3:31">
      <c r="C348" s="440"/>
      <c r="D348" s="435"/>
      <c r="E348" s="435"/>
      <c r="F348" s="435"/>
      <c r="G348" s="435"/>
      <c r="H348" s="435"/>
      <c r="I348" s="412"/>
      <c r="J348" s="412"/>
      <c r="K348" s="412"/>
      <c r="L348" s="412"/>
      <c r="M348" s="412"/>
      <c r="N348" s="412"/>
      <c r="O348" s="412"/>
      <c r="P348" s="412"/>
      <c r="Q348" s="412"/>
      <c r="R348" s="412"/>
      <c r="S348" s="412"/>
      <c r="T348" s="412"/>
      <c r="U348" s="412"/>
      <c r="V348" s="412"/>
      <c r="W348" s="412"/>
      <c r="X348" s="412"/>
      <c r="Y348" s="412"/>
      <c r="Z348" s="412"/>
      <c r="AA348" s="412"/>
      <c r="AB348" s="412"/>
      <c r="AC348" s="412"/>
      <c r="AD348" s="412"/>
      <c r="AE348" s="413"/>
    </row>
    <row r="349" spans="3:31">
      <c r="C349" s="439"/>
      <c r="D349" s="434"/>
      <c r="E349" s="434"/>
      <c r="F349" s="434"/>
      <c r="G349" s="434"/>
      <c r="H349" s="434"/>
      <c r="I349" s="414"/>
      <c r="J349" s="414"/>
      <c r="K349" s="414"/>
      <c r="L349" s="414"/>
      <c r="M349" s="414"/>
      <c r="N349" s="414"/>
      <c r="O349" s="414"/>
      <c r="P349" s="414"/>
      <c r="Q349" s="414"/>
      <c r="R349" s="414"/>
      <c r="S349" s="414"/>
      <c r="T349" s="414"/>
      <c r="U349" s="414"/>
      <c r="V349" s="414"/>
      <c r="W349" s="414"/>
      <c r="X349" s="414"/>
      <c r="Y349" s="414"/>
      <c r="Z349" s="414"/>
      <c r="AA349" s="414"/>
      <c r="AB349" s="414"/>
      <c r="AC349" s="414"/>
      <c r="AD349" s="414"/>
      <c r="AE349" s="415"/>
    </row>
    <row r="350" spans="3:31">
      <c r="C350" s="440"/>
      <c r="D350" s="435"/>
      <c r="E350" s="435"/>
      <c r="F350" s="435"/>
      <c r="G350" s="435"/>
      <c r="H350" s="435"/>
      <c r="I350" s="412"/>
      <c r="J350" s="412"/>
      <c r="K350" s="412"/>
      <c r="L350" s="412"/>
      <c r="M350" s="412"/>
      <c r="N350" s="412"/>
      <c r="O350" s="412"/>
      <c r="P350" s="412"/>
      <c r="Q350" s="412"/>
      <c r="R350" s="412"/>
      <c r="S350" s="412"/>
      <c r="T350" s="412"/>
      <c r="U350" s="412"/>
      <c r="V350" s="412"/>
      <c r="W350" s="412"/>
      <c r="X350" s="412"/>
      <c r="Y350" s="412"/>
      <c r="Z350" s="412"/>
      <c r="AA350" s="412"/>
      <c r="AB350" s="412"/>
      <c r="AC350" s="412"/>
      <c r="AD350" s="412"/>
      <c r="AE350" s="413"/>
    </row>
    <row r="351" spans="3:31">
      <c r="C351" s="439"/>
      <c r="D351" s="434"/>
      <c r="E351" s="434"/>
      <c r="F351" s="434"/>
      <c r="G351" s="434"/>
      <c r="H351" s="434"/>
      <c r="I351" s="414"/>
      <c r="J351" s="414"/>
      <c r="K351" s="414"/>
      <c r="L351" s="414"/>
      <c r="M351" s="414"/>
      <c r="N351" s="414"/>
      <c r="O351" s="414"/>
      <c r="P351" s="414"/>
      <c r="Q351" s="414"/>
      <c r="R351" s="414"/>
      <c r="S351" s="414"/>
      <c r="T351" s="414"/>
      <c r="U351" s="414"/>
      <c r="V351" s="414"/>
      <c r="W351" s="414"/>
      <c r="X351" s="414"/>
      <c r="Y351" s="414"/>
      <c r="Z351" s="414"/>
      <c r="AA351" s="414"/>
      <c r="AB351" s="414"/>
      <c r="AC351" s="414"/>
      <c r="AD351" s="414"/>
      <c r="AE351" s="415"/>
    </row>
    <row r="352" spans="3:31">
      <c r="C352" s="440"/>
      <c r="D352" s="435"/>
      <c r="E352" s="435"/>
      <c r="F352" s="435"/>
      <c r="G352" s="435"/>
      <c r="H352" s="435"/>
      <c r="I352" s="412"/>
      <c r="J352" s="412"/>
      <c r="K352" s="412"/>
      <c r="L352" s="412"/>
      <c r="M352" s="412"/>
      <c r="N352" s="412"/>
      <c r="O352" s="412"/>
      <c r="P352" s="412"/>
      <c r="Q352" s="412"/>
      <c r="R352" s="412"/>
      <c r="S352" s="412"/>
      <c r="T352" s="412"/>
      <c r="U352" s="412"/>
      <c r="V352" s="412"/>
      <c r="W352" s="412"/>
      <c r="X352" s="412"/>
      <c r="Y352" s="412"/>
      <c r="Z352" s="412"/>
      <c r="AA352" s="412"/>
      <c r="AB352" s="412"/>
      <c r="AC352" s="412"/>
      <c r="AD352" s="412"/>
      <c r="AE352" s="413"/>
    </row>
    <row r="353" spans="3:31">
      <c r="C353" s="439"/>
      <c r="D353" s="434"/>
      <c r="E353" s="434"/>
      <c r="F353" s="434"/>
      <c r="G353" s="434"/>
      <c r="H353" s="434"/>
      <c r="I353" s="414"/>
      <c r="J353" s="414"/>
      <c r="K353" s="414"/>
      <c r="L353" s="414"/>
      <c r="M353" s="414"/>
      <c r="N353" s="414"/>
      <c r="O353" s="414"/>
      <c r="P353" s="414"/>
      <c r="Q353" s="414"/>
      <c r="R353" s="414"/>
      <c r="S353" s="414"/>
      <c r="T353" s="414"/>
      <c r="U353" s="414"/>
      <c r="V353" s="414"/>
      <c r="W353" s="414"/>
      <c r="X353" s="414"/>
      <c r="Y353" s="414"/>
      <c r="Z353" s="414"/>
      <c r="AA353" s="414"/>
      <c r="AB353" s="414"/>
      <c r="AC353" s="414"/>
      <c r="AD353" s="414"/>
      <c r="AE353" s="415"/>
    </row>
    <row r="354" spans="3:31">
      <c r="C354" s="440"/>
      <c r="D354" s="435"/>
      <c r="E354" s="435"/>
      <c r="F354" s="435"/>
      <c r="G354" s="435"/>
      <c r="H354" s="435"/>
      <c r="I354" s="412"/>
      <c r="J354" s="412"/>
      <c r="K354" s="412"/>
      <c r="L354" s="412"/>
      <c r="M354" s="412"/>
      <c r="N354" s="412"/>
      <c r="O354" s="412"/>
      <c r="P354" s="412"/>
      <c r="Q354" s="412"/>
      <c r="R354" s="412"/>
      <c r="S354" s="412"/>
      <c r="T354" s="412"/>
      <c r="U354" s="412"/>
      <c r="V354" s="412"/>
      <c r="W354" s="412"/>
      <c r="X354" s="412"/>
      <c r="Y354" s="412"/>
      <c r="Z354" s="412"/>
      <c r="AA354" s="412"/>
      <c r="AB354" s="412"/>
      <c r="AC354" s="412"/>
      <c r="AD354" s="412"/>
      <c r="AE354" s="413"/>
    </row>
    <row r="355" spans="3:31">
      <c r="C355" s="439"/>
      <c r="D355" s="434"/>
      <c r="E355" s="434"/>
      <c r="F355" s="434"/>
      <c r="G355" s="434"/>
      <c r="H355" s="434"/>
      <c r="I355" s="414"/>
      <c r="J355" s="414"/>
      <c r="K355" s="414"/>
      <c r="L355" s="414"/>
      <c r="M355" s="414"/>
      <c r="N355" s="414"/>
      <c r="O355" s="414"/>
      <c r="P355" s="414"/>
      <c r="Q355" s="414"/>
      <c r="R355" s="414"/>
      <c r="S355" s="414"/>
      <c r="T355" s="414"/>
      <c r="U355" s="414"/>
      <c r="V355" s="414"/>
      <c r="W355" s="414"/>
      <c r="X355" s="414"/>
      <c r="Y355" s="414"/>
      <c r="Z355" s="414"/>
      <c r="AA355" s="414"/>
      <c r="AB355" s="414"/>
      <c r="AC355" s="414"/>
      <c r="AD355" s="414"/>
      <c r="AE355" s="415"/>
    </row>
    <row r="356" spans="3:31">
      <c r="C356" s="440"/>
      <c r="D356" s="435"/>
      <c r="E356" s="435"/>
      <c r="F356" s="435"/>
      <c r="G356" s="435"/>
      <c r="H356" s="435"/>
      <c r="I356" s="412"/>
      <c r="J356" s="412"/>
      <c r="K356" s="412"/>
      <c r="L356" s="412"/>
      <c r="M356" s="412"/>
      <c r="N356" s="412"/>
      <c r="O356" s="412"/>
      <c r="P356" s="412"/>
      <c r="Q356" s="412"/>
      <c r="R356" s="412"/>
      <c r="S356" s="412"/>
      <c r="T356" s="412"/>
      <c r="U356" s="412"/>
      <c r="V356" s="412"/>
      <c r="W356" s="412"/>
      <c r="X356" s="412"/>
      <c r="Y356" s="412"/>
      <c r="Z356" s="412"/>
      <c r="AA356" s="412"/>
      <c r="AB356" s="412"/>
      <c r="AC356" s="412"/>
      <c r="AD356" s="412"/>
      <c r="AE356" s="413"/>
    </row>
    <row r="357" spans="3:31">
      <c r="C357" s="439"/>
      <c r="D357" s="434"/>
      <c r="E357" s="434"/>
      <c r="F357" s="434"/>
      <c r="G357" s="434"/>
      <c r="H357" s="434"/>
      <c r="I357" s="414"/>
      <c r="J357" s="414"/>
      <c r="K357" s="414"/>
      <c r="L357" s="414"/>
      <c r="M357" s="414"/>
      <c r="N357" s="414"/>
      <c r="O357" s="414"/>
      <c r="P357" s="414"/>
      <c r="Q357" s="414"/>
      <c r="R357" s="414"/>
      <c r="S357" s="414"/>
      <c r="T357" s="414"/>
      <c r="U357" s="414"/>
      <c r="V357" s="414"/>
      <c r="W357" s="414"/>
      <c r="X357" s="414"/>
      <c r="Y357" s="414"/>
      <c r="Z357" s="414"/>
      <c r="AA357" s="414"/>
      <c r="AB357" s="414"/>
      <c r="AC357" s="414"/>
      <c r="AD357" s="414"/>
      <c r="AE357" s="415"/>
    </row>
    <row r="358" spans="3:31">
      <c r="C358" s="440"/>
      <c r="D358" s="435"/>
      <c r="E358" s="435"/>
      <c r="F358" s="435"/>
      <c r="G358" s="435"/>
      <c r="H358" s="435"/>
      <c r="I358" s="412"/>
      <c r="J358" s="412"/>
      <c r="K358" s="412"/>
      <c r="L358" s="412"/>
      <c r="M358" s="412"/>
      <c r="N358" s="412"/>
      <c r="O358" s="412"/>
      <c r="P358" s="412"/>
      <c r="Q358" s="412"/>
      <c r="R358" s="412"/>
      <c r="S358" s="412"/>
      <c r="T358" s="412"/>
      <c r="U358" s="412"/>
      <c r="V358" s="412"/>
      <c r="W358" s="412"/>
      <c r="X358" s="412"/>
      <c r="Y358" s="412"/>
      <c r="Z358" s="412"/>
      <c r="AA358" s="412"/>
      <c r="AB358" s="412"/>
      <c r="AC358" s="412"/>
      <c r="AD358" s="412"/>
      <c r="AE358" s="413"/>
    </row>
    <row r="359" spans="3:31">
      <c r="C359" s="439"/>
      <c r="D359" s="434"/>
      <c r="E359" s="434"/>
      <c r="F359" s="434"/>
      <c r="G359" s="434"/>
      <c r="H359" s="434"/>
      <c r="I359" s="414"/>
      <c r="J359" s="414"/>
      <c r="K359" s="414"/>
      <c r="L359" s="414"/>
      <c r="M359" s="414"/>
      <c r="N359" s="414"/>
      <c r="O359" s="414"/>
      <c r="P359" s="414"/>
      <c r="Q359" s="414"/>
      <c r="R359" s="414"/>
      <c r="S359" s="414"/>
      <c r="T359" s="414"/>
      <c r="U359" s="414"/>
      <c r="V359" s="414"/>
      <c r="W359" s="414"/>
      <c r="X359" s="414"/>
      <c r="Y359" s="414"/>
      <c r="Z359" s="414"/>
      <c r="AA359" s="414"/>
      <c r="AB359" s="414"/>
      <c r="AC359" s="414"/>
      <c r="AD359" s="414"/>
      <c r="AE359" s="415"/>
    </row>
    <row r="360" spans="3:31">
      <c r="C360" s="440"/>
      <c r="D360" s="435"/>
      <c r="E360" s="435"/>
      <c r="F360" s="435"/>
      <c r="G360" s="435"/>
      <c r="H360" s="435"/>
      <c r="I360" s="412"/>
      <c r="J360" s="412"/>
      <c r="K360" s="412"/>
      <c r="L360" s="412"/>
      <c r="M360" s="412"/>
      <c r="N360" s="412"/>
      <c r="O360" s="412"/>
      <c r="P360" s="412"/>
      <c r="Q360" s="412"/>
      <c r="R360" s="412"/>
      <c r="S360" s="412"/>
      <c r="T360" s="412"/>
      <c r="U360" s="412"/>
      <c r="V360" s="412"/>
      <c r="W360" s="412"/>
      <c r="X360" s="412"/>
      <c r="Y360" s="412"/>
      <c r="Z360" s="412"/>
      <c r="AA360" s="412"/>
      <c r="AB360" s="412"/>
      <c r="AC360" s="412"/>
      <c r="AD360" s="412"/>
      <c r="AE360" s="413"/>
    </row>
    <row r="361" spans="3:31">
      <c r="C361" s="439"/>
      <c r="D361" s="434"/>
      <c r="E361" s="434"/>
      <c r="F361" s="434"/>
      <c r="G361" s="434"/>
      <c r="H361" s="434"/>
      <c r="I361" s="414"/>
      <c r="J361" s="414"/>
      <c r="K361" s="414"/>
      <c r="L361" s="414"/>
      <c r="M361" s="414"/>
      <c r="N361" s="414"/>
      <c r="O361" s="414"/>
      <c r="P361" s="414"/>
      <c r="Q361" s="414"/>
      <c r="R361" s="414"/>
      <c r="S361" s="414"/>
      <c r="T361" s="414"/>
      <c r="U361" s="414"/>
      <c r="V361" s="414"/>
      <c r="W361" s="414"/>
      <c r="X361" s="414"/>
      <c r="Y361" s="414"/>
      <c r="Z361" s="414"/>
      <c r="AA361" s="414"/>
      <c r="AB361" s="414"/>
      <c r="AC361" s="414"/>
      <c r="AD361" s="414"/>
      <c r="AE361" s="415"/>
    </row>
    <row r="362" spans="3:31">
      <c r="C362" s="440"/>
      <c r="D362" s="435"/>
      <c r="E362" s="435"/>
      <c r="F362" s="435"/>
      <c r="G362" s="435"/>
      <c r="H362" s="435"/>
      <c r="I362" s="412"/>
      <c r="J362" s="412"/>
      <c r="K362" s="412"/>
      <c r="L362" s="412"/>
      <c r="M362" s="412"/>
      <c r="N362" s="412"/>
      <c r="O362" s="412"/>
      <c r="P362" s="412"/>
      <c r="Q362" s="412"/>
      <c r="R362" s="412"/>
      <c r="S362" s="412"/>
      <c r="T362" s="412"/>
      <c r="U362" s="412"/>
      <c r="V362" s="412"/>
      <c r="W362" s="412"/>
      <c r="X362" s="412"/>
      <c r="Y362" s="412"/>
      <c r="Z362" s="412"/>
      <c r="AA362" s="412"/>
      <c r="AB362" s="412"/>
      <c r="AC362" s="412"/>
      <c r="AD362" s="412"/>
      <c r="AE362" s="413"/>
    </row>
    <row r="363" spans="3:31">
      <c r="C363" s="439"/>
      <c r="D363" s="434"/>
      <c r="E363" s="434"/>
      <c r="F363" s="434"/>
      <c r="G363" s="434"/>
      <c r="H363" s="434"/>
      <c r="I363" s="414"/>
      <c r="J363" s="414"/>
      <c r="K363" s="414"/>
      <c r="L363" s="414"/>
      <c r="M363" s="414"/>
      <c r="N363" s="414"/>
      <c r="O363" s="414"/>
      <c r="P363" s="414"/>
      <c r="Q363" s="414"/>
      <c r="R363" s="414"/>
      <c r="S363" s="414"/>
      <c r="T363" s="414"/>
      <c r="U363" s="414"/>
      <c r="V363" s="414"/>
      <c r="W363" s="414"/>
      <c r="X363" s="414"/>
      <c r="Y363" s="414"/>
      <c r="Z363" s="414"/>
      <c r="AA363" s="414"/>
      <c r="AB363" s="414"/>
      <c r="AC363" s="414"/>
      <c r="AD363" s="414"/>
      <c r="AE363" s="415"/>
    </row>
    <row r="364" spans="3:31">
      <c r="C364" s="440"/>
      <c r="D364" s="435"/>
      <c r="E364" s="435"/>
      <c r="F364" s="435"/>
      <c r="G364" s="435"/>
      <c r="H364" s="435"/>
      <c r="I364" s="412"/>
      <c r="J364" s="412"/>
      <c r="K364" s="412"/>
      <c r="L364" s="412"/>
      <c r="M364" s="412"/>
      <c r="N364" s="412"/>
      <c r="O364" s="412"/>
      <c r="P364" s="412"/>
      <c r="Q364" s="412"/>
      <c r="R364" s="412"/>
      <c r="S364" s="412"/>
      <c r="T364" s="412"/>
      <c r="U364" s="412"/>
      <c r="V364" s="412"/>
      <c r="W364" s="412"/>
      <c r="X364" s="412"/>
      <c r="Y364" s="412"/>
      <c r="Z364" s="412"/>
      <c r="AA364" s="412"/>
      <c r="AB364" s="412"/>
      <c r="AC364" s="412"/>
      <c r="AD364" s="412"/>
      <c r="AE364" s="413"/>
    </row>
    <row r="365" spans="3:31">
      <c r="C365" s="439"/>
      <c r="D365" s="434"/>
      <c r="E365" s="434"/>
      <c r="F365" s="434"/>
      <c r="G365" s="434"/>
      <c r="H365" s="434"/>
      <c r="I365" s="414"/>
      <c r="J365" s="414"/>
      <c r="K365" s="414"/>
      <c r="L365" s="414"/>
      <c r="M365" s="414"/>
      <c r="N365" s="414"/>
      <c r="O365" s="414"/>
      <c r="P365" s="414"/>
      <c r="Q365" s="414"/>
      <c r="R365" s="414"/>
      <c r="S365" s="414"/>
      <c r="T365" s="414"/>
      <c r="U365" s="414"/>
      <c r="V365" s="414"/>
      <c r="W365" s="414"/>
      <c r="X365" s="414"/>
      <c r="Y365" s="414"/>
      <c r="Z365" s="414"/>
      <c r="AA365" s="414"/>
      <c r="AB365" s="414"/>
      <c r="AC365" s="414"/>
      <c r="AD365" s="414"/>
      <c r="AE365" s="415"/>
    </row>
    <row r="366" spans="3:31">
      <c r="C366" s="440"/>
      <c r="D366" s="435"/>
      <c r="E366" s="435"/>
      <c r="F366" s="435"/>
      <c r="G366" s="435"/>
      <c r="H366" s="435"/>
      <c r="I366" s="412"/>
      <c r="J366" s="412"/>
      <c r="K366" s="412"/>
      <c r="L366" s="412"/>
      <c r="M366" s="412"/>
      <c r="N366" s="412"/>
      <c r="O366" s="412"/>
      <c r="P366" s="412"/>
      <c r="Q366" s="412"/>
      <c r="R366" s="412"/>
      <c r="S366" s="412"/>
      <c r="T366" s="412"/>
      <c r="U366" s="412"/>
      <c r="V366" s="412"/>
      <c r="W366" s="412"/>
      <c r="X366" s="412"/>
      <c r="Y366" s="412"/>
      <c r="Z366" s="412"/>
      <c r="AA366" s="412"/>
      <c r="AB366" s="412"/>
      <c r="AC366" s="412"/>
      <c r="AD366" s="412"/>
      <c r="AE366" s="413"/>
    </row>
    <row r="367" spans="3:31">
      <c r="C367" s="439"/>
      <c r="D367" s="434"/>
      <c r="E367" s="434"/>
      <c r="F367" s="434"/>
      <c r="G367" s="434"/>
      <c r="H367" s="434"/>
      <c r="I367" s="414"/>
      <c r="J367" s="414"/>
      <c r="K367" s="414"/>
      <c r="L367" s="414"/>
      <c r="M367" s="414"/>
      <c r="N367" s="414"/>
      <c r="O367" s="414"/>
      <c r="P367" s="414"/>
      <c r="Q367" s="414"/>
      <c r="R367" s="414"/>
      <c r="S367" s="414"/>
      <c r="T367" s="414"/>
      <c r="U367" s="414"/>
      <c r="V367" s="414"/>
      <c r="W367" s="414"/>
      <c r="X367" s="414"/>
      <c r="Y367" s="414"/>
      <c r="Z367" s="414"/>
      <c r="AA367" s="414"/>
      <c r="AB367" s="414"/>
      <c r="AC367" s="414"/>
      <c r="AD367" s="414"/>
      <c r="AE367" s="415"/>
    </row>
    <row r="368" spans="3:31">
      <c r="C368" s="440"/>
      <c r="D368" s="435"/>
      <c r="E368" s="435"/>
      <c r="F368" s="435"/>
      <c r="G368" s="435"/>
      <c r="H368" s="435"/>
      <c r="I368" s="412"/>
      <c r="J368" s="412"/>
      <c r="K368" s="412"/>
      <c r="L368" s="412"/>
      <c r="M368" s="412"/>
      <c r="N368" s="412"/>
      <c r="O368" s="412"/>
      <c r="P368" s="412"/>
      <c r="Q368" s="412"/>
      <c r="R368" s="412"/>
      <c r="S368" s="412"/>
      <c r="T368" s="412"/>
      <c r="U368" s="412"/>
      <c r="V368" s="412"/>
      <c r="W368" s="412"/>
      <c r="X368" s="412"/>
      <c r="Y368" s="412"/>
      <c r="Z368" s="412"/>
      <c r="AA368" s="412"/>
      <c r="AB368" s="412"/>
      <c r="AC368" s="412"/>
      <c r="AD368" s="412"/>
      <c r="AE368" s="413"/>
    </row>
    <row r="369" spans="3:31">
      <c r="C369" s="439"/>
      <c r="D369" s="434"/>
      <c r="E369" s="434"/>
      <c r="F369" s="434"/>
      <c r="G369" s="434"/>
      <c r="H369" s="434"/>
      <c r="I369" s="414"/>
      <c r="J369" s="414"/>
      <c r="K369" s="414"/>
      <c r="L369" s="414"/>
      <c r="M369" s="414"/>
      <c r="N369" s="414"/>
      <c r="O369" s="414"/>
      <c r="P369" s="414"/>
      <c r="Q369" s="414"/>
      <c r="R369" s="414"/>
      <c r="S369" s="414"/>
      <c r="T369" s="414"/>
      <c r="U369" s="414"/>
      <c r="V369" s="414"/>
      <c r="W369" s="414"/>
      <c r="X369" s="414"/>
      <c r="Y369" s="414"/>
      <c r="Z369" s="414"/>
      <c r="AA369" s="414"/>
      <c r="AB369" s="414"/>
      <c r="AC369" s="414"/>
      <c r="AD369" s="414"/>
      <c r="AE369" s="415"/>
    </row>
    <row r="370" spans="3:31">
      <c r="C370" s="440"/>
      <c r="D370" s="435"/>
      <c r="E370" s="435"/>
      <c r="F370" s="435"/>
      <c r="G370" s="435"/>
      <c r="H370" s="435"/>
      <c r="I370" s="412"/>
      <c r="J370" s="412"/>
      <c r="K370" s="412"/>
      <c r="L370" s="412"/>
      <c r="M370" s="412"/>
      <c r="N370" s="412"/>
      <c r="O370" s="412"/>
      <c r="P370" s="412"/>
      <c r="Q370" s="412"/>
      <c r="R370" s="412"/>
      <c r="S370" s="412"/>
      <c r="T370" s="412"/>
      <c r="U370" s="412"/>
      <c r="V370" s="412"/>
      <c r="W370" s="412"/>
      <c r="X370" s="412"/>
      <c r="Y370" s="412"/>
      <c r="Z370" s="412"/>
      <c r="AA370" s="412"/>
      <c r="AB370" s="412"/>
      <c r="AC370" s="412"/>
      <c r="AD370" s="412"/>
      <c r="AE370" s="413"/>
    </row>
    <row r="371" spans="3:31">
      <c r="C371" s="439"/>
      <c r="D371" s="434"/>
      <c r="E371" s="434"/>
      <c r="F371" s="434"/>
      <c r="G371" s="434"/>
      <c r="H371" s="434"/>
      <c r="I371" s="414"/>
      <c r="J371" s="414"/>
      <c r="K371" s="414"/>
      <c r="L371" s="414"/>
      <c r="M371" s="414"/>
      <c r="N371" s="414"/>
      <c r="O371" s="414"/>
      <c r="P371" s="414"/>
      <c r="Q371" s="414"/>
      <c r="R371" s="414"/>
      <c r="S371" s="414"/>
      <c r="T371" s="414"/>
      <c r="U371" s="414"/>
      <c r="V371" s="414"/>
      <c r="W371" s="414"/>
      <c r="X371" s="414"/>
      <c r="Y371" s="414"/>
      <c r="Z371" s="414"/>
      <c r="AA371" s="414"/>
      <c r="AB371" s="414"/>
      <c r="AC371" s="414"/>
      <c r="AD371" s="414"/>
      <c r="AE371" s="415"/>
    </row>
    <row r="372" spans="3:31">
      <c r="C372" s="440"/>
      <c r="D372" s="435"/>
      <c r="E372" s="435"/>
      <c r="F372" s="435"/>
      <c r="G372" s="435"/>
      <c r="H372" s="435"/>
      <c r="I372" s="412"/>
      <c r="J372" s="412"/>
      <c r="K372" s="412"/>
      <c r="L372" s="412"/>
      <c r="M372" s="412"/>
      <c r="N372" s="412"/>
      <c r="O372" s="412"/>
      <c r="P372" s="412"/>
      <c r="Q372" s="412"/>
      <c r="R372" s="412"/>
      <c r="S372" s="412"/>
      <c r="T372" s="412"/>
      <c r="U372" s="412"/>
      <c r="V372" s="412"/>
      <c r="W372" s="412"/>
      <c r="X372" s="412"/>
      <c r="Y372" s="412"/>
      <c r="Z372" s="412"/>
      <c r="AA372" s="412"/>
      <c r="AB372" s="412"/>
      <c r="AC372" s="412"/>
      <c r="AD372" s="412"/>
      <c r="AE372" s="413"/>
    </row>
    <row r="373" spans="3:31">
      <c r="C373" s="439"/>
      <c r="D373" s="434"/>
      <c r="E373" s="434"/>
      <c r="F373" s="434"/>
      <c r="G373" s="434"/>
      <c r="H373" s="434"/>
      <c r="I373" s="414"/>
      <c r="J373" s="414"/>
      <c r="K373" s="414"/>
      <c r="L373" s="414"/>
      <c r="M373" s="414"/>
      <c r="N373" s="414"/>
      <c r="O373" s="414"/>
      <c r="P373" s="414"/>
      <c r="Q373" s="414"/>
      <c r="R373" s="414"/>
      <c r="S373" s="414"/>
      <c r="T373" s="414"/>
      <c r="U373" s="414"/>
      <c r="V373" s="414"/>
      <c r="W373" s="414"/>
      <c r="X373" s="414"/>
      <c r="Y373" s="414"/>
      <c r="Z373" s="414"/>
      <c r="AA373" s="414"/>
      <c r="AB373" s="414"/>
      <c r="AC373" s="414"/>
      <c r="AD373" s="414"/>
      <c r="AE373" s="415"/>
    </row>
    <row r="374" spans="3:31">
      <c r="C374" s="440"/>
      <c r="D374" s="435"/>
      <c r="E374" s="435"/>
      <c r="F374" s="435"/>
      <c r="G374" s="435"/>
      <c r="H374" s="435"/>
      <c r="I374" s="412"/>
      <c r="J374" s="412"/>
      <c r="K374" s="412"/>
      <c r="L374" s="412"/>
      <c r="M374" s="412"/>
      <c r="N374" s="412"/>
      <c r="O374" s="412"/>
      <c r="P374" s="412"/>
      <c r="Q374" s="412"/>
      <c r="R374" s="412"/>
      <c r="S374" s="412"/>
      <c r="T374" s="412"/>
      <c r="U374" s="412"/>
      <c r="V374" s="412"/>
      <c r="W374" s="412"/>
      <c r="X374" s="412"/>
      <c r="Y374" s="412"/>
      <c r="Z374" s="412"/>
      <c r="AA374" s="412"/>
      <c r="AB374" s="412"/>
      <c r="AC374" s="412"/>
      <c r="AD374" s="412"/>
      <c r="AE374" s="413"/>
    </row>
    <row r="375" spans="3:31">
      <c r="C375" s="439"/>
      <c r="D375" s="434"/>
      <c r="E375" s="434"/>
      <c r="F375" s="434"/>
      <c r="G375" s="434"/>
      <c r="H375" s="434"/>
      <c r="I375" s="414"/>
      <c r="J375" s="414"/>
      <c r="K375" s="414"/>
      <c r="L375" s="414"/>
      <c r="M375" s="414"/>
      <c r="N375" s="414"/>
      <c r="O375" s="414"/>
      <c r="P375" s="414"/>
      <c r="Q375" s="414"/>
      <c r="R375" s="414"/>
      <c r="S375" s="414"/>
      <c r="T375" s="414"/>
      <c r="U375" s="414"/>
      <c r="V375" s="414"/>
      <c r="W375" s="414"/>
      <c r="X375" s="414"/>
      <c r="Y375" s="414"/>
      <c r="Z375" s="414"/>
      <c r="AA375" s="414"/>
      <c r="AB375" s="414"/>
      <c r="AC375" s="414"/>
      <c r="AD375" s="414"/>
      <c r="AE375" s="415"/>
    </row>
    <row r="376" spans="3:31">
      <c r="C376" s="440"/>
      <c r="D376" s="435"/>
      <c r="E376" s="435"/>
      <c r="F376" s="435"/>
      <c r="G376" s="435"/>
      <c r="H376" s="435"/>
      <c r="I376" s="412"/>
      <c r="J376" s="412"/>
      <c r="K376" s="412"/>
      <c r="L376" s="412"/>
      <c r="M376" s="412"/>
      <c r="N376" s="412"/>
      <c r="O376" s="412"/>
      <c r="P376" s="412"/>
      <c r="Q376" s="412"/>
      <c r="R376" s="412"/>
      <c r="S376" s="412"/>
      <c r="T376" s="412"/>
      <c r="U376" s="412"/>
      <c r="V376" s="412"/>
      <c r="W376" s="412"/>
      <c r="X376" s="412"/>
      <c r="Y376" s="412"/>
      <c r="Z376" s="412"/>
      <c r="AA376" s="412"/>
      <c r="AB376" s="412"/>
      <c r="AC376" s="412"/>
      <c r="AD376" s="412"/>
      <c r="AE376" s="413"/>
    </row>
    <row r="377" spans="3:31">
      <c r="C377" s="439"/>
      <c r="D377" s="434"/>
      <c r="E377" s="434"/>
      <c r="F377" s="434"/>
      <c r="G377" s="434"/>
      <c r="H377" s="434"/>
      <c r="I377" s="414"/>
      <c r="J377" s="414"/>
      <c r="K377" s="414"/>
      <c r="L377" s="414"/>
      <c r="M377" s="414"/>
      <c r="N377" s="414"/>
      <c r="O377" s="414"/>
      <c r="P377" s="414"/>
      <c r="Q377" s="414"/>
      <c r="R377" s="414"/>
      <c r="S377" s="414"/>
      <c r="T377" s="414"/>
      <c r="U377" s="414"/>
      <c r="V377" s="414"/>
      <c r="W377" s="414"/>
      <c r="X377" s="414"/>
      <c r="Y377" s="414"/>
      <c r="Z377" s="414"/>
      <c r="AA377" s="414"/>
      <c r="AB377" s="414"/>
      <c r="AC377" s="414"/>
      <c r="AD377" s="414"/>
      <c r="AE377" s="415"/>
    </row>
    <row r="378" spans="3:31">
      <c r="C378" s="440"/>
      <c r="D378" s="435"/>
      <c r="E378" s="435"/>
      <c r="F378" s="435"/>
      <c r="G378" s="435"/>
      <c r="H378" s="435"/>
      <c r="I378" s="412"/>
      <c r="J378" s="412"/>
      <c r="K378" s="412"/>
      <c r="L378" s="412"/>
      <c r="M378" s="412"/>
      <c r="N378" s="412"/>
      <c r="O378" s="412"/>
      <c r="P378" s="412"/>
      <c r="Q378" s="412"/>
      <c r="R378" s="412"/>
      <c r="S378" s="412"/>
      <c r="T378" s="412"/>
      <c r="U378" s="412"/>
      <c r="V378" s="412"/>
      <c r="W378" s="412"/>
      <c r="X378" s="412"/>
      <c r="Y378" s="412"/>
      <c r="Z378" s="412"/>
      <c r="AA378" s="412"/>
      <c r="AB378" s="412"/>
      <c r="AC378" s="412"/>
      <c r="AD378" s="412"/>
      <c r="AE378" s="413"/>
    </row>
    <row r="379" spans="3:31">
      <c r="C379" s="439"/>
      <c r="D379" s="434"/>
      <c r="E379" s="434"/>
      <c r="F379" s="434"/>
      <c r="G379" s="434"/>
      <c r="H379" s="434"/>
      <c r="I379" s="414"/>
      <c r="J379" s="414"/>
      <c r="K379" s="414"/>
      <c r="L379" s="414"/>
      <c r="M379" s="414"/>
      <c r="N379" s="414"/>
      <c r="O379" s="414"/>
      <c r="P379" s="414"/>
      <c r="Q379" s="414"/>
      <c r="R379" s="414"/>
      <c r="S379" s="414"/>
      <c r="T379" s="414"/>
      <c r="U379" s="414"/>
      <c r="V379" s="414"/>
      <c r="W379" s="414"/>
      <c r="X379" s="414"/>
      <c r="Y379" s="414"/>
      <c r="Z379" s="414"/>
      <c r="AA379" s="414"/>
      <c r="AB379" s="414"/>
      <c r="AC379" s="414"/>
      <c r="AD379" s="414"/>
      <c r="AE379" s="415"/>
    </row>
    <row r="380" spans="3:31">
      <c r="C380" s="440"/>
      <c r="D380" s="435"/>
      <c r="E380" s="435"/>
      <c r="F380" s="435"/>
      <c r="G380" s="435"/>
      <c r="H380" s="435"/>
      <c r="I380" s="412"/>
      <c r="J380" s="412"/>
      <c r="K380" s="412"/>
      <c r="L380" s="412"/>
      <c r="M380" s="412"/>
      <c r="N380" s="412"/>
      <c r="O380" s="412"/>
      <c r="P380" s="412"/>
      <c r="Q380" s="412"/>
      <c r="R380" s="412"/>
      <c r="S380" s="412"/>
      <c r="T380" s="412"/>
      <c r="U380" s="412"/>
      <c r="V380" s="412"/>
      <c r="W380" s="412"/>
      <c r="X380" s="412"/>
      <c r="Y380" s="412"/>
      <c r="Z380" s="412"/>
      <c r="AA380" s="412"/>
      <c r="AB380" s="412"/>
      <c r="AC380" s="412"/>
      <c r="AD380" s="412"/>
      <c r="AE380" s="413"/>
    </row>
    <row r="381" spans="3:31">
      <c r="C381" s="439"/>
      <c r="D381" s="434"/>
      <c r="E381" s="434"/>
      <c r="F381" s="434"/>
      <c r="G381" s="434"/>
      <c r="H381" s="434"/>
      <c r="I381" s="414"/>
      <c r="J381" s="414"/>
      <c r="K381" s="414"/>
      <c r="L381" s="414"/>
      <c r="M381" s="414"/>
      <c r="N381" s="414"/>
      <c r="O381" s="414"/>
      <c r="P381" s="414"/>
      <c r="Q381" s="414"/>
      <c r="R381" s="414"/>
      <c r="S381" s="414"/>
      <c r="T381" s="414"/>
      <c r="U381" s="414"/>
      <c r="V381" s="414"/>
      <c r="W381" s="414"/>
      <c r="X381" s="414"/>
      <c r="Y381" s="414"/>
      <c r="Z381" s="414"/>
      <c r="AA381" s="414"/>
      <c r="AB381" s="414"/>
      <c r="AC381" s="414"/>
      <c r="AD381" s="414"/>
      <c r="AE381" s="415"/>
    </row>
    <row r="382" spans="3:31">
      <c r="C382" s="440"/>
      <c r="D382" s="435"/>
      <c r="E382" s="435"/>
      <c r="F382" s="435"/>
      <c r="G382" s="435"/>
      <c r="H382" s="435"/>
      <c r="I382" s="412"/>
      <c r="J382" s="412"/>
      <c r="K382" s="412"/>
      <c r="L382" s="412"/>
      <c r="M382" s="412"/>
      <c r="N382" s="412"/>
      <c r="O382" s="412"/>
      <c r="P382" s="412"/>
      <c r="Q382" s="412"/>
      <c r="R382" s="412"/>
      <c r="S382" s="412"/>
      <c r="T382" s="412"/>
      <c r="U382" s="412"/>
      <c r="V382" s="412"/>
      <c r="W382" s="412"/>
      <c r="X382" s="412"/>
      <c r="Y382" s="412"/>
      <c r="Z382" s="412"/>
      <c r="AA382" s="412"/>
      <c r="AB382" s="412"/>
      <c r="AC382" s="412"/>
      <c r="AD382" s="412"/>
      <c r="AE382" s="413"/>
    </row>
    <row r="383" spans="3:31">
      <c r="C383" s="439"/>
      <c r="D383" s="434"/>
      <c r="E383" s="434"/>
      <c r="F383" s="434"/>
      <c r="G383" s="434"/>
      <c r="H383" s="434"/>
      <c r="I383" s="414"/>
      <c r="J383" s="414"/>
      <c r="K383" s="414"/>
      <c r="L383" s="414"/>
      <c r="M383" s="414"/>
      <c r="N383" s="414"/>
      <c r="O383" s="414"/>
      <c r="P383" s="414"/>
      <c r="Q383" s="414"/>
      <c r="R383" s="414"/>
      <c r="S383" s="414"/>
      <c r="T383" s="414"/>
      <c r="U383" s="414"/>
      <c r="V383" s="414"/>
      <c r="W383" s="414"/>
      <c r="X383" s="414"/>
      <c r="Y383" s="414"/>
      <c r="Z383" s="414"/>
      <c r="AA383" s="414"/>
      <c r="AB383" s="414"/>
      <c r="AC383" s="414"/>
      <c r="AD383" s="414"/>
      <c r="AE383" s="415"/>
    </row>
    <row r="384" spans="3:31">
      <c r="C384" s="440"/>
      <c r="D384" s="435"/>
      <c r="E384" s="435"/>
      <c r="F384" s="435"/>
      <c r="G384" s="435"/>
      <c r="H384" s="435"/>
      <c r="I384" s="412"/>
      <c r="J384" s="412"/>
      <c r="K384" s="412"/>
      <c r="L384" s="412"/>
      <c r="M384" s="412"/>
      <c r="N384" s="412"/>
      <c r="O384" s="412"/>
      <c r="P384" s="412"/>
      <c r="Q384" s="412"/>
      <c r="R384" s="412"/>
      <c r="S384" s="412"/>
      <c r="T384" s="412"/>
      <c r="U384" s="412"/>
      <c r="V384" s="412"/>
      <c r="W384" s="412"/>
      <c r="X384" s="412"/>
      <c r="Y384" s="412"/>
      <c r="Z384" s="412"/>
      <c r="AA384" s="412"/>
      <c r="AB384" s="412"/>
      <c r="AC384" s="412"/>
      <c r="AD384" s="412"/>
      <c r="AE384" s="413"/>
    </row>
    <row r="385" spans="3:31">
      <c r="C385" s="439"/>
      <c r="D385" s="434"/>
      <c r="E385" s="434"/>
      <c r="F385" s="434"/>
      <c r="G385" s="434"/>
      <c r="H385" s="434"/>
      <c r="I385" s="414"/>
      <c r="J385" s="414"/>
      <c r="K385" s="414"/>
      <c r="L385" s="414"/>
      <c r="M385" s="414"/>
      <c r="N385" s="414"/>
      <c r="O385" s="414"/>
      <c r="P385" s="414"/>
      <c r="Q385" s="414"/>
      <c r="R385" s="414"/>
      <c r="S385" s="414"/>
      <c r="T385" s="414"/>
      <c r="U385" s="414"/>
      <c r="V385" s="414"/>
      <c r="W385" s="414"/>
      <c r="X385" s="414"/>
      <c r="Y385" s="414"/>
      <c r="Z385" s="414"/>
      <c r="AA385" s="414"/>
      <c r="AB385" s="414"/>
      <c r="AC385" s="414"/>
      <c r="AD385" s="414"/>
      <c r="AE385" s="415"/>
    </row>
    <row r="386" spans="3:31">
      <c r="C386" s="440"/>
      <c r="D386" s="435"/>
      <c r="E386" s="435"/>
      <c r="F386" s="435"/>
      <c r="G386" s="435"/>
      <c r="H386" s="435"/>
      <c r="I386" s="412"/>
      <c r="J386" s="412"/>
      <c r="K386" s="412"/>
      <c r="L386" s="412"/>
      <c r="M386" s="412"/>
      <c r="N386" s="412"/>
      <c r="O386" s="412"/>
      <c r="P386" s="412"/>
      <c r="Q386" s="412"/>
      <c r="R386" s="412"/>
      <c r="S386" s="412"/>
      <c r="T386" s="412"/>
      <c r="U386" s="412"/>
      <c r="V386" s="412"/>
      <c r="W386" s="412"/>
      <c r="X386" s="412"/>
      <c r="Y386" s="412"/>
      <c r="Z386" s="412"/>
      <c r="AA386" s="412"/>
      <c r="AB386" s="412"/>
      <c r="AC386" s="412"/>
      <c r="AD386" s="412"/>
      <c r="AE386" s="413"/>
    </row>
    <row r="387" spans="3:31">
      <c r="C387" s="439"/>
      <c r="D387" s="434"/>
      <c r="E387" s="434"/>
      <c r="F387" s="434"/>
      <c r="G387" s="434"/>
      <c r="H387" s="434"/>
      <c r="I387" s="414"/>
      <c r="J387" s="414"/>
      <c r="K387" s="414"/>
      <c r="L387" s="414"/>
      <c r="M387" s="414"/>
      <c r="N387" s="414"/>
      <c r="O387" s="414"/>
      <c r="P387" s="414"/>
      <c r="Q387" s="414"/>
      <c r="R387" s="414"/>
      <c r="S387" s="414"/>
      <c r="T387" s="414"/>
      <c r="U387" s="414"/>
      <c r="V387" s="414"/>
      <c r="W387" s="414"/>
      <c r="X387" s="414"/>
      <c r="Y387" s="414"/>
      <c r="Z387" s="414"/>
      <c r="AA387" s="414"/>
      <c r="AB387" s="414"/>
      <c r="AC387" s="414"/>
      <c r="AD387" s="414"/>
      <c r="AE387" s="415"/>
    </row>
    <row r="388" spans="3:31">
      <c r="C388" s="440"/>
      <c r="D388" s="435"/>
      <c r="E388" s="435"/>
      <c r="F388" s="435"/>
      <c r="G388" s="435"/>
      <c r="H388" s="435"/>
      <c r="I388" s="412"/>
      <c r="J388" s="412"/>
      <c r="K388" s="412"/>
      <c r="L388" s="412"/>
      <c r="M388" s="412"/>
      <c r="N388" s="412"/>
      <c r="O388" s="412"/>
      <c r="P388" s="412"/>
      <c r="Q388" s="412"/>
      <c r="R388" s="412"/>
      <c r="S388" s="412"/>
      <c r="T388" s="412"/>
      <c r="U388" s="412"/>
      <c r="V388" s="412"/>
      <c r="W388" s="412"/>
      <c r="X388" s="412"/>
      <c r="Y388" s="412"/>
      <c r="Z388" s="412"/>
      <c r="AA388" s="412"/>
      <c r="AB388" s="412"/>
      <c r="AC388" s="412"/>
      <c r="AD388" s="412"/>
      <c r="AE388" s="413"/>
    </row>
    <row r="389" spans="3:31">
      <c r="C389" s="439"/>
      <c r="D389" s="434"/>
      <c r="E389" s="434"/>
      <c r="F389" s="434"/>
      <c r="G389" s="434"/>
      <c r="H389" s="434"/>
      <c r="I389" s="414"/>
      <c r="J389" s="414"/>
      <c r="K389" s="414"/>
      <c r="L389" s="414"/>
      <c r="M389" s="414"/>
      <c r="N389" s="414"/>
      <c r="O389" s="414"/>
      <c r="P389" s="414"/>
      <c r="Q389" s="414"/>
      <c r="R389" s="414"/>
      <c r="S389" s="414"/>
      <c r="T389" s="414"/>
      <c r="U389" s="414"/>
      <c r="V389" s="414"/>
      <c r="W389" s="414"/>
      <c r="X389" s="414"/>
      <c r="Y389" s="414"/>
      <c r="Z389" s="414"/>
      <c r="AA389" s="414"/>
      <c r="AB389" s="414"/>
      <c r="AC389" s="414"/>
      <c r="AD389" s="414"/>
      <c r="AE389" s="415"/>
    </row>
    <row r="390" spans="3:31">
      <c r="C390" s="440"/>
      <c r="D390" s="435"/>
      <c r="E390" s="435"/>
      <c r="F390" s="435"/>
      <c r="G390" s="435"/>
      <c r="H390" s="435"/>
      <c r="I390" s="412"/>
      <c r="J390" s="412"/>
      <c r="K390" s="412"/>
      <c r="L390" s="412"/>
      <c r="M390" s="412"/>
      <c r="N390" s="412"/>
      <c r="O390" s="412"/>
      <c r="P390" s="412"/>
      <c r="Q390" s="412"/>
      <c r="R390" s="412"/>
      <c r="S390" s="412"/>
      <c r="T390" s="412"/>
      <c r="U390" s="412"/>
      <c r="V390" s="412"/>
      <c r="W390" s="412"/>
      <c r="X390" s="412"/>
      <c r="Y390" s="412"/>
      <c r="Z390" s="412"/>
      <c r="AA390" s="412"/>
      <c r="AB390" s="412"/>
      <c r="AC390" s="412"/>
      <c r="AD390" s="412"/>
      <c r="AE390" s="413"/>
    </row>
    <row r="391" spans="3:31">
      <c r="C391" s="439"/>
      <c r="D391" s="434"/>
      <c r="E391" s="434"/>
      <c r="F391" s="434"/>
      <c r="G391" s="434"/>
      <c r="H391" s="434"/>
      <c r="I391" s="414"/>
      <c r="J391" s="414"/>
      <c r="K391" s="414"/>
      <c r="L391" s="414"/>
      <c r="M391" s="414"/>
      <c r="N391" s="414"/>
      <c r="O391" s="414"/>
      <c r="P391" s="414"/>
      <c r="Q391" s="414"/>
      <c r="R391" s="414"/>
      <c r="S391" s="414"/>
      <c r="T391" s="414"/>
      <c r="U391" s="414"/>
      <c r="V391" s="414"/>
      <c r="W391" s="414"/>
      <c r="X391" s="414"/>
      <c r="Y391" s="414"/>
      <c r="Z391" s="414"/>
      <c r="AA391" s="414"/>
      <c r="AB391" s="414"/>
      <c r="AC391" s="414"/>
      <c r="AD391" s="414"/>
      <c r="AE391" s="415"/>
    </row>
    <row r="392" spans="3:31">
      <c r="C392" s="440"/>
      <c r="D392" s="435"/>
      <c r="E392" s="435"/>
      <c r="F392" s="435"/>
      <c r="G392" s="435"/>
      <c r="H392" s="435"/>
      <c r="I392" s="412"/>
      <c r="J392" s="412"/>
      <c r="K392" s="412"/>
      <c r="L392" s="412"/>
      <c r="M392" s="412"/>
      <c r="N392" s="412"/>
      <c r="O392" s="412"/>
      <c r="P392" s="412"/>
      <c r="Q392" s="412"/>
      <c r="R392" s="412"/>
      <c r="S392" s="412"/>
      <c r="T392" s="412"/>
      <c r="U392" s="412"/>
      <c r="V392" s="412"/>
      <c r="W392" s="412"/>
      <c r="X392" s="412"/>
      <c r="Y392" s="412"/>
      <c r="Z392" s="412"/>
      <c r="AA392" s="412"/>
      <c r="AB392" s="412"/>
      <c r="AC392" s="412"/>
      <c r="AD392" s="412"/>
      <c r="AE392" s="413"/>
    </row>
    <row r="393" spans="3:31">
      <c r="C393" s="439"/>
      <c r="D393" s="434"/>
      <c r="E393" s="434"/>
      <c r="F393" s="434"/>
      <c r="G393" s="434"/>
      <c r="H393" s="434"/>
      <c r="I393" s="414"/>
      <c r="J393" s="414"/>
      <c r="K393" s="414"/>
      <c r="L393" s="414"/>
      <c r="M393" s="414"/>
      <c r="N393" s="414"/>
      <c r="O393" s="414"/>
      <c r="P393" s="414"/>
      <c r="Q393" s="414"/>
      <c r="R393" s="414"/>
      <c r="S393" s="414"/>
      <c r="T393" s="414"/>
      <c r="U393" s="414"/>
      <c r="V393" s="414"/>
      <c r="W393" s="414"/>
      <c r="X393" s="414"/>
      <c r="Y393" s="414"/>
      <c r="Z393" s="414"/>
      <c r="AA393" s="414"/>
      <c r="AB393" s="414"/>
      <c r="AC393" s="414"/>
      <c r="AD393" s="414"/>
      <c r="AE393" s="415"/>
    </row>
    <row r="394" spans="3:31">
      <c r="C394" s="440"/>
      <c r="D394" s="435"/>
      <c r="E394" s="435"/>
      <c r="F394" s="435"/>
      <c r="G394" s="435"/>
      <c r="H394" s="435"/>
      <c r="I394" s="412"/>
      <c r="J394" s="412"/>
      <c r="K394" s="412"/>
      <c r="L394" s="412"/>
      <c r="M394" s="412"/>
      <c r="N394" s="412"/>
      <c r="O394" s="412"/>
      <c r="P394" s="412"/>
      <c r="Q394" s="412"/>
      <c r="R394" s="412"/>
      <c r="S394" s="412"/>
      <c r="T394" s="412"/>
      <c r="U394" s="412"/>
      <c r="V394" s="412"/>
      <c r="W394" s="412"/>
      <c r="X394" s="412"/>
      <c r="Y394" s="412"/>
      <c r="Z394" s="412"/>
      <c r="AA394" s="412"/>
      <c r="AB394" s="412"/>
      <c r="AC394" s="412"/>
      <c r="AD394" s="412"/>
      <c r="AE394" s="413"/>
    </row>
    <row r="395" spans="3:31">
      <c r="C395" s="439"/>
      <c r="D395" s="434"/>
      <c r="E395" s="434"/>
      <c r="F395" s="434"/>
      <c r="G395" s="434"/>
      <c r="H395" s="434"/>
      <c r="I395" s="414"/>
      <c r="J395" s="414"/>
      <c r="K395" s="414"/>
      <c r="L395" s="414"/>
      <c r="M395" s="414"/>
      <c r="N395" s="414"/>
      <c r="O395" s="414"/>
      <c r="P395" s="414"/>
      <c r="Q395" s="414"/>
      <c r="R395" s="414"/>
      <c r="S395" s="414"/>
      <c r="T395" s="414"/>
      <c r="U395" s="414"/>
      <c r="V395" s="414"/>
      <c r="W395" s="414"/>
      <c r="X395" s="414"/>
      <c r="Y395" s="414"/>
      <c r="Z395" s="414"/>
      <c r="AA395" s="414"/>
      <c r="AB395" s="414"/>
      <c r="AC395" s="414"/>
      <c r="AD395" s="414"/>
      <c r="AE395" s="415"/>
    </row>
    <row r="396" spans="3:31">
      <c r="C396" s="440"/>
      <c r="D396" s="435"/>
      <c r="E396" s="435"/>
      <c r="F396" s="435"/>
      <c r="G396" s="435"/>
      <c r="H396" s="435"/>
      <c r="I396" s="412"/>
      <c r="J396" s="412"/>
      <c r="K396" s="412"/>
      <c r="L396" s="412"/>
      <c r="M396" s="412"/>
      <c r="N396" s="412"/>
      <c r="O396" s="412"/>
      <c r="P396" s="412"/>
      <c r="Q396" s="412"/>
      <c r="R396" s="412"/>
      <c r="S396" s="412"/>
      <c r="T396" s="412"/>
      <c r="U396" s="412"/>
      <c r="V396" s="412"/>
      <c r="W396" s="412"/>
      <c r="X396" s="412"/>
      <c r="Y396" s="412"/>
      <c r="Z396" s="412"/>
      <c r="AA396" s="412"/>
      <c r="AB396" s="412"/>
      <c r="AC396" s="412"/>
      <c r="AD396" s="412"/>
      <c r="AE396" s="413"/>
    </row>
    <row r="397" spans="3:31">
      <c r="C397" s="439"/>
      <c r="D397" s="434"/>
      <c r="E397" s="434"/>
      <c r="F397" s="434"/>
      <c r="G397" s="434"/>
      <c r="H397" s="434"/>
      <c r="I397" s="414"/>
      <c r="J397" s="414"/>
      <c r="K397" s="414"/>
      <c r="L397" s="414"/>
      <c r="M397" s="414"/>
      <c r="N397" s="414"/>
      <c r="O397" s="414"/>
      <c r="P397" s="414"/>
      <c r="Q397" s="414"/>
      <c r="R397" s="414"/>
      <c r="S397" s="414"/>
      <c r="T397" s="414"/>
      <c r="U397" s="414"/>
      <c r="V397" s="414"/>
      <c r="W397" s="414"/>
      <c r="X397" s="414"/>
      <c r="Y397" s="414"/>
      <c r="Z397" s="414"/>
      <c r="AA397" s="414"/>
      <c r="AB397" s="414"/>
      <c r="AC397" s="414"/>
      <c r="AD397" s="414"/>
      <c r="AE397" s="415"/>
    </row>
    <row r="398" spans="3:31">
      <c r="C398" s="440"/>
      <c r="D398" s="435"/>
      <c r="E398" s="435"/>
      <c r="F398" s="435"/>
      <c r="G398" s="435"/>
      <c r="H398" s="435"/>
      <c r="I398" s="412"/>
      <c r="J398" s="412"/>
      <c r="K398" s="412"/>
      <c r="L398" s="412"/>
      <c r="M398" s="412"/>
      <c r="N398" s="412"/>
      <c r="O398" s="412"/>
      <c r="P398" s="412"/>
      <c r="Q398" s="412"/>
      <c r="R398" s="412"/>
      <c r="S398" s="412"/>
      <c r="T398" s="412"/>
      <c r="U398" s="412"/>
      <c r="V398" s="412"/>
      <c r="W398" s="412"/>
      <c r="X398" s="412"/>
      <c r="Y398" s="412"/>
      <c r="Z398" s="412"/>
      <c r="AA398" s="412"/>
      <c r="AB398" s="412"/>
      <c r="AC398" s="412"/>
      <c r="AD398" s="412"/>
      <c r="AE398" s="413"/>
    </row>
    <row r="399" spans="3:31">
      <c r="C399" s="439"/>
      <c r="D399" s="434"/>
      <c r="E399" s="434"/>
      <c r="F399" s="434"/>
      <c r="G399" s="434"/>
      <c r="H399" s="434"/>
      <c r="I399" s="414"/>
      <c r="J399" s="414"/>
      <c r="K399" s="414"/>
      <c r="L399" s="414"/>
      <c r="M399" s="414"/>
      <c r="N399" s="414"/>
      <c r="O399" s="414"/>
      <c r="P399" s="414"/>
      <c r="Q399" s="414"/>
      <c r="R399" s="414"/>
      <c r="S399" s="414"/>
      <c r="T399" s="414"/>
      <c r="U399" s="414"/>
      <c r="V399" s="414"/>
      <c r="W399" s="414"/>
      <c r="X399" s="414"/>
      <c r="Y399" s="414"/>
      <c r="Z399" s="414"/>
      <c r="AA399" s="414"/>
      <c r="AB399" s="414"/>
      <c r="AC399" s="414"/>
      <c r="AD399" s="414"/>
      <c r="AE399" s="415"/>
    </row>
    <row r="400" spans="3:31">
      <c r="C400" s="440"/>
      <c r="D400" s="435"/>
      <c r="E400" s="435"/>
      <c r="F400" s="435"/>
      <c r="G400" s="435"/>
      <c r="H400" s="435"/>
      <c r="I400" s="412"/>
      <c r="J400" s="412"/>
      <c r="K400" s="412"/>
      <c r="L400" s="412"/>
      <c r="M400" s="412"/>
      <c r="N400" s="412"/>
      <c r="O400" s="412"/>
      <c r="P400" s="412"/>
      <c r="Q400" s="412"/>
      <c r="R400" s="412"/>
      <c r="S400" s="412"/>
      <c r="T400" s="412"/>
      <c r="U400" s="412"/>
      <c r="V400" s="412"/>
      <c r="W400" s="412"/>
      <c r="X400" s="412"/>
      <c r="Y400" s="412"/>
      <c r="Z400" s="412"/>
      <c r="AA400" s="412"/>
      <c r="AB400" s="412"/>
      <c r="AC400" s="412"/>
      <c r="AD400" s="412"/>
      <c r="AE400" s="413"/>
    </row>
    <row r="401" spans="3:31">
      <c r="C401" s="439"/>
      <c r="D401" s="434"/>
      <c r="E401" s="434"/>
      <c r="F401" s="434"/>
      <c r="G401" s="434"/>
      <c r="H401" s="434"/>
      <c r="I401" s="414"/>
      <c r="J401" s="414"/>
      <c r="K401" s="414"/>
      <c r="L401" s="414"/>
      <c r="M401" s="414"/>
      <c r="N401" s="414"/>
      <c r="O401" s="414"/>
      <c r="P401" s="414"/>
      <c r="Q401" s="414"/>
      <c r="R401" s="414"/>
      <c r="S401" s="414"/>
      <c r="T401" s="414"/>
      <c r="U401" s="414"/>
      <c r="V401" s="414"/>
      <c r="W401" s="414"/>
      <c r="X401" s="414"/>
      <c r="Y401" s="414"/>
      <c r="Z401" s="414"/>
      <c r="AA401" s="414"/>
      <c r="AB401" s="414"/>
      <c r="AC401" s="414"/>
      <c r="AD401" s="414"/>
      <c r="AE401" s="415"/>
    </row>
    <row r="402" spans="3:31">
      <c r="C402" s="440"/>
      <c r="D402" s="435"/>
      <c r="E402" s="435"/>
      <c r="F402" s="435"/>
      <c r="G402" s="435"/>
      <c r="H402" s="435"/>
      <c r="I402" s="412"/>
      <c r="J402" s="412"/>
      <c r="K402" s="412"/>
      <c r="L402" s="412"/>
      <c r="M402" s="412"/>
      <c r="N402" s="412"/>
      <c r="O402" s="412"/>
      <c r="P402" s="412"/>
      <c r="Q402" s="412"/>
      <c r="R402" s="412"/>
      <c r="S402" s="412"/>
      <c r="T402" s="412"/>
      <c r="U402" s="412"/>
      <c r="V402" s="412"/>
      <c r="W402" s="412"/>
      <c r="X402" s="412"/>
      <c r="Y402" s="412"/>
      <c r="Z402" s="412"/>
      <c r="AA402" s="412"/>
      <c r="AB402" s="412"/>
      <c r="AC402" s="412"/>
      <c r="AD402" s="412"/>
      <c r="AE402" s="413"/>
    </row>
    <row r="403" spans="3:31">
      <c r="C403" s="439"/>
      <c r="D403" s="434"/>
      <c r="E403" s="434"/>
      <c r="F403" s="434"/>
      <c r="G403" s="434"/>
      <c r="H403" s="434"/>
      <c r="I403" s="414"/>
      <c r="J403" s="414"/>
      <c r="K403" s="414"/>
      <c r="L403" s="414"/>
      <c r="M403" s="414"/>
      <c r="N403" s="414"/>
      <c r="O403" s="414"/>
      <c r="P403" s="414"/>
      <c r="Q403" s="414"/>
      <c r="R403" s="414"/>
      <c r="S403" s="414"/>
      <c r="T403" s="414"/>
      <c r="U403" s="414"/>
      <c r="V403" s="414"/>
      <c r="W403" s="414"/>
      <c r="X403" s="414"/>
      <c r="Y403" s="414"/>
      <c r="Z403" s="414"/>
      <c r="AA403" s="414"/>
      <c r="AB403" s="414"/>
      <c r="AC403" s="414"/>
      <c r="AD403" s="414"/>
      <c r="AE403" s="415"/>
    </row>
    <row r="404" spans="3:31">
      <c r="C404" s="440"/>
      <c r="D404" s="435"/>
      <c r="E404" s="435"/>
      <c r="F404" s="435"/>
      <c r="G404" s="435"/>
      <c r="H404" s="435"/>
      <c r="I404" s="412"/>
      <c r="J404" s="412"/>
      <c r="K404" s="412"/>
      <c r="L404" s="412"/>
      <c r="M404" s="412"/>
      <c r="N404" s="412"/>
      <c r="O404" s="412"/>
      <c r="P404" s="412"/>
      <c r="Q404" s="412"/>
      <c r="R404" s="412"/>
      <c r="S404" s="412"/>
      <c r="T404" s="412"/>
      <c r="U404" s="412"/>
      <c r="V404" s="412"/>
      <c r="W404" s="412"/>
      <c r="X404" s="412"/>
      <c r="Y404" s="412"/>
      <c r="Z404" s="412"/>
      <c r="AA404" s="412"/>
      <c r="AB404" s="412"/>
      <c r="AC404" s="412"/>
      <c r="AD404" s="412"/>
      <c r="AE404" s="413"/>
    </row>
    <row r="405" spans="3:31">
      <c r="C405" s="439"/>
      <c r="D405" s="434"/>
      <c r="E405" s="434"/>
      <c r="F405" s="434"/>
      <c r="G405" s="434"/>
      <c r="H405" s="434"/>
      <c r="I405" s="414"/>
      <c r="J405" s="414"/>
      <c r="K405" s="414"/>
      <c r="L405" s="414"/>
      <c r="M405" s="414"/>
      <c r="N405" s="414"/>
      <c r="O405" s="414"/>
      <c r="P405" s="414"/>
      <c r="Q405" s="414"/>
      <c r="R405" s="414"/>
      <c r="S405" s="414"/>
      <c r="T405" s="414"/>
      <c r="U405" s="414"/>
      <c r="V405" s="414"/>
      <c r="W405" s="414"/>
      <c r="X405" s="414"/>
      <c r="Y405" s="414"/>
      <c r="Z405" s="414"/>
      <c r="AA405" s="414"/>
      <c r="AB405" s="414"/>
      <c r="AC405" s="414"/>
      <c r="AD405" s="414"/>
      <c r="AE405" s="415"/>
    </row>
    <row r="406" spans="3:31">
      <c r="C406" s="440"/>
      <c r="D406" s="435"/>
      <c r="E406" s="435"/>
      <c r="F406" s="435"/>
      <c r="G406" s="435"/>
      <c r="H406" s="435"/>
      <c r="I406" s="412"/>
      <c r="J406" s="412"/>
      <c r="K406" s="412"/>
      <c r="L406" s="412"/>
      <c r="M406" s="412"/>
      <c r="N406" s="412"/>
      <c r="O406" s="412"/>
      <c r="P406" s="412"/>
      <c r="Q406" s="412"/>
      <c r="R406" s="412"/>
      <c r="S406" s="412"/>
      <c r="T406" s="412"/>
      <c r="U406" s="412"/>
      <c r="V406" s="412"/>
      <c r="W406" s="412"/>
      <c r="X406" s="412"/>
      <c r="Y406" s="412"/>
      <c r="Z406" s="412"/>
      <c r="AA406" s="412"/>
      <c r="AB406" s="412"/>
      <c r="AC406" s="412"/>
      <c r="AD406" s="412"/>
      <c r="AE406" s="413"/>
    </row>
    <row r="407" spans="3:31">
      <c r="C407" s="439"/>
      <c r="D407" s="434"/>
      <c r="E407" s="434"/>
      <c r="F407" s="434"/>
      <c r="G407" s="434"/>
      <c r="H407" s="434"/>
      <c r="I407" s="414"/>
      <c r="J407" s="414"/>
      <c r="K407" s="414"/>
      <c r="L407" s="414"/>
      <c r="M407" s="414"/>
      <c r="N407" s="414"/>
      <c r="O407" s="414"/>
      <c r="P407" s="414"/>
      <c r="Q407" s="414"/>
      <c r="R407" s="414"/>
      <c r="S407" s="414"/>
      <c r="T407" s="414"/>
      <c r="U407" s="414"/>
      <c r="V407" s="414"/>
      <c r="W407" s="414"/>
      <c r="X407" s="414"/>
      <c r="Y407" s="414"/>
      <c r="Z407" s="414"/>
      <c r="AA407" s="414"/>
      <c r="AB407" s="414"/>
      <c r="AC407" s="414"/>
      <c r="AD407" s="414"/>
      <c r="AE407" s="415"/>
    </row>
    <row r="408" spans="3:31">
      <c r="C408" s="440"/>
      <c r="D408" s="435"/>
      <c r="E408" s="435"/>
      <c r="F408" s="435"/>
      <c r="G408" s="435"/>
      <c r="H408" s="435"/>
      <c r="I408" s="412"/>
      <c r="J408" s="412"/>
      <c r="K408" s="412"/>
      <c r="L408" s="412"/>
      <c r="M408" s="412"/>
      <c r="N408" s="412"/>
      <c r="O408" s="412"/>
      <c r="P408" s="412"/>
      <c r="Q408" s="412"/>
      <c r="R408" s="412"/>
      <c r="S408" s="412"/>
      <c r="T408" s="412"/>
      <c r="U408" s="412"/>
      <c r="V408" s="412"/>
      <c r="W408" s="412"/>
      <c r="X408" s="412"/>
      <c r="Y408" s="412"/>
      <c r="Z408" s="412"/>
      <c r="AA408" s="412"/>
      <c r="AB408" s="412"/>
      <c r="AC408" s="412"/>
      <c r="AD408" s="412"/>
      <c r="AE408" s="413"/>
    </row>
    <row r="409" spans="3:31">
      <c r="C409" s="439"/>
      <c r="D409" s="434"/>
      <c r="E409" s="434"/>
      <c r="F409" s="434"/>
      <c r="G409" s="434"/>
      <c r="H409" s="434"/>
      <c r="I409" s="414"/>
      <c r="J409" s="414"/>
      <c r="K409" s="414"/>
      <c r="L409" s="414"/>
      <c r="M409" s="414"/>
      <c r="N409" s="414"/>
      <c r="O409" s="414"/>
      <c r="P409" s="414"/>
      <c r="Q409" s="414"/>
      <c r="R409" s="414"/>
      <c r="S409" s="414"/>
      <c r="T409" s="414"/>
      <c r="U409" s="414"/>
      <c r="V409" s="414"/>
      <c r="W409" s="414"/>
      <c r="X409" s="414"/>
      <c r="Y409" s="414"/>
      <c r="Z409" s="414"/>
      <c r="AA409" s="414"/>
      <c r="AB409" s="414"/>
      <c r="AC409" s="414"/>
      <c r="AD409" s="414"/>
      <c r="AE409" s="415"/>
    </row>
    <row r="410" spans="3:31">
      <c r="C410" s="440"/>
      <c r="D410" s="435"/>
      <c r="E410" s="435"/>
      <c r="F410" s="435"/>
      <c r="G410" s="435"/>
      <c r="H410" s="435"/>
      <c r="I410" s="412"/>
      <c r="J410" s="412"/>
      <c r="K410" s="412"/>
      <c r="L410" s="412"/>
      <c r="M410" s="412"/>
      <c r="N410" s="412"/>
      <c r="O410" s="412"/>
      <c r="P410" s="412"/>
      <c r="Q410" s="412"/>
      <c r="R410" s="412"/>
      <c r="S410" s="412"/>
      <c r="T410" s="412"/>
      <c r="U410" s="412"/>
      <c r="V410" s="412"/>
      <c r="W410" s="412"/>
      <c r="X410" s="412"/>
      <c r="Y410" s="412"/>
      <c r="Z410" s="412"/>
      <c r="AA410" s="412"/>
      <c r="AB410" s="412"/>
      <c r="AC410" s="412"/>
      <c r="AD410" s="412"/>
      <c r="AE410" s="413"/>
    </row>
    <row r="411" spans="3:31">
      <c r="C411" s="439"/>
      <c r="D411" s="434"/>
      <c r="E411" s="434"/>
      <c r="F411" s="434"/>
      <c r="G411" s="434"/>
      <c r="H411" s="434"/>
      <c r="I411" s="414"/>
      <c r="J411" s="414"/>
      <c r="K411" s="414"/>
      <c r="L411" s="414"/>
      <c r="M411" s="414"/>
      <c r="N411" s="414"/>
      <c r="O411" s="414"/>
      <c r="P411" s="414"/>
      <c r="Q411" s="414"/>
      <c r="R411" s="414"/>
      <c r="S411" s="414"/>
      <c r="T411" s="414"/>
      <c r="U411" s="414"/>
      <c r="V411" s="414"/>
      <c r="W411" s="414"/>
      <c r="X411" s="414"/>
      <c r="Y411" s="414"/>
      <c r="Z411" s="414"/>
      <c r="AA411" s="414"/>
      <c r="AB411" s="414"/>
      <c r="AC411" s="414"/>
      <c r="AD411" s="414"/>
      <c r="AE411" s="415"/>
    </row>
    <row r="412" spans="3:31">
      <c r="C412" s="440"/>
      <c r="D412" s="435"/>
      <c r="E412" s="435"/>
      <c r="F412" s="435"/>
      <c r="G412" s="435"/>
      <c r="H412" s="435"/>
      <c r="I412" s="412"/>
      <c r="J412" s="412"/>
      <c r="K412" s="412"/>
      <c r="L412" s="412"/>
      <c r="M412" s="412"/>
      <c r="N412" s="412"/>
      <c r="O412" s="412"/>
      <c r="P412" s="412"/>
      <c r="Q412" s="412"/>
      <c r="R412" s="412"/>
      <c r="S412" s="412"/>
      <c r="T412" s="412"/>
      <c r="U412" s="412"/>
      <c r="V412" s="412"/>
      <c r="W412" s="412"/>
      <c r="X412" s="412"/>
      <c r="Y412" s="412"/>
      <c r="Z412" s="412"/>
      <c r="AA412" s="412"/>
      <c r="AB412" s="412"/>
      <c r="AC412" s="412"/>
      <c r="AD412" s="412"/>
      <c r="AE412" s="413"/>
    </row>
    <row r="413" spans="3:31">
      <c r="C413" s="439"/>
      <c r="D413" s="434"/>
      <c r="E413" s="434"/>
      <c r="F413" s="434"/>
      <c r="G413" s="434"/>
      <c r="H413" s="434"/>
      <c r="I413" s="414"/>
      <c r="J413" s="414"/>
      <c r="K413" s="414"/>
      <c r="L413" s="414"/>
      <c r="M413" s="414"/>
      <c r="N413" s="414"/>
      <c r="O413" s="414"/>
      <c r="P413" s="414"/>
      <c r="Q413" s="414"/>
      <c r="R413" s="414"/>
      <c r="S413" s="414"/>
      <c r="T413" s="414"/>
      <c r="U413" s="414"/>
      <c r="V413" s="414"/>
      <c r="W413" s="414"/>
      <c r="X413" s="414"/>
      <c r="Y413" s="414"/>
      <c r="Z413" s="414"/>
      <c r="AA413" s="414"/>
      <c r="AB413" s="414"/>
      <c r="AC413" s="414"/>
      <c r="AD413" s="414"/>
      <c r="AE413" s="415"/>
    </row>
    <row r="414" spans="3:31">
      <c r="C414" s="440"/>
      <c r="D414" s="435"/>
      <c r="E414" s="435"/>
      <c r="F414" s="435"/>
      <c r="G414" s="435"/>
      <c r="H414" s="435"/>
      <c r="I414" s="412"/>
      <c r="J414" s="412"/>
      <c r="K414" s="412"/>
      <c r="L414" s="412"/>
      <c r="M414" s="412"/>
      <c r="N414" s="412"/>
      <c r="O414" s="412"/>
      <c r="P414" s="412"/>
      <c r="Q414" s="412"/>
      <c r="R414" s="412"/>
      <c r="S414" s="412"/>
      <c r="T414" s="412"/>
      <c r="U414" s="412"/>
      <c r="V414" s="412"/>
      <c r="W414" s="412"/>
      <c r="X414" s="412"/>
      <c r="Y414" s="412"/>
      <c r="Z414" s="412"/>
      <c r="AA414" s="412"/>
      <c r="AB414" s="412"/>
      <c r="AC414" s="412"/>
      <c r="AD414" s="412"/>
      <c r="AE414" s="413"/>
    </row>
    <row r="415" spans="3:31">
      <c r="C415" s="439"/>
      <c r="D415" s="434"/>
      <c r="E415" s="434"/>
      <c r="F415" s="434"/>
      <c r="G415" s="434"/>
      <c r="H415" s="434"/>
      <c r="I415" s="414"/>
      <c r="J415" s="414"/>
      <c r="K415" s="414"/>
      <c r="L415" s="414"/>
      <c r="M415" s="414"/>
      <c r="N415" s="414"/>
      <c r="O415" s="414"/>
      <c r="P415" s="414"/>
      <c r="Q415" s="414"/>
      <c r="R415" s="414"/>
      <c r="S415" s="414"/>
      <c r="T415" s="414"/>
      <c r="U415" s="414"/>
      <c r="V415" s="414"/>
      <c r="W415" s="414"/>
      <c r="X415" s="414"/>
      <c r="Y415" s="414"/>
      <c r="Z415" s="414"/>
      <c r="AA415" s="414"/>
      <c r="AB415" s="414"/>
      <c r="AC415" s="414"/>
      <c r="AD415" s="414"/>
      <c r="AE415" s="415"/>
    </row>
    <row r="416" spans="3:31">
      <c r="C416" s="440"/>
      <c r="D416" s="435"/>
      <c r="E416" s="435"/>
      <c r="F416" s="435"/>
      <c r="G416" s="435"/>
      <c r="H416" s="435"/>
      <c r="I416" s="412"/>
      <c r="J416" s="412"/>
      <c r="K416" s="412"/>
      <c r="L416" s="412"/>
      <c r="M416" s="412"/>
      <c r="N416" s="412"/>
      <c r="O416" s="412"/>
      <c r="P416" s="412"/>
      <c r="Q416" s="412"/>
      <c r="R416" s="412"/>
      <c r="S416" s="412"/>
      <c r="T416" s="412"/>
      <c r="U416" s="412"/>
      <c r="V416" s="412"/>
      <c r="W416" s="412"/>
      <c r="X416" s="412"/>
      <c r="Y416" s="412"/>
      <c r="Z416" s="412"/>
      <c r="AA416" s="412"/>
      <c r="AB416" s="412"/>
      <c r="AC416" s="412"/>
      <c r="AD416" s="412"/>
      <c r="AE416" s="413"/>
    </row>
    <row r="417" spans="3:31">
      <c r="C417" s="439"/>
      <c r="D417" s="434"/>
      <c r="E417" s="434"/>
      <c r="F417" s="434"/>
      <c r="G417" s="434"/>
      <c r="H417" s="434"/>
      <c r="I417" s="414"/>
      <c r="J417" s="414"/>
      <c r="K417" s="414"/>
      <c r="L417" s="414"/>
      <c r="M417" s="414"/>
      <c r="N417" s="414"/>
      <c r="O417" s="414"/>
      <c r="P417" s="414"/>
      <c r="Q417" s="414"/>
      <c r="R417" s="414"/>
      <c r="S417" s="414"/>
      <c r="T417" s="414"/>
      <c r="U417" s="414"/>
      <c r="V417" s="414"/>
      <c r="W417" s="414"/>
      <c r="X417" s="414"/>
      <c r="Y417" s="414"/>
      <c r="Z417" s="414"/>
      <c r="AA417" s="414"/>
      <c r="AB417" s="414"/>
      <c r="AC417" s="414"/>
      <c r="AD417" s="414"/>
      <c r="AE417" s="415"/>
    </row>
    <row r="418" spans="3:31">
      <c r="C418" s="440"/>
      <c r="D418" s="435"/>
      <c r="E418" s="435"/>
      <c r="F418" s="435"/>
      <c r="G418" s="435"/>
      <c r="H418" s="435"/>
      <c r="I418" s="412"/>
      <c r="J418" s="412"/>
      <c r="K418" s="412"/>
      <c r="L418" s="412"/>
      <c r="M418" s="412"/>
      <c r="N418" s="412"/>
      <c r="O418" s="412"/>
      <c r="P418" s="412"/>
      <c r="Q418" s="412"/>
      <c r="R418" s="412"/>
      <c r="S418" s="412"/>
      <c r="T418" s="412"/>
      <c r="U418" s="412"/>
      <c r="V418" s="412"/>
      <c r="W418" s="412"/>
      <c r="X418" s="412"/>
      <c r="Y418" s="412"/>
      <c r="Z418" s="412"/>
      <c r="AA418" s="412"/>
      <c r="AB418" s="412"/>
      <c r="AC418" s="412"/>
      <c r="AD418" s="412"/>
      <c r="AE418" s="413"/>
    </row>
    <row r="419" spans="3:31">
      <c r="C419" s="439"/>
      <c r="D419" s="434"/>
      <c r="E419" s="434"/>
      <c r="F419" s="434"/>
      <c r="G419" s="434"/>
      <c r="H419" s="434"/>
      <c r="I419" s="414"/>
      <c r="J419" s="414"/>
      <c r="K419" s="414"/>
      <c r="L419" s="414"/>
      <c r="M419" s="414"/>
      <c r="N419" s="414"/>
      <c r="O419" s="414"/>
      <c r="P419" s="414"/>
      <c r="Q419" s="414"/>
      <c r="R419" s="414"/>
      <c r="S419" s="414"/>
      <c r="T419" s="414"/>
      <c r="U419" s="414"/>
      <c r="V419" s="414"/>
      <c r="W419" s="414"/>
      <c r="X419" s="414"/>
      <c r="Y419" s="414"/>
      <c r="Z419" s="414"/>
      <c r="AA419" s="414"/>
      <c r="AB419" s="414"/>
      <c r="AC419" s="414"/>
      <c r="AD419" s="414"/>
      <c r="AE419" s="415"/>
    </row>
    <row r="420" spans="3:31">
      <c r="C420" s="440"/>
      <c r="D420" s="435"/>
      <c r="E420" s="435"/>
      <c r="F420" s="435"/>
      <c r="G420" s="435"/>
      <c r="H420" s="435"/>
      <c r="I420" s="412"/>
      <c r="J420" s="412"/>
      <c r="K420" s="412"/>
      <c r="L420" s="412"/>
      <c r="M420" s="412"/>
      <c r="N420" s="412"/>
      <c r="O420" s="412"/>
      <c r="P420" s="412"/>
      <c r="Q420" s="412"/>
      <c r="R420" s="412"/>
      <c r="S420" s="412"/>
      <c r="T420" s="412"/>
      <c r="U420" s="412"/>
      <c r="V420" s="412"/>
      <c r="W420" s="412"/>
      <c r="X420" s="412"/>
      <c r="Y420" s="412"/>
      <c r="Z420" s="412"/>
      <c r="AA420" s="412"/>
      <c r="AB420" s="412"/>
      <c r="AC420" s="412"/>
      <c r="AD420" s="412"/>
      <c r="AE420" s="413"/>
    </row>
    <row r="421" spans="3:31">
      <c r="C421" s="439"/>
      <c r="D421" s="434"/>
      <c r="E421" s="434"/>
      <c r="F421" s="434"/>
      <c r="G421" s="434"/>
      <c r="H421" s="434"/>
      <c r="I421" s="414"/>
      <c r="J421" s="414"/>
      <c r="K421" s="414"/>
      <c r="L421" s="414"/>
      <c r="M421" s="414"/>
      <c r="N421" s="414"/>
      <c r="O421" s="414"/>
      <c r="P421" s="414"/>
      <c r="Q421" s="414"/>
      <c r="R421" s="414"/>
      <c r="S421" s="414"/>
      <c r="T421" s="414"/>
      <c r="U421" s="414"/>
      <c r="V421" s="414"/>
      <c r="W421" s="414"/>
      <c r="X421" s="414"/>
      <c r="Y421" s="414"/>
      <c r="Z421" s="414"/>
      <c r="AA421" s="414"/>
      <c r="AB421" s="414"/>
      <c r="AC421" s="414"/>
      <c r="AD421" s="414"/>
      <c r="AE421" s="415"/>
    </row>
    <row r="422" spans="3:31">
      <c r="C422" s="440"/>
      <c r="D422" s="435"/>
      <c r="E422" s="435"/>
      <c r="F422" s="435"/>
      <c r="G422" s="435"/>
      <c r="H422" s="435"/>
      <c r="I422" s="412"/>
      <c r="J422" s="412"/>
      <c r="K422" s="412"/>
      <c r="L422" s="412"/>
      <c r="M422" s="412"/>
      <c r="N422" s="412"/>
      <c r="O422" s="412"/>
      <c r="P422" s="412"/>
      <c r="Q422" s="412"/>
      <c r="R422" s="412"/>
      <c r="S422" s="412"/>
      <c r="T422" s="412"/>
      <c r="U422" s="412"/>
      <c r="V422" s="412"/>
      <c r="W422" s="412"/>
      <c r="X422" s="412"/>
      <c r="Y422" s="412"/>
      <c r="Z422" s="412"/>
      <c r="AA422" s="412"/>
      <c r="AB422" s="412"/>
      <c r="AC422" s="412"/>
      <c r="AD422" s="412"/>
      <c r="AE422" s="413"/>
    </row>
    <row r="423" spans="3:31">
      <c r="C423" s="439"/>
      <c r="D423" s="434"/>
      <c r="E423" s="434"/>
      <c r="F423" s="434"/>
      <c r="G423" s="434"/>
      <c r="H423" s="434"/>
      <c r="I423" s="414"/>
      <c r="J423" s="414"/>
      <c r="K423" s="414"/>
      <c r="L423" s="414"/>
      <c r="M423" s="414"/>
      <c r="N423" s="414"/>
      <c r="O423" s="414"/>
      <c r="P423" s="414"/>
      <c r="Q423" s="414"/>
      <c r="R423" s="414"/>
      <c r="S423" s="414"/>
      <c r="T423" s="414"/>
      <c r="U423" s="414"/>
      <c r="V423" s="414"/>
      <c r="W423" s="414"/>
      <c r="X423" s="414"/>
      <c r="Y423" s="414"/>
      <c r="Z423" s="414"/>
      <c r="AA423" s="414"/>
      <c r="AB423" s="414"/>
      <c r="AC423" s="414"/>
      <c r="AD423" s="414"/>
      <c r="AE423" s="415"/>
    </row>
    <row r="424" spans="3:31">
      <c r="C424" s="440"/>
      <c r="D424" s="435"/>
      <c r="E424" s="435"/>
      <c r="F424" s="435"/>
      <c r="G424" s="435"/>
      <c r="H424" s="435"/>
      <c r="I424" s="412"/>
      <c r="J424" s="412"/>
      <c r="K424" s="412"/>
      <c r="L424" s="412"/>
      <c r="M424" s="412"/>
      <c r="N424" s="412"/>
      <c r="O424" s="412"/>
      <c r="P424" s="412"/>
      <c r="Q424" s="412"/>
      <c r="R424" s="412"/>
      <c r="S424" s="412"/>
      <c r="T424" s="412"/>
      <c r="U424" s="412"/>
      <c r="V424" s="412"/>
      <c r="W424" s="412"/>
      <c r="X424" s="412"/>
      <c r="Y424" s="412"/>
      <c r="Z424" s="412"/>
      <c r="AA424" s="412"/>
      <c r="AB424" s="412"/>
      <c r="AC424" s="412"/>
      <c r="AD424" s="412"/>
      <c r="AE424" s="413"/>
    </row>
    <row r="425" spans="3:31">
      <c r="C425" s="439"/>
      <c r="D425" s="434"/>
      <c r="E425" s="434"/>
      <c r="F425" s="434"/>
      <c r="G425" s="434"/>
      <c r="H425" s="434"/>
      <c r="I425" s="414"/>
      <c r="J425" s="414"/>
      <c r="K425" s="414"/>
      <c r="L425" s="414"/>
      <c r="M425" s="414"/>
      <c r="N425" s="414"/>
      <c r="O425" s="414"/>
      <c r="P425" s="414"/>
      <c r="Q425" s="414"/>
      <c r="R425" s="414"/>
      <c r="S425" s="414"/>
      <c r="T425" s="414"/>
      <c r="U425" s="414"/>
      <c r="V425" s="414"/>
      <c r="W425" s="414"/>
      <c r="X425" s="414"/>
      <c r="Y425" s="414"/>
      <c r="Z425" s="414"/>
      <c r="AA425" s="414"/>
      <c r="AB425" s="414"/>
      <c r="AC425" s="414"/>
      <c r="AD425" s="414"/>
      <c r="AE425" s="415"/>
    </row>
    <row r="426" spans="3:31">
      <c r="C426" s="440"/>
      <c r="D426" s="435"/>
      <c r="E426" s="435"/>
      <c r="F426" s="435"/>
      <c r="G426" s="435"/>
      <c r="H426" s="435"/>
      <c r="I426" s="412"/>
      <c r="J426" s="412"/>
      <c r="K426" s="412"/>
      <c r="L426" s="412"/>
      <c r="M426" s="412"/>
      <c r="N426" s="412"/>
      <c r="O426" s="412"/>
      <c r="P426" s="412"/>
      <c r="Q426" s="412"/>
      <c r="R426" s="412"/>
      <c r="S426" s="412"/>
      <c r="T426" s="412"/>
      <c r="U426" s="412"/>
      <c r="V426" s="412"/>
      <c r="W426" s="412"/>
      <c r="X426" s="412"/>
      <c r="Y426" s="412"/>
      <c r="Z426" s="412"/>
      <c r="AA426" s="412"/>
      <c r="AB426" s="412"/>
      <c r="AC426" s="412"/>
      <c r="AD426" s="412"/>
      <c r="AE426" s="413"/>
    </row>
    <row r="427" spans="3:31">
      <c r="C427" s="439"/>
      <c r="D427" s="434"/>
      <c r="E427" s="434"/>
      <c r="F427" s="434"/>
      <c r="G427" s="434"/>
      <c r="H427" s="434"/>
      <c r="I427" s="414"/>
      <c r="J427" s="414"/>
      <c r="K427" s="414"/>
      <c r="L427" s="414"/>
      <c r="M427" s="414"/>
      <c r="N427" s="414"/>
      <c r="O427" s="414"/>
      <c r="P427" s="414"/>
      <c r="Q427" s="414"/>
      <c r="R427" s="414"/>
      <c r="S427" s="414"/>
      <c r="T427" s="414"/>
      <c r="U427" s="414"/>
      <c r="V427" s="414"/>
      <c r="W427" s="414"/>
      <c r="X427" s="414"/>
      <c r="Y427" s="414"/>
      <c r="Z427" s="414"/>
      <c r="AA427" s="414"/>
      <c r="AB427" s="414"/>
      <c r="AC427" s="414"/>
      <c r="AD427" s="414"/>
      <c r="AE427" s="415"/>
    </row>
    <row r="428" spans="3:31">
      <c r="C428" s="440"/>
      <c r="D428" s="435"/>
      <c r="E428" s="435"/>
      <c r="F428" s="435"/>
      <c r="G428" s="435"/>
      <c r="H428" s="435"/>
      <c r="I428" s="412"/>
      <c r="J428" s="412"/>
      <c r="K428" s="412"/>
      <c r="L428" s="412"/>
      <c r="M428" s="412"/>
      <c r="N428" s="412"/>
      <c r="O428" s="412"/>
      <c r="P428" s="412"/>
      <c r="Q428" s="412"/>
      <c r="R428" s="412"/>
      <c r="S428" s="412"/>
      <c r="T428" s="412"/>
      <c r="U428" s="412"/>
      <c r="V428" s="412"/>
      <c r="W428" s="412"/>
      <c r="X428" s="412"/>
      <c r="Y428" s="412"/>
      <c r="Z428" s="412"/>
      <c r="AA428" s="412"/>
      <c r="AB428" s="412"/>
      <c r="AC428" s="412"/>
      <c r="AD428" s="412"/>
      <c r="AE428" s="413"/>
    </row>
    <row r="429" spans="3:31">
      <c r="C429" s="439"/>
      <c r="D429" s="434"/>
      <c r="E429" s="434"/>
      <c r="F429" s="434"/>
      <c r="G429" s="434"/>
      <c r="H429" s="434"/>
      <c r="I429" s="414"/>
      <c r="J429" s="414"/>
      <c r="K429" s="414"/>
      <c r="L429" s="414"/>
      <c r="M429" s="414"/>
      <c r="N429" s="414"/>
      <c r="O429" s="414"/>
      <c r="P429" s="414"/>
      <c r="Q429" s="414"/>
      <c r="R429" s="414"/>
      <c r="S429" s="414"/>
      <c r="T429" s="414"/>
      <c r="U429" s="414"/>
      <c r="V429" s="414"/>
      <c r="W429" s="414"/>
      <c r="X429" s="414"/>
      <c r="Y429" s="414"/>
      <c r="Z429" s="414"/>
      <c r="AA429" s="414"/>
      <c r="AB429" s="414"/>
      <c r="AC429" s="414"/>
      <c r="AD429" s="414"/>
      <c r="AE429" s="415"/>
    </row>
    <row r="430" spans="3:31">
      <c r="C430" s="440"/>
      <c r="D430" s="435"/>
      <c r="E430" s="435"/>
      <c r="F430" s="435"/>
      <c r="G430" s="435"/>
      <c r="H430" s="435"/>
      <c r="I430" s="412"/>
      <c r="J430" s="412"/>
      <c r="K430" s="412"/>
      <c r="L430" s="412"/>
      <c r="M430" s="412"/>
      <c r="N430" s="412"/>
      <c r="O430" s="412"/>
      <c r="P430" s="412"/>
      <c r="Q430" s="412"/>
      <c r="R430" s="412"/>
      <c r="S430" s="412"/>
      <c r="T430" s="412"/>
      <c r="U430" s="412"/>
      <c r="V430" s="412"/>
      <c r="W430" s="412"/>
      <c r="X430" s="412"/>
      <c r="Y430" s="412"/>
      <c r="Z430" s="412"/>
      <c r="AA430" s="412"/>
      <c r="AB430" s="412"/>
      <c r="AC430" s="412"/>
      <c r="AD430" s="412"/>
      <c r="AE430" s="413"/>
    </row>
    <row r="431" spans="3:31">
      <c r="C431" s="439"/>
      <c r="D431" s="434"/>
      <c r="E431" s="434"/>
      <c r="F431" s="434"/>
      <c r="G431" s="434"/>
      <c r="H431" s="434"/>
      <c r="I431" s="414"/>
      <c r="J431" s="414"/>
      <c r="K431" s="414"/>
      <c r="L431" s="414"/>
      <c r="M431" s="414"/>
      <c r="N431" s="414"/>
      <c r="O431" s="414"/>
      <c r="P431" s="414"/>
      <c r="Q431" s="414"/>
      <c r="R431" s="414"/>
      <c r="S431" s="414"/>
      <c r="T431" s="414"/>
      <c r="U431" s="414"/>
      <c r="V431" s="414"/>
      <c r="W431" s="414"/>
      <c r="X431" s="414"/>
      <c r="Y431" s="414"/>
      <c r="Z431" s="414"/>
      <c r="AA431" s="414"/>
      <c r="AB431" s="414"/>
      <c r="AC431" s="414"/>
      <c r="AD431" s="414"/>
      <c r="AE431" s="415"/>
    </row>
    <row r="432" spans="3:31">
      <c r="C432" s="440"/>
      <c r="D432" s="435"/>
      <c r="E432" s="435"/>
      <c r="F432" s="435"/>
      <c r="G432" s="435"/>
      <c r="H432" s="435"/>
      <c r="I432" s="412"/>
      <c r="J432" s="412"/>
      <c r="K432" s="412"/>
      <c r="L432" s="412"/>
      <c r="M432" s="412"/>
      <c r="N432" s="412"/>
      <c r="O432" s="412"/>
      <c r="P432" s="412"/>
      <c r="Q432" s="412"/>
      <c r="R432" s="412"/>
      <c r="S432" s="412"/>
      <c r="T432" s="412"/>
      <c r="U432" s="412"/>
      <c r="V432" s="412"/>
      <c r="W432" s="412"/>
      <c r="X432" s="412"/>
      <c r="Y432" s="412"/>
      <c r="Z432" s="412"/>
      <c r="AA432" s="412"/>
      <c r="AB432" s="412"/>
      <c r="AC432" s="412"/>
      <c r="AD432" s="412"/>
      <c r="AE432" s="413"/>
    </row>
    <row r="433" spans="3:31">
      <c r="C433" s="439"/>
      <c r="D433" s="434"/>
      <c r="E433" s="434"/>
      <c r="F433" s="434"/>
      <c r="G433" s="434"/>
      <c r="H433" s="434"/>
      <c r="I433" s="414"/>
      <c r="J433" s="414"/>
      <c r="K433" s="414"/>
      <c r="L433" s="414"/>
      <c r="M433" s="414"/>
      <c r="N433" s="414"/>
      <c r="O433" s="414"/>
      <c r="P433" s="414"/>
      <c r="Q433" s="414"/>
      <c r="R433" s="414"/>
      <c r="S433" s="414"/>
      <c r="T433" s="414"/>
      <c r="U433" s="414"/>
      <c r="V433" s="414"/>
      <c r="W433" s="414"/>
      <c r="X433" s="414"/>
      <c r="Y433" s="414"/>
      <c r="Z433" s="414"/>
      <c r="AA433" s="414"/>
      <c r="AB433" s="414"/>
      <c r="AC433" s="414"/>
      <c r="AD433" s="414"/>
      <c r="AE433" s="415"/>
    </row>
    <row r="434" spans="3:31">
      <c r="C434" s="440"/>
      <c r="D434" s="435"/>
      <c r="E434" s="435"/>
      <c r="F434" s="435"/>
      <c r="G434" s="435"/>
      <c r="H434" s="435"/>
      <c r="I434" s="412"/>
      <c r="J434" s="412"/>
      <c r="K434" s="412"/>
      <c r="L434" s="412"/>
      <c r="M434" s="412"/>
      <c r="N434" s="412"/>
      <c r="O434" s="412"/>
      <c r="P434" s="412"/>
      <c r="Q434" s="412"/>
      <c r="R434" s="412"/>
      <c r="S434" s="412"/>
      <c r="T434" s="412"/>
      <c r="U434" s="412"/>
      <c r="V434" s="412"/>
      <c r="W434" s="412"/>
      <c r="X434" s="412"/>
      <c r="Y434" s="412"/>
      <c r="Z434" s="412"/>
      <c r="AA434" s="412"/>
      <c r="AB434" s="412"/>
      <c r="AC434" s="412"/>
      <c r="AD434" s="412"/>
      <c r="AE434" s="413"/>
    </row>
    <row r="435" spans="3:31">
      <c r="C435" s="439"/>
      <c r="D435" s="434"/>
      <c r="E435" s="434"/>
      <c r="F435" s="434"/>
      <c r="G435" s="434"/>
      <c r="H435" s="434"/>
      <c r="I435" s="414"/>
      <c r="J435" s="414"/>
      <c r="K435" s="414"/>
      <c r="L435" s="414"/>
      <c r="M435" s="414"/>
      <c r="N435" s="414"/>
      <c r="O435" s="414"/>
      <c r="P435" s="414"/>
      <c r="Q435" s="414"/>
      <c r="R435" s="414"/>
      <c r="S435" s="414"/>
      <c r="T435" s="414"/>
      <c r="U435" s="414"/>
      <c r="V435" s="414"/>
      <c r="W435" s="414"/>
      <c r="X435" s="414"/>
      <c r="Y435" s="414"/>
      <c r="Z435" s="414"/>
      <c r="AA435" s="414"/>
      <c r="AB435" s="414"/>
      <c r="AC435" s="414"/>
      <c r="AD435" s="414"/>
      <c r="AE435" s="415"/>
    </row>
    <row r="436" spans="3:31">
      <c r="C436" s="440"/>
      <c r="D436" s="435"/>
      <c r="E436" s="435"/>
      <c r="F436" s="435"/>
      <c r="G436" s="435"/>
      <c r="H436" s="435"/>
      <c r="I436" s="412"/>
      <c r="J436" s="412"/>
      <c r="K436" s="412"/>
      <c r="L436" s="412"/>
      <c r="M436" s="412"/>
      <c r="N436" s="412"/>
      <c r="O436" s="412"/>
      <c r="P436" s="412"/>
      <c r="Q436" s="412"/>
      <c r="R436" s="412"/>
      <c r="S436" s="412"/>
      <c r="T436" s="412"/>
      <c r="U436" s="412"/>
      <c r="V436" s="412"/>
      <c r="W436" s="412"/>
      <c r="X436" s="412"/>
      <c r="Y436" s="412"/>
      <c r="Z436" s="412"/>
      <c r="AA436" s="412"/>
      <c r="AB436" s="412"/>
      <c r="AC436" s="412"/>
      <c r="AD436" s="412"/>
      <c r="AE436" s="413"/>
    </row>
    <row r="437" spans="3:31">
      <c r="C437" s="439"/>
      <c r="D437" s="434"/>
      <c r="E437" s="434"/>
      <c r="F437" s="434"/>
      <c r="G437" s="434"/>
      <c r="H437" s="434"/>
      <c r="I437" s="414"/>
      <c r="J437" s="414"/>
      <c r="K437" s="414"/>
      <c r="L437" s="414"/>
      <c r="M437" s="414"/>
      <c r="N437" s="414"/>
      <c r="O437" s="414"/>
      <c r="P437" s="414"/>
      <c r="Q437" s="414"/>
      <c r="R437" s="414"/>
      <c r="S437" s="414"/>
      <c r="T437" s="414"/>
      <c r="U437" s="414"/>
      <c r="V437" s="414"/>
      <c r="W437" s="414"/>
      <c r="X437" s="414"/>
      <c r="Y437" s="414"/>
      <c r="Z437" s="414"/>
      <c r="AA437" s="414"/>
      <c r="AB437" s="414"/>
      <c r="AC437" s="414"/>
      <c r="AD437" s="414"/>
      <c r="AE437" s="415"/>
    </row>
    <row r="438" spans="3:31">
      <c r="C438" s="440"/>
      <c r="D438" s="435"/>
      <c r="E438" s="435"/>
      <c r="F438" s="435"/>
      <c r="G438" s="435"/>
      <c r="H438" s="435"/>
      <c r="I438" s="412"/>
      <c r="J438" s="412"/>
      <c r="K438" s="412"/>
      <c r="L438" s="412"/>
      <c r="M438" s="412"/>
      <c r="N438" s="412"/>
      <c r="O438" s="412"/>
      <c r="P438" s="412"/>
      <c r="Q438" s="412"/>
      <c r="R438" s="412"/>
      <c r="S438" s="412"/>
      <c r="T438" s="412"/>
      <c r="U438" s="412"/>
      <c r="V438" s="412"/>
      <c r="W438" s="412"/>
      <c r="X438" s="412"/>
      <c r="Y438" s="412"/>
      <c r="Z438" s="412"/>
      <c r="AA438" s="412"/>
      <c r="AB438" s="412"/>
      <c r="AC438" s="412"/>
      <c r="AD438" s="412"/>
      <c r="AE438" s="413"/>
    </row>
    <row r="439" spans="3:31">
      <c r="C439" s="439"/>
      <c r="D439" s="434"/>
      <c r="E439" s="434"/>
      <c r="F439" s="434"/>
      <c r="G439" s="434"/>
      <c r="H439" s="434"/>
      <c r="I439" s="414"/>
      <c r="J439" s="414"/>
      <c r="K439" s="414"/>
      <c r="L439" s="414"/>
      <c r="M439" s="414"/>
      <c r="N439" s="414"/>
      <c r="O439" s="414"/>
      <c r="P439" s="414"/>
      <c r="Q439" s="414"/>
      <c r="R439" s="414"/>
      <c r="S439" s="414"/>
      <c r="T439" s="414"/>
      <c r="U439" s="414"/>
      <c r="V439" s="414"/>
      <c r="W439" s="414"/>
      <c r="X439" s="414"/>
      <c r="Y439" s="414"/>
      <c r="Z439" s="414"/>
      <c r="AA439" s="414"/>
      <c r="AB439" s="414"/>
      <c r="AC439" s="414"/>
      <c r="AD439" s="414"/>
      <c r="AE439" s="415"/>
    </row>
    <row r="440" spans="3:31">
      <c r="C440" s="440"/>
      <c r="D440" s="435"/>
      <c r="E440" s="435"/>
      <c r="F440" s="435"/>
      <c r="G440" s="435"/>
      <c r="H440" s="435"/>
      <c r="I440" s="412"/>
      <c r="J440" s="412"/>
      <c r="K440" s="412"/>
      <c r="L440" s="412"/>
      <c r="M440" s="412"/>
      <c r="N440" s="412"/>
      <c r="O440" s="412"/>
      <c r="P440" s="412"/>
      <c r="Q440" s="412"/>
      <c r="R440" s="412"/>
      <c r="S440" s="412"/>
      <c r="T440" s="412"/>
      <c r="U440" s="412"/>
      <c r="V440" s="412"/>
      <c r="W440" s="412"/>
      <c r="X440" s="412"/>
      <c r="Y440" s="412"/>
      <c r="Z440" s="412"/>
      <c r="AA440" s="412"/>
      <c r="AB440" s="412"/>
      <c r="AC440" s="412"/>
      <c r="AD440" s="412"/>
      <c r="AE440" s="413"/>
    </row>
    <row r="441" spans="3:31">
      <c r="C441" s="439"/>
      <c r="D441" s="434"/>
      <c r="E441" s="434"/>
      <c r="F441" s="434"/>
      <c r="G441" s="434"/>
      <c r="H441" s="434"/>
      <c r="I441" s="414"/>
      <c r="J441" s="414"/>
      <c r="K441" s="414"/>
      <c r="L441" s="414"/>
      <c r="M441" s="414"/>
      <c r="N441" s="414"/>
      <c r="O441" s="414"/>
      <c r="P441" s="414"/>
      <c r="Q441" s="414"/>
      <c r="R441" s="414"/>
      <c r="S441" s="414"/>
      <c r="T441" s="414"/>
      <c r="U441" s="414"/>
      <c r="V441" s="414"/>
      <c r="W441" s="414"/>
      <c r="X441" s="414"/>
      <c r="Y441" s="414"/>
      <c r="Z441" s="414"/>
      <c r="AA441" s="414"/>
      <c r="AB441" s="414"/>
      <c r="AC441" s="414"/>
      <c r="AD441" s="414"/>
      <c r="AE441" s="415"/>
    </row>
    <row r="442" spans="3:31">
      <c r="C442" s="440"/>
      <c r="D442" s="435"/>
      <c r="E442" s="435"/>
      <c r="F442" s="435"/>
      <c r="G442" s="435"/>
      <c r="H442" s="435"/>
      <c r="I442" s="412"/>
      <c r="J442" s="412"/>
      <c r="K442" s="412"/>
      <c r="L442" s="412"/>
      <c r="M442" s="412"/>
      <c r="N442" s="412"/>
      <c r="O442" s="412"/>
      <c r="P442" s="412"/>
      <c r="Q442" s="412"/>
      <c r="R442" s="412"/>
      <c r="S442" s="412"/>
      <c r="T442" s="412"/>
      <c r="U442" s="412"/>
      <c r="V442" s="412"/>
      <c r="W442" s="412"/>
      <c r="X442" s="412"/>
      <c r="Y442" s="412"/>
      <c r="Z442" s="412"/>
      <c r="AA442" s="412"/>
      <c r="AB442" s="412"/>
      <c r="AC442" s="412"/>
      <c r="AD442" s="412"/>
      <c r="AE442" s="413"/>
    </row>
    <row r="443" spans="3:31">
      <c r="C443" s="439"/>
      <c r="D443" s="434"/>
      <c r="E443" s="434"/>
      <c r="F443" s="434"/>
      <c r="G443" s="434"/>
      <c r="H443" s="434"/>
      <c r="I443" s="414"/>
      <c r="J443" s="414"/>
      <c r="K443" s="414"/>
      <c r="L443" s="414"/>
      <c r="M443" s="414"/>
      <c r="N443" s="414"/>
      <c r="O443" s="414"/>
      <c r="P443" s="414"/>
      <c r="Q443" s="414"/>
      <c r="R443" s="414"/>
      <c r="S443" s="414"/>
      <c r="T443" s="414"/>
      <c r="U443" s="414"/>
      <c r="V443" s="414"/>
      <c r="W443" s="414"/>
      <c r="X443" s="414"/>
      <c r="Y443" s="414"/>
      <c r="Z443" s="414"/>
      <c r="AA443" s="414"/>
      <c r="AB443" s="414"/>
      <c r="AC443" s="414"/>
      <c r="AD443" s="414"/>
      <c r="AE443" s="415"/>
    </row>
    <row r="444" spans="3:31">
      <c r="C444" s="440"/>
      <c r="D444" s="435"/>
      <c r="E444" s="435"/>
      <c r="F444" s="435"/>
      <c r="G444" s="435"/>
      <c r="H444" s="435"/>
      <c r="I444" s="412"/>
      <c r="J444" s="412"/>
      <c r="K444" s="412"/>
      <c r="L444" s="412"/>
      <c r="M444" s="412"/>
      <c r="N444" s="412"/>
      <c r="O444" s="412"/>
      <c r="P444" s="412"/>
      <c r="Q444" s="412"/>
      <c r="R444" s="412"/>
      <c r="S444" s="412"/>
      <c r="T444" s="412"/>
      <c r="U444" s="412"/>
      <c r="V444" s="412"/>
      <c r="W444" s="412"/>
      <c r="X444" s="412"/>
      <c r="Y444" s="412"/>
      <c r="Z444" s="412"/>
      <c r="AA444" s="412"/>
      <c r="AB444" s="412"/>
      <c r="AC444" s="412"/>
      <c r="AD444" s="412"/>
      <c r="AE444" s="413"/>
    </row>
    <row r="445" spans="3:31">
      <c r="C445" s="439"/>
      <c r="D445" s="434"/>
      <c r="E445" s="434"/>
      <c r="F445" s="434"/>
      <c r="G445" s="434"/>
      <c r="H445" s="434"/>
      <c r="I445" s="414"/>
      <c r="J445" s="414"/>
      <c r="K445" s="414"/>
      <c r="L445" s="414"/>
      <c r="M445" s="414"/>
      <c r="N445" s="414"/>
      <c r="O445" s="414"/>
      <c r="P445" s="414"/>
      <c r="Q445" s="414"/>
      <c r="R445" s="414"/>
      <c r="S445" s="414"/>
      <c r="T445" s="414"/>
      <c r="U445" s="414"/>
      <c r="V445" s="414"/>
      <c r="W445" s="414"/>
      <c r="X445" s="414"/>
      <c r="Y445" s="414"/>
      <c r="Z445" s="414"/>
      <c r="AA445" s="414"/>
      <c r="AB445" s="414"/>
      <c r="AC445" s="414"/>
      <c r="AD445" s="414"/>
      <c r="AE445" s="415"/>
    </row>
    <row r="446" spans="3:31">
      <c r="C446" s="440"/>
      <c r="D446" s="435"/>
      <c r="E446" s="435"/>
      <c r="F446" s="435"/>
      <c r="G446" s="435"/>
      <c r="H446" s="435"/>
      <c r="I446" s="412"/>
      <c r="J446" s="412"/>
      <c r="K446" s="412"/>
      <c r="L446" s="412"/>
      <c r="M446" s="412"/>
      <c r="N446" s="412"/>
      <c r="O446" s="412"/>
      <c r="P446" s="412"/>
      <c r="Q446" s="412"/>
      <c r="R446" s="412"/>
      <c r="S446" s="412"/>
      <c r="T446" s="412"/>
      <c r="U446" s="412"/>
      <c r="V446" s="412"/>
      <c r="W446" s="412"/>
      <c r="X446" s="412"/>
      <c r="Y446" s="412"/>
      <c r="Z446" s="412"/>
      <c r="AA446" s="412"/>
      <c r="AB446" s="412"/>
      <c r="AC446" s="412"/>
      <c r="AD446" s="412"/>
      <c r="AE446" s="413"/>
    </row>
    <row r="447" spans="3:31">
      <c r="C447" s="439"/>
      <c r="D447" s="434"/>
      <c r="E447" s="434"/>
      <c r="F447" s="434"/>
      <c r="G447" s="434"/>
      <c r="H447" s="434"/>
      <c r="I447" s="414"/>
      <c r="J447" s="414"/>
      <c r="K447" s="414"/>
      <c r="L447" s="414"/>
      <c r="M447" s="414"/>
      <c r="N447" s="414"/>
      <c r="O447" s="414"/>
      <c r="P447" s="414"/>
      <c r="Q447" s="414"/>
      <c r="R447" s="414"/>
      <c r="S447" s="414"/>
      <c r="T447" s="414"/>
      <c r="U447" s="414"/>
      <c r="V447" s="414"/>
      <c r="W447" s="414"/>
      <c r="X447" s="414"/>
      <c r="Y447" s="414"/>
      <c r="Z447" s="414"/>
      <c r="AA447" s="414"/>
      <c r="AB447" s="414"/>
      <c r="AC447" s="414"/>
      <c r="AD447" s="414"/>
      <c r="AE447" s="415"/>
    </row>
    <row r="448" spans="3:31">
      <c r="C448" s="440"/>
      <c r="D448" s="435"/>
      <c r="E448" s="435"/>
      <c r="F448" s="435"/>
      <c r="G448" s="435"/>
      <c r="H448" s="435"/>
      <c r="I448" s="412"/>
      <c r="J448" s="412"/>
      <c r="K448" s="412"/>
      <c r="L448" s="412"/>
      <c r="M448" s="412"/>
      <c r="N448" s="412"/>
      <c r="O448" s="412"/>
      <c r="P448" s="412"/>
      <c r="Q448" s="412"/>
      <c r="R448" s="412"/>
      <c r="S448" s="412"/>
      <c r="T448" s="412"/>
      <c r="U448" s="412"/>
      <c r="V448" s="412"/>
      <c r="W448" s="412"/>
      <c r="X448" s="412"/>
      <c r="Y448" s="412"/>
      <c r="Z448" s="412"/>
      <c r="AA448" s="412"/>
      <c r="AB448" s="412"/>
      <c r="AC448" s="412"/>
      <c r="AD448" s="412"/>
      <c r="AE448" s="413"/>
    </row>
    <row r="449" spans="3:31">
      <c r="C449" s="439"/>
      <c r="D449" s="434"/>
      <c r="E449" s="434"/>
      <c r="F449" s="434"/>
      <c r="G449" s="434"/>
      <c r="H449" s="434"/>
      <c r="I449" s="414"/>
      <c r="J449" s="414"/>
      <c r="K449" s="414"/>
      <c r="L449" s="414"/>
      <c r="M449" s="414"/>
      <c r="N449" s="414"/>
      <c r="O449" s="414"/>
      <c r="P449" s="414"/>
      <c r="Q449" s="414"/>
      <c r="R449" s="414"/>
      <c r="S449" s="414"/>
      <c r="T449" s="414"/>
      <c r="U449" s="414"/>
      <c r="V449" s="414"/>
      <c r="W449" s="414"/>
      <c r="X449" s="414"/>
      <c r="Y449" s="414"/>
      <c r="Z449" s="414"/>
      <c r="AA449" s="414"/>
      <c r="AB449" s="414"/>
      <c r="AC449" s="414"/>
      <c r="AD449" s="414"/>
      <c r="AE449" s="415"/>
    </row>
    <row r="450" spans="3:31">
      <c r="C450" s="440"/>
      <c r="D450" s="435"/>
      <c r="E450" s="435"/>
      <c r="F450" s="435"/>
      <c r="G450" s="435"/>
      <c r="H450" s="435"/>
      <c r="I450" s="412"/>
      <c r="J450" s="412"/>
      <c r="K450" s="412"/>
      <c r="L450" s="412"/>
      <c r="M450" s="412"/>
      <c r="N450" s="412"/>
      <c r="O450" s="412"/>
      <c r="P450" s="412"/>
      <c r="Q450" s="412"/>
      <c r="R450" s="412"/>
      <c r="S450" s="412"/>
      <c r="T450" s="412"/>
      <c r="U450" s="412"/>
      <c r="V450" s="412"/>
      <c r="W450" s="412"/>
      <c r="X450" s="412"/>
      <c r="Y450" s="412"/>
      <c r="Z450" s="412"/>
      <c r="AA450" s="412"/>
      <c r="AB450" s="412"/>
      <c r="AC450" s="412"/>
      <c r="AD450" s="412"/>
      <c r="AE450" s="413"/>
    </row>
    <row r="451" spans="3:31">
      <c r="C451" s="439"/>
      <c r="D451" s="434"/>
      <c r="E451" s="434"/>
      <c r="F451" s="434"/>
      <c r="G451" s="434"/>
      <c r="H451" s="434"/>
      <c r="I451" s="414"/>
      <c r="J451" s="414"/>
      <c r="K451" s="414"/>
      <c r="L451" s="414"/>
      <c r="M451" s="414"/>
      <c r="N451" s="414"/>
      <c r="O451" s="414"/>
      <c r="P451" s="414"/>
      <c r="Q451" s="414"/>
      <c r="R451" s="414"/>
      <c r="S451" s="414"/>
      <c r="T451" s="414"/>
      <c r="U451" s="414"/>
      <c r="V451" s="414"/>
      <c r="W451" s="414"/>
      <c r="X451" s="414"/>
      <c r="Y451" s="414"/>
      <c r="Z451" s="414"/>
      <c r="AA451" s="414"/>
      <c r="AB451" s="414"/>
      <c r="AC451" s="414"/>
      <c r="AD451" s="414"/>
      <c r="AE451" s="415"/>
    </row>
    <row r="452" spans="3:31">
      <c r="C452" s="440"/>
      <c r="D452" s="435"/>
      <c r="E452" s="435"/>
      <c r="F452" s="435"/>
      <c r="G452" s="435"/>
      <c r="H452" s="435"/>
      <c r="I452" s="412"/>
      <c r="J452" s="412"/>
      <c r="K452" s="412"/>
      <c r="L452" s="412"/>
      <c r="M452" s="412"/>
      <c r="N452" s="412"/>
      <c r="O452" s="412"/>
      <c r="P452" s="412"/>
      <c r="Q452" s="412"/>
      <c r="R452" s="412"/>
      <c r="S452" s="412"/>
      <c r="T452" s="412"/>
      <c r="U452" s="412"/>
      <c r="V452" s="412"/>
      <c r="W452" s="412"/>
      <c r="X452" s="412"/>
      <c r="Y452" s="412"/>
      <c r="Z452" s="412"/>
      <c r="AA452" s="412"/>
      <c r="AB452" s="412"/>
      <c r="AC452" s="412"/>
      <c r="AD452" s="412"/>
      <c r="AE452" s="413"/>
    </row>
    <row r="453" spans="3:31">
      <c r="C453" s="439"/>
      <c r="D453" s="434"/>
      <c r="E453" s="434"/>
      <c r="F453" s="434"/>
      <c r="G453" s="434"/>
      <c r="H453" s="434"/>
      <c r="I453" s="414"/>
      <c r="J453" s="414"/>
      <c r="K453" s="414"/>
      <c r="L453" s="414"/>
      <c r="M453" s="414"/>
      <c r="N453" s="414"/>
      <c r="O453" s="414"/>
      <c r="P453" s="414"/>
      <c r="Q453" s="414"/>
      <c r="R453" s="414"/>
      <c r="S453" s="414"/>
      <c r="T453" s="414"/>
      <c r="U453" s="414"/>
      <c r="V453" s="414"/>
      <c r="W453" s="414"/>
      <c r="X453" s="414"/>
      <c r="Y453" s="414"/>
      <c r="Z453" s="414"/>
      <c r="AA453" s="414"/>
      <c r="AB453" s="414"/>
      <c r="AC453" s="414"/>
      <c r="AD453" s="414"/>
      <c r="AE453" s="415"/>
    </row>
    <row r="454" spans="3:31">
      <c r="C454" s="440"/>
      <c r="D454" s="435"/>
      <c r="E454" s="435"/>
      <c r="F454" s="435"/>
      <c r="G454" s="435"/>
      <c r="H454" s="435"/>
      <c r="I454" s="412"/>
      <c r="J454" s="412"/>
      <c r="K454" s="412"/>
      <c r="L454" s="412"/>
      <c r="M454" s="412"/>
      <c r="N454" s="412"/>
      <c r="O454" s="412"/>
      <c r="P454" s="412"/>
      <c r="Q454" s="412"/>
      <c r="R454" s="412"/>
      <c r="S454" s="412"/>
      <c r="T454" s="412"/>
      <c r="U454" s="412"/>
      <c r="V454" s="412"/>
      <c r="W454" s="412"/>
      <c r="X454" s="412"/>
      <c r="Y454" s="412"/>
      <c r="Z454" s="412"/>
      <c r="AA454" s="412"/>
      <c r="AB454" s="412"/>
      <c r="AC454" s="412"/>
      <c r="AD454" s="412"/>
      <c r="AE454" s="413"/>
    </row>
    <row r="455" spans="3:31">
      <c r="C455" s="439"/>
      <c r="D455" s="434"/>
      <c r="E455" s="434"/>
      <c r="F455" s="434"/>
      <c r="G455" s="434"/>
      <c r="H455" s="434"/>
      <c r="I455" s="414"/>
      <c r="J455" s="414"/>
      <c r="K455" s="414"/>
      <c r="L455" s="414"/>
      <c r="M455" s="414"/>
      <c r="N455" s="414"/>
      <c r="O455" s="414"/>
      <c r="P455" s="414"/>
      <c r="Q455" s="414"/>
      <c r="R455" s="414"/>
      <c r="S455" s="414"/>
      <c r="T455" s="414"/>
      <c r="U455" s="414"/>
      <c r="V455" s="414"/>
      <c r="W455" s="414"/>
      <c r="X455" s="414"/>
      <c r="Y455" s="414"/>
      <c r="Z455" s="414"/>
      <c r="AA455" s="414"/>
      <c r="AB455" s="414"/>
      <c r="AC455" s="414"/>
      <c r="AD455" s="414"/>
      <c r="AE455" s="415"/>
    </row>
    <row r="456" spans="3:31">
      <c r="C456" s="440"/>
      <c r="D456" s="435"/>
      <c r="E456" s="435"/>
      <c r="F456" s="435"/>
      <c r="G456" s="435"/>
      <c r="H456" s="435"/>
      <c r="I456" s="412"/>
      <c r="J456" s="412"/>
      <c r="K456" s="412"/>
      <c r="L456" s="412"/>
      <c r="M456" s="412"/>
      <c r="N456" s="412"/>
      <c r="O456" s="412"/>
      <c r="P456" s="412"/>
      <c r="Q456" s="412"/>
      <c r="R456" s="412"/>
      <c r="S456" s="412"/>
      <c r="T456" s="412"/>
      <c r="U456" s="412"/>
      <c r="V456" s="412"/>
      <c r="W456" s="412"/>
      <c r="X456" s="412"/>
      <c r="Y456" s="412"/>
      <c r="Z456" s="412"/>
      <c r="AA456" s="412"/>
      <c r="AB456" s="412"/>
      <c r="AC456" s="412"/>
      <c r="AD456" s="412"/>
      <c r="AE456" s="413"/>
    </row>
    <row r="457" spans="3:31">
      <c r="C457" s="439"/>
      <c r="D457" s="434"/>
      <c r="E457" s="434"/>
      <c r="F457" s="434"/>
      <c r="G457" s="434"/>
      <c r="H457" s="434"/>
      <c r="I457" s="414"/>
      <c r="J457" s="414"/>
      <c r="K457" s="414"/>
      <c r="L457" s="414"/>
      <c r="M457" s="414"/>
      <c r="N457" s="414"/>
      <c r="O457" s="414"/>
      <c r="P457" s="414"/>
      <c r="Q457" s="414"/>
      <c r="R457" s="414"/>
      <c r="S457" s="414"/>
      <c r="T457" s="414"/>
      <c r="U457" s="414"/>
      <c r="V457" s="414"/>
      <c r="W457" s="414"/>
      <c r="X457" s="414"/>
      <c r="Y457" s="414"/>
      <c r="Z457" s="414"/>
      <c r="AA457" s="414"/>
      <c r="AB457" s="414"/>
      <c r="AC457" s="414"/>
      <c r="AD457" s="414"/>
      <c r="AE457" s="415"/>
    </row>
    <row r="458" spans="3:31">
      <c r="C458" s="440"/>
      <c r="D458" s="435"/>
      <c r="E458" s="435"/>
      <c r="F458" s="435"/>
      <c r="G458" s="435"/>
      <c r="H458" s="435"/>
      <c r="I458" s="412"/>
      <c r="J458" s="412"/>
      <c r="K458" s="412"/>
      <c r="L458" s="412"/>
      <c r="M458" s="412"/>
      <c r="N458" s="412"/>
      <c r="O458" s="412"/>
      <c r="P458" s="412"/>
      <c r="Q458" s="412"/>
      <c r="R458" s="412"/>
      <c r="S458" s="412"/>
      <c r="T458" s="412"/>
      <c r="U458" s="412"/>
      <c r="V458" s="412"/>
      <c r="W458" s="412"/>
      <c r="X458" s="412"/>
      <c r="Y458" s="412"/>
      <c r="Z458" s="412"/>
      <c r="AA458" s="412"/>
      <c r="AB458" s="412"/>
      <c r="AC458" s="412"/>
      <c r="AD458" s="412"/>
      <c r="AE458" s="413"/>
    </row>
    <row r="459" spans="3:31">
      <c r="C459" s="439"/>
      <c r="D459" s="434"/>
      <c r="E459" s="434"/>
      <c r="F459" s="434"/>
      <c r="G459" s="434"/>
      <c r="H459" s="434"/>
      <c r="I459" s="414"/>
      <c r="J459" s="414"/>
      <c r="K459" s="414"/>
      <c r="L459" s="414"/>
      <c r="M459" s="414"/>
      <c r="N459" s="414"/>
      <c r="O459" s="414"/>
      <c r="P459" s="414"/>
      <c r="Q459" s="414"/>
      <c r="R459" s="414"/>
      <c r="S459" s="414"/>
      <c r="T459" s="414"/>
      <c r="U459" s="414"/>
      <c r="V459" s="414"/>
      <c r="W459" s="414"/>
      <c r="X459" s="414"/>
      <c r="Y459" s="414"/>
      <c r="Z459" s="414"/>
      <c r="AA459" s="414"/>
      <c r="AB459" s="414"/>
      <c r="AC459" s="414"/>
      <c r="AD459" s="414"/>
      <c r="AE459" s="415"/>
    </row>
    <row r="460" spans="3:31">
      <c r="C460" s="440"/>
      <c r="D460" s="435"/>
      <c r="E460" s="435"/>
      <c r="F460" s="435"/>
      <c r="G460" s="435"/>
      <c r="H460" s="435"/>
      <c r="I460" s="412"/>
      <c r="J460" s="412"/>
      <c r="K460" s="412"/>
      <c r="L460" s="412"/>
      <c r="M460" s="412"/>
      <c r="N460" s="412"/>
      <c r="O460" s="412"/>
      <c r="P460" s="412"/>
      <c r="Q460" s="412"/>
      <c r="R460" s="412"/>
      <c r="S460" s="412"/>
      <c r="T460" s="412"/>
      <c r="U460" s="412"/>
      <c r="V460" s="412"/>
      <c r="W460" s="412"/>
      <c r="X460" s="412"/>
      <c r="Y460" s="412"/>
      <c r="Z460" s="412"/>
      <c r="AA460" s="412"/>
      <c r="AB460" s="412"/>
      <c r="AC460" s="412"/>
      <c r="AD460" s="412"/>
      <c r="AE460" s="413"/>
    </row>
    <row r="461" spans="3:31">
      <c r="C461" s="439"/>
      <c r="D461" s="434"/>
      <c r="E461" s="434"/>
      <c r="F461" s="434"/>
      <c r="G461" s="434"/>
      <c r="H461" s="434"/>
      <c r="I461" s="414"/>
      <c r="J461" s="414"/>
      <c r="K461" s="414"/>
      <c r="L461" s="414"/>
      <c r="M461" s="414"/>
      <c r="N461" s="414"/>
      <c r="O461" s="414"/>
      <c r="P461" s="414"/>
      <c r="Q461" s="414"/>
      <c r="R461" s="414"/>
      <c r="S461" s="414"/>
      <c r="T461" s="414"/>
      <c r="U461" s="414"/>
      <c r="V461" s="414"/>
      <c r="W461" s="414"/>
      <c r="X461" s="414"/>
      <c r="Y461" s="414"/>
      <c r="Z461" s="414"/>
      <c r="AA461" s="414"/>
      <c r="AB461" s="414"/>
      <c r="AC461" s="414"/>
      <c r="AD461" s="414"/>
      <c r="AE461" s="415"/>
    </row>
    <row r="462" spans="3:31">
      <c r="C462" s="440"/>
      <c r="D462" s="435"/>
      <c r="E462" s="435"/>
      <c r="F462" s="435"/>
      <c r="G462" s="435"/>
      <c r="H462" s="435"/>
      <c r="I462" s="412"/>
      <c r="J462" s="412"/>
      <c r="K462" s="412"/>
      <c r="L462" s="412"/>
      <c r="M462" s="412"/>
      <c r="N462" s="412"/>
      <c r="O462" s="412"/>
      <c r="P462" s="412"/>
      <c r="Q462" s="412"/>
      <c r="R462" s="412"/>
      <c r="S462" s="412"/>
      <c r="T462" s="412"/>
      <c r="U462" s="412"/>
      <c r="V462" s="412"/>
      <c r="W462" s="412"/>
      <c r="X462" s="412"/>
      <c r="Y462" s="412"/>
      <c r="Z462" s="412"/>
      <c r="AA462" s="412"/>
      <c r="AB462" s="412"/>
      <c r="AC462" s="412"/>
      <c r="AD462" s="412"/>
      <c r="AE462" s="413"/>
    </row>
    <row r="463" spans="3:31">
      <c r="C463" s="439"/>
      <c r="D463" s="434"/>
      <c r="E463" s="434"/>
      <c r="F463" s="434"/>
      <c r="G463" s="434"/>
      <c r="H463" s="434"/>
      <c r="I463" s="414"/>
      <c r="J463" s="414"/>
      <c r="K463" s="414"/>
      <c r="L463" s="414"/>
      <c r="M463" s="414"/>
      <c r="N463" s="414"/>
      <c r="O463" s="414"/>
      <c r="P463" s="414"/>
      <c r="Q463" s="414"/>
      <c r="R463" s="414"/>
      <c r="S463" s="414"/>
      <c r="T463" s="414"/>
      <c r="U463" s="414"/>
      <c r="V463" s="414"/>
      <c r="W463" s="414"/>
      <c r="X463" s="414"/>
      <c r="Y463" s="414"/>
      <c r="Z463" s="414"/>
      <c r="AA463" s="414"/>
      <c r="AB463" s="414"/>
      <c r="AC463" s="414"/>
      <c r="AD463" s="414"/>
      <c r="AE463" s="415"/>
    </row>
    <row r="464" spans="3:31">
      <c r="C464" s="440"/>
      <c r="D464" s="435"/>
      <c r="E464" s="435"/>
      <c r="F464" s="435"/>
      <c r="G464" s="435"/>
      <c r="H464" s="435"/>
      <c r="I464" s="412"/>
      <c r="J464" s="412"/>
      <c r="K464" s="412"/>
      <c r="L464" s="412"/>
      <c r="M464" s="412"/>
      <c r="N464" s="412"/>
      <c r="O464" s="412"/>
      <c r="P464" s="412"/>
      <c r="Q464" s="412"/>
      <c r="R464" s="412"/>
      <c r="S464" s="412"/>
      <c r="T464" s="412"/>
      <c r="U464" s="412"/>
      <c r="V464" s="412"/>
      <c r="W464" s="412"/>
      <c r="X464" s="412"/>
      <c r="Y464" s="412"/>
      <c r="Z464" s="412"/>
      <c r="AA464" s="412"/>
      <c r="AB464" s="412"/>
      <c r="AC464" s="412"/>
      <c r="AD464" s="412"/>
      <c r="AE464" s="413"/>
    </row>
    <row r="465" spans="3:31">
      <c r="C465" s="439"/>
      <c r="D465" s="434"/>
      <c r="E465" s="434"/>
      <c r="F465" s="434"/>
      <c r="G465" s="434"/>
      <c r="H465" s="434"/>
      <c r="I465" s="414"/>
      <c r="J465" s="414"/>
      <c r="K465" s="414"/>
      <c r="L465" s="414"/>
      <c r="M465" s="414"/>
      <c r="N465" s="414"/>
      <c r="O465" s="414"/>
      <c r="P465" s="414"/>
      <c r="Q465" s="414"/>
      <c r="R465" s="414"/>
      <c r="S465" s="414"/>
      <c r="T465" s="414"/>
      <c r="U465" s="414"/>
      <c r="V465" s="414"/>
      <c r="W465" s="414"/>
      <c r="X465" s="414"/>
      <c r="Y465" s="414"/>
      <c r="Z465" s="414"/>
      <c r="AA465" s="414"/>
      <c r="AB465" s="414"/>
      <c r="AC465" s="414"/>
      <c r="AD465" s="414"/>
      <c r="AE465" s="415"/>
    </row>
    <row r="466" spans="3:31">
      <c r="C466" s="440"/>
      <c r="D466" s="435"/>
      <c r="E466" s="435"/>
      <c r="F466" s="435"/>
      <c r="G466" s="435"/>
      <c r="H466" s="435"/>
      <c r="I466" s="412"/>
      <c r="J466" s="412"/>
      <c r="K466" s="412"/>
      <c r="L466" s="412"/>
      <c r="M466" s="412"/>
      <c r="N466" s="412"/>
      <c r="O466" s="412"/>
      <c r="P466" s="412"/>
      <c r="Q466" s="412"/>
      <c r="R466" s="412"/>
      <c r="S466" s="412"/>
      <c r="T466" s="412"/>
      <c r="U466" s="412"/>
      <c r="V466" s="412"/>
      <c r="W466" s="412"/>
      <c r="X466" s="412"/>
      <c r="Y466" s="412"/>
      <c r="Z466" s="412"/>
      <c r="AA466" s="412"/>
      <c r="AB466" s="412"/>
      <c r="AC466" s="412"/>
      <c r="AD466" s="412"/>
      <c r="AE466" s="413"/>
    </row>
    <row r="467" spans="3:31">
      <c r="C467" s="439"/>
      <c r="D467" s="434"/>
      <c r="E467" s="434"/>
      <c r="F467" s="434"/>
      <c r="G467" s="434"/>
      <c r="H467" s="434"/>
      <c r="I467" s="414"/>
      <c r="J467" s="414"/>
      <c r="K467" s="414"/>
      <c r="L467" s="414"/>
      <c r="M467" s="414"/>
      <c r="N467" s="414"/>
      <c r="O467" s="414"/>
      <c r="P467" s="414"/>
      <c r="Q467" s="414"/>
      <c r="R467" s="414"/>
      <c r="S467" s="414"/>
      <c r="T467" s="414"/>
      <c r="U467" s="414"/>
      <c r="V467" s="414"/>
      <c r="W467" s="414"/>
      <c r="X467" s="414"/>
      <c r="Y467" s="414"/>
      <c r="Z467" s="414"/>
      <c r="AA467" s="414"/>
      <c r="AB467" s="414"/>
      <c r="AC467" s="414"/>
      <c r="AD467" s="414"/>
      <c r="AE467" s="415"/>
    </row>
    <row r="468" spans="3:31">
      <c r="C468" s="440"/>
      <c r="D468" s="435"/>
      <c r="E468" s="435"/>
      <c r="F468" s="435"/>
      <c r="G468" s="435"/>
      <c r="H468" s="435"/>
      <c r="I468" s="412"/>
      <c r="J468" s="412"/>
      <c r="K468" s="412"/>
      <c r="L468" s="412"/>
      <c r="M468" s="412"/>
      <c r="N468" s="412"/>
      <c r="O468" s="412"/>
      <c r="P468" s="412"/>
      <c r="Q468" s="412"/>
      <c r="R468" s="412"/>
      <c r="S468" s="412"/>
      <c r="T468" s="412"/>
      <c r="U468" s="412"/>
      <c r="V468" s="412"/>
      <c r="W468" s="412"/>
      <c r="X468" s="412"/>
      <c r="Y468" s="412"/>
      <c r="Z468" s="412"/>
      <c r="AA468" s="412"/>
      <c r="AB468" s="412"/>
      <c r="AC468" s="412"/>
      <c r="AD468" s="412"/>
      <c r="AE468" s="413"/>
    </row>
    <row r="469" spans="3:31">
      <c r="C469" s="439"/>
      <c r="D469" s="434"/>
      <c r="E469" s="434"/>
      <c r="F469" s="434"/>
      <c r="G469" s="434"/>
      <c r="H469" s="434"/>
      <c r="I469" s="414"/>
      <c r="J469" s="414"/>
      <c r="K469" s="414"/>
      <c r="L469" s="414"/>
      <c r="M469" s="414"/>
      <c r="N469" s="414"/>
      <c r="O469" s="414"/>
      <c r="P469" s="414"/>
      <c r="Q469" s="414"/>
      <c r="R469" s="414"/>
      <c r="S469" s="414"/>
      <c r="T469" s="414"/>
      <c r="U469" s="414"/>
      <c r="V469" s="414"/>
      <c r="W469" s="414"/>
      <c r="X469" s="414"/>
      <c r="Y469" s="414"/>
      <c r="Z469" s="414"/>
      <c r="AA469" s="414"/>
      <c r="AB469" s="414"/>
      <c r="AC469" s="414"/>
      <c r="AD469" s="414"/>
      <c r="AE469" s="415"/>
    </row>
    <row r="470" spans="3:31">
      <c r="C470" s="440"/>
      <c r="D470" s="435"/>
      <c r="E470" s="435"/>
      <c r="F470" s="435"/>
      <c r="G470" s="435"/>
      <c r="H470" s="435"/>
      <c r="I470" s="412"/>
      <c r="J470" s="412"/>
      <c r="K470" s="412"/>
      <c r="L470" s="412"/>
      <c r="M470" s="412"/>
      <c r="N470" s="412"/>
      <c r="O470" s="412"/>
      <c r="P470" s="412"/>
      <c r="Q470" s="412"/>
      <c r="R470" s="412"/>
      <c r="S470" s="412"/>
      <c r="T470" s="412"/>
      <c r="U470" s="412"/>
      <c r="V470" s="412"/>
      <c r="W470" s="412"/>
      <c r="X470" s="412"/>
      <c r="Y470" s="412"/>
      <c r="Z470" s="412"/>
      <c r="AA470" s="412"/>
      <c r="AB470" s="412"/>
      <c r="AC470" s="412"/>
      <c r="AD470" s="412"/>
      <c r="AE470" s="413"/>
    </row>
    <row r="471" spans="3:31">
      <c r="C471" s="439"/>
      <c r="D471" s="434"/>
      <c r="E471" s="434"/>
      <c r="F471" s="434"/>
      <c r="G471" s="434"/>
      <c r="H471" s="434"/>
      <c r="I471" s="414"/>
      <c r="J471" s="414"/>
      <c r="K471" s="414"/>
      <c r="L471" s="414"/>
      <c r="M471" s="414"/>
      <c r="N471" s="414"/>
      <c r="O471" s="414"/>
      <c r="P471" s="414"/>
      <c r="Q471" s="414"/>
      <c r="R471" s="414"/>
      <c r="S471" s="414"/>
      <c r="T471" s="414"/>
      <c r="U471" s="414"/>
      <c r="V471" s="414"/>
      <c r="W471" s="414"/>
      <c r="X471" s="414"/>
      <c r="Y471" s="414"/>
      <c r="Z471" s="414"/>
      <c r="AA471" s="414"/>
      <c r="AB471" s="414"/>
      <c r="AC471" s="414"/>
      <c r="AD471" s="414"/>
      <c r="AE471" s="415"/>
    </row>
    <row r="472" spans="3:31">
      <c r="C472" s="440"/>
      <c r="D472" s="435"/>
      <c r="E472" s="435"/>
      <c r="F472" s="435"/>
      <c r="G472" s="435"/>
      <c r="H472" s="435"/>
      <c r="I472" s="412"/>
      <c r="J472" s="412"/>
      <c r="K472" s="412"/>
      <c r="L472" s="412"/>
      <c r="M472" s="412"/>
      <c r="N472" s="412"/>
      <c r="O472" s="412"/>
      <c r="P472" s="412"/>
      <c r="Q472" s="412"/>
      <c r="R472" s="412"/>
      <c r="S472" s="412"/>
      <c r="T472" s="412"/>
      <c r="U472" s="412"/>
      <c r="V472" s="412"/>
      <c r="W472" s="412"/>
      <c r="X472" s="412"/>
      <c r="Y472" s="412"/>
      <c r="Z472" s="412"/>
      <c r="AA472" s="412"/>
      <c r="AB472" s="412"/>
      <c r="AC472" s="412"/>
      <c r="AD472" s="412"/>
      <c r="AE472" s="413"/>
    </row>
    <row r="473" spans="3:31">
      <c r="C473" s="439"/>
      <c r="D473" s="434"/>
      <c r="E473" s="434"/>
      <c r="F473" s="434"/>
      <c r="G473" s="434"/>
      <c r="H473" s="434"/>
      <c r="I473" s="414"/>
      <c r="J473" s="414"/>
      <c r="K473" s="414"/>
      <c r="L473" s="414"/>
      <c r="M473" s="414"/>
      <c r="N473" s="414"/>
      <c r="O473" s="414"/>
      <c r="P473" s="414"/>
      <c r="Q473" s="414"/>
      <c r="R473" s="414"/>
      <c r="S473" s="414"/>
      <c r="T473" s="414"/>
      <c r="U473" s="414"/>
      <c r="V473" s="414"/>
      <c r="W473" s="414"/>
      <c r="X473" s="414"/>
      <c r="Y473" s="414"/>
      <c r="Z473" s="414"/>
      <c r="AA473" s="414"/>
      <c r="AB473" s="414"/>
      <c r="AC473" s="414"/>
      <c r="AD473" s="414"/>
      <c r="AE473" s="415"/>
    </row>
    <row r="474" spans="3:31">
      <c r="C474" s="440"/>
      <c r="D474" s="435"/>
      <c r="E474" s="435"/>
      <c r="F474" s="435"/>
      <c r="G474" s="435"/>
      <c r="H474" s="435"/>
      <c r="I474" s="412"/>
      <c r="J474" s="412"/>
      <c r="K474" s="412"/>
      <c r="L474" s="412"/>
      <c r="M474" s="412"/>
      <c r="N474" s="412"/>
      <c r="O474" s="412"/>
      <c r="P474" s="412"/>
      <c r="Q474" s="412"/>
      <c r="R474" s="412"/>
      <c r="S474" s="412"/>
      <c r="T474" s="412"/>
      <c r="U474" s="412"/>
      <c r="V474" s="412"/>
      <c r="W474" s="412"/>
      <c r="X474" s="412"/>
      <c r="Y474" s="412"/>
      <c r="Z474" s="412"/>
      <c r="AA474" s="412"/>
      <c r="AB474" s="412"/>
      <c r="AC474" s="412"/>
      <c r="AD474" s="412"/>
      <c r="AE474" s="413"/>
    </row>
    <row r="475" spans="3:31">
      <c r="C475" s="439"/>
      <c r="D475" s="434"/>
      <c r="E475" s="434"/>
      <c r="F475" s="434"/>
      <c r="G475" s="434"/>
      <c r="H475" s="434"/>
      <c r="I475" s="414"/>
      <c r="J475" s="414"/>
      <c r="K475" s="414"/>
      <c r="L475" s="414"/>
      <c r="M475" s="414"/>
      <c r="N475" s="414"/>
      <c r="O475" s="414"/>
      <c r="P475" s="414"/>
      <c r="Q475" s="414"/>
      <c r="R475" s="414"/>
      <c r="S475" s="414"/>
      <c r="T475" s="414"/>
      <c r="U475" s="414"/>
      <c r="V475" s="414"/>
      <c r="W475" s="414"/>
      <c r="X475" s="414"/>
      <c r="Y475" s="414"/>
      <c r="Z475" s="414"/>
      <c r="AA475" s="414"/>
      <c r="AB475" s="414"/>
      <c r="AC475" s="414"/>
      <c r="AD475" s="414"/>
      <c r="AE475" s="415"/>
    </row>
    <row r="476" spans="3:31">
      <c r="C476" s="440"/>
      <c r="D476" s="435"/>
      <c r="E476" s="435"/>
      <c r="F476" s="435"/>
      <c r="G476" s="435"/>
      <c r="H476" s="435"/>
      <c r="I476" s="412"/>
      <c r="J476" s="412"/>
      <c r="K476" s="412"/>
      <c r="L476" s="412"/>
      <c r="M476" s="412"/>
      <c r="N476" s="412"/>
      <c r="O476" s="412"/>
      <c r="P476" s="412"/>
      <c r="Q476" s="412"/>
      <c r="R476" s="412"/>
      <c r="S476" s="412"/>
      <c r="T476" s="412"/>
      <c r="U476" s="412"/>
      <c r="V476" s="412"/>
      <c r="W476" s="412"/>
      <c r="X476" s="412"/>
      <c r="Y476" s="412"/>
      <c r="Z476" s="412"/>
      <c r="AA476" s="412"/>
      <c r="AB476" s="412"/>
      <c r="AC476" s="412"/>
      <c r="AD476" s="412"/>
      <c r="AE476" s="413"/>
    </row>
    <row r="477" spans="3:31">
      <c r="C477" s="439"/>
      <c r="D477" s="434"/>
      <c r="E477" s="434"/>
      <c r="F477" s="434"/>
      <c r="G477" s="434"/>
      <c r="H477" s="434"/>
      <c r="I477" s="414"/>
      <c r="J477" s="414"/>
      <c r="K477" s="414"/>
      <c r="L477" s="414"/>
      <c r="M477" s="414"/>
      <c r="N477" s="414"/>
      <c r="O477" s="414"/>
      <c r="P477" s="414"/>
      <c r="Q477" s="414"/>
      <c r="R477" s="414"/>
      <c r="S477" s="414"/>
      <c r="T477" s="414"/>
      <c r="U477" s="414"/>
      <c r="V477" s="414"/>
      <c r="W477" s="414"/>
      <c r="X477" s="414"/>
      <c r="Y477" s="414"/>
      <c r="Z477" s="414"/>
      <c r="AA477" s="414"/>
      <c r="AB477" s="414"/>
      <c r="AC477" s="414"/>
      <c r="AD477" s="414"/>
      <c r="AE477" s="415"/>
    </row>
    <row r="478" spans="3:31">
      <c r="C478" s="440"/>
      <c r="D478" s="435"/>
      <c r="E478" s="435"/>
      <c r="F478" s="435"/>
      <c r="G478" s="435"/>
      <c r="H478" s="435"/>
      <c r="I478" s="412"/>
      <c r="J478" s="412"/>
      <c r="K478" s="412"/>
      <c r="L478" s="412"/>
      <c r="M478" s="412"/>
      <c r="N478" s="412"/>
      <c r="O478" s="412"/>
      <c r="P478" s="412"/>
      <c r="Q478" s="412"/>
      <c r="R478" s="412"/>
      <c r="S478" s="412"/>
      <c r="T478" s="412"/>
      <c r="U478" s="412"/>
      <c r="V478" s="412"/>
      <c r="W478" s="412"/>
      <c r="X478" s="412"/>
      <c r="Y478" s="412"/>
      <c r="Z478" s="412"/>
      <c r="AA478" s="412"/>
      <c r="AB478" s="412"/>
      <c r="AC478" s="412"/>
      <c r="AD478" s="412"/>
      <c r="AE478" s="413"/>
    </row>
    <row r="479" spans="3:31">
      <c r="C479" s="439"/>
      <c r="D479" s="434"/>
      <c r="E479" s="434"/>
      <c r="F479" s="434"/>
      <c r="G479" s="434"/>
      <c r="H479" s="434"/>
      <c r="I479" s="414"/>
      <c r="J479" s="414"/>
      <c r="K479" s="414"/>
      <c r="L479" s="414"/>
      <c r="M479" s="414"/>
      <c r="N479" s="414"/>
      <c r="O479" s="414"/>
      <c r="P479" s="414"/>
      <c r="Q479" s="414"/>
      <c r="R479" s="414"/>
      <c r="S479" s="414"/>
      <c r="T479" s="414"/>
      <c r="U479" s="414"/>
      <c r="V479" s="414"/>
      <c r="W479" s="414"/>
      <c r="X479" s="414"/>
      <c r="Y479" s="414"/>
      <c r="Z479" s="414"/>
      <c r="AA479" s="414"/>
      <c r="AB479" s="414"/>
      <c r="AC479" s="414"/>
      <c r="AD479" s="414"/>
      <c r="AE479" s="415"/>
    </row>
    <row r="480" spans="3:31">
      <c r="C480" s="440"/>
      <c r="D480" s="435"/>
      <c r="E480" s="435"/>
      <c r="F480" s="435"/>
      <c r="G480" s="435"/>
      <c r="H480" s="435"/>
      <c r="I480" s="412"/>
      <c r="J480" s="412"/>
      <c r="K480" s="412"/>
      <c r="L480" s="412"/>
      <c r="M480" s="412"/>
      <c r="N480" s="412"/>
      <c r="O480" s="412"/>
      <c r="P480" s="412"/>
      <c r="Q480" s="412"/>
      <c r="R480" s="412"/>
      <c r="S480" s="412"/>
      <c r="T480" s="412"/>
      <c r="U480" s="412"/>
      <c r="V480" s="412"/>
      <c r="W480" s="412"/>
      <c r="X480" s="412"/>
      <c r="Y480" s="412"/>
      <c r="Z480" s="412"/>
      <c r="AA480" s="412"/>
      <c r="AB480" s="412"/>
      <c r="AC480" s="412"/>
      <c r="AD480" s="412"/>
      <c r="AE480" s="413"/>
    </row>
    <row r="481" spans="3:31">
      <c r="C481" s="439"/>
      <c r="D481" s="434"/>
      <c r="E481" s="434"/>
      <c r="F481" s="434"/>
      <c r="G481" s="434"/>
      <c r="H481" s="434"/>
      <c r="I481" s="414"/>
      <c r="J481" s="414"/>
      <c r="K481" s="414"/>
      <c r="L481" s="414"/>
      <c r="M481" s="414"/>
      <c r="N481" s="414"/>
      <c r="O481" s="414"/>
      <c r="P481" s="414"/>
      <c r="Q481" s="414"/>
      <c r="R481" s="414"/>
      <c r="S481" s="414"/>
      <c r="T481" s="414"/>
      <c r="U481" s="414"/>
      <c r="V481" s="414"/>
      <c r="W481" s="414"/>
      <c r="X481" s="414"/>
      <c r="Y481" s="414"/>
      <c r="Z481" s="414"/>
      <c r="AA481" s="414"/>
      <c r="AB481" s="414"/>
      <c r="AC481" s="414"/>
      <c r="AD481" s="414"/>
      <c r="AE481" s="415"/>
    </row>
    <row r="482" spans="3:31">
      <c r="C482" s="440"/>
      <c r="D482" s="435"/>
      <c r="E482" s="435"/>
      <c r="F482" s="435"/>
      <c r="G482" s="435"/>
      <c r="H482" s="435"/>
      <c r="I482" s="412"/>
      <c r="J482" s="412"/>
      <c r="K482" s="412"/>
      <c r="L482" s="412"/>
      <c r="M482" s="412"/>
      <c r="N482" s="412"/>
      <c r="O482" s="412"/>
      <c r="P482" s="412"/>
      <c r="Q482" s="412"/>
      <c r="R482" s="412"/>
      <c r="S482" s="412"/>
      <c r="T482" s="412"/>
      <c r="U482" s="412"/>
      <c r="V482" s="412"/>
      <c r="W482" s="412"/>
      <c r="X482" s="412"/>
      <c r="Y482" s="412"/>
      <c r="Z482" s="412"/>
      <c r="AA482" s="412"/>
      <c r="AB482" s="412"/>
      <c r="AC482" s="412"/>
      <c r="AD482" s="412"/>
      <c r="AE482" s="413"/>
    </row>
    <row r="483" spans="3:31">
      <c r="C483" s="439"/>
      <c r="D483" s="434"/>
      <c r="E483" s="434"/>
      <c r="F483" s="434"/>
      <c r="G483" s="434"/>
      <c r="H483" s="434"/>
      <c r="I483" s="414"/>
      <c r="J483" s="414"/>
      <c r="K483" s="414"/>
      <c r="L483" s="414"/>
      <c r="M483" s="414"/>
      <c r="N483" s="414"/>
      <c r="O483" s="414"/>
      <c r="P483" s="414"/>
      <c r="Q483" s="414"/>
      <c r="R483" s="414"/>
      <c r="S483" s="414"/>
      <c r="T483" s="414"/>
      <c r="U483" s="414"/>
      <c r="V483" s="414"/>
      <c r="W483" s="414"/>
      <c r="X483" s="414"/>
      <c r="Y483" s="414"/>
      <c r="Z483" s="414"/>
      <c r="AA483" s="414"/>
      <c r="AB483" s="414"/>
      <c r="AC483" s="414"/>
      <c r="AD483" s="414"/>
      <c r="AE483" s="415"/>
    </row>
    <row r="484" spans="3:31">
      <c r="C484" s="440"/>
      <c r="D484" s="435"/>
      <c r="E484" s="435"/>
      <c r="F484" s="435"/>
      <c r="G484" s="435"/>
      <c r="H484" s="435"/>
      <c r="I484" s="412"/>
      <c r="J484" s="412"/>
      <c r="K484" s="412"/>
      <c r="L484" s="412"/>
      <c r="M484" s="412"/>
      <c r="N484" s="412"/>
      <c r="O484" s="412"/>
      <c r="P484" s="412"/>
      <c r="Q484" s="412"/>
      <c r="R484" s="412"/>
      <c r="S484" s="412"/>
      <c r="T484" s="412"/>
      <c r="U484" s="412"/>
      <c r="V484" s="412"/>
      <c r="W484" s="412"/>
      <c r="X484" s="412"/>
      <c r="Y484" s="412"/>
      <c r="Z484" s="412"/>
      <c r="AA484" s="412"/>
      <c r="AB484" s="412"/>
      <c r="AC484" s="412"/>
      <c r="AD484" s="412"/>
      <c r="AE484" s="413"/>
    </row>
    <row r="485" spans="3:31">
      <c r="C485" s="439"/>
      <c r="D485" s="434"/>
      <c r="E485" s="434"/>
      <c r="F485" s="434"/>
      <c r="G485" s="434"/>
      <c r="H485" s="434"/>
      <c r="I485" s="414"/>
      <c r="J485" s="414"/>
      <c r="K485" s="414"/>
      <c r="L485" s="414"/>
      <c r="M485" s="414"/>
      <c r="N485" s="414"/>
      <c r="O485" s="414"/>
      <c r="P485" s="414"/>
      <c r="Q485" s="414"/>
      <c r="R485" s="414"/>
      <c r="S485" s="414"/>
      <c r="T485" s="414"/>
      <c r="U485" s="414"/>
      <c r="V485" s="414"/>
      <c r="W485" s="414"/>
      <c r="X485" s="414"/>
      <c r="Y485" s="414"/>
      <c r="Z485" s="414"/>
      <c r="AA485" s="414"/>
      <c r="AB485" s="414"/>
      <c r="AC485" s="414"/>
      <c r="AD485" s="414"/>
      <c r="AE485" s="415"/>
    </row>
    <row r="486" spans="3:31">
      <c r="C486" s="440"/>
      <c r="D486" s="435"/>
      <c r="E486" s="435"/>
      <c r="F486" s="435"/>
      <c r="G486" s="435"/>
      <c r="H486" s="435"/>
      <c r="I486" s="412"/>
      <c r="J486" s="412"/>
      <c r="K486" s="412"/>
      <c r="L486" s="412"/>
      <c r="M486" s="412"/>
      <c r="N486" s="412"/>
      <c r="O486" s="412"/>
      <c r="P486" s="412"/>
      <c r="Q486" s="412"/>
      <c r="R486" s="412"/>
      <c r="S486" s="412"/>
      <c r="T486" s="412"/>
      <c r="U486" s="412"/>
      <c r="V486" s="412"/>
      <c r="W486" s="412"/>
      <c r="X486" s="412"/>
      <c r="Y486" s="412"/>
      <c r="Z486" s="412"/>
      <c r="AA486" s="412"/>
      <c r="AB486" s="412"/>
      <c r="AC486" s="412"/>
      <c r="AD486" s="412"/>
      <c r="AE486" s="413"/>
    </row>
    <row r="487" spans="3:31">
      <c r="C487" s="439"/>
      <c r="D487" s="434"/>
      <c r="E487" s="434"/>
      <c r="F487" s="434"/>
      <c r="G487" s="434"/>
      <c r="H487" s="434"/>
      <c r="I487" s="414"/>
      <c r="J487" s="414"/>
      <c r="K487" s="414"/>
      <c r="L487" s="414"/>
      <c r="M487" s="414"/>
      <c r="N487" s="414"/>
      <c r="O487" s="414"/>
      <c r="P487" s="414"/>
      <c r="Q487" s="414"/>
      <c r="R487" s="414"/>
      <c r="S487" s="414"/>
      <c r="T487" s="414"/>
      <c r="U487" s="414"/>
      <c r="V487" s="414"/>
      <c r="W487" s="414"/>
      <c r="X487" s="414"/>
      <c r="Y487" s="414"/>
      <c r="Z487" s="414"/>
      <c r="AA487" s="414"/>
      <c r="AB487" s="414"/>
      <c r="AC487" s="414"/>
      <c r="AD487" s="414"/>
      <c r="AE487" s="415"/>
    </row>
    <row r="488" spans="3:31">
      <c r="C488" s="440"/>
      <c r="D488" s="435"/>
      <c r="E488" s="435"/>
      <c r="F488" s="435"/>
      <c r="G488" s="435"/>
      <c r="H488" s="435"/>
      <c r="I488" s="412"/>
      <c r="J488" s="412"/>
      <c r="K488" s="412"/>
      <c r="L488" s="412"/>
      <c r="M488" s="412"/>
      <c r="N488" s="412"/>
      <c r="O488" s="412"/>
      <c r="P488" s="412"/>
      <c r="Q488" s="412"/>
      <c r="R488" s="412"/>
      <c r="S488" s="412"/>
      <c r="T488" s="412"/>
      <c r="U488" s="412"/>
      <c r="V488" s="412"/>
      <c r="W488" s="412"/>
      <c r="X488" s="412"/>
      <c r="Y488" s="412"/>
      <c r="Z488" s="412"/>
      <c r="AA488" s="412"/>
      <c r="AB488" s="412"/>
      <c r="AC488" s="412"/>
      <c r="AD488" s="412"/>
      <c r="AE488" s="413"/>
    </row>
    <row r="489" spans="3:31">
      <c r="C489" s="439"/>
      <c r="D489" s="434"/>
      <c r="E489" s="434"/>
      <c r="F489" s="434"/>
      <c r="G489" s="434"/>
      <c r="H489" s="434"/>
      <c r="I489" s="414"/>
      <c r="J489" s="414"/>
      <c r="K489" s="414"/>
      <c r="L489" s="414"/>
      <c r="M489" s="414"/>
      <c r="N489" s="414"/>
      <c r="O489" s="414"/>
      <c r="P489" s="414"/>
      <c r="Q489" s="414"/>
      <c r="R489" s="414"/>
      <c r="S489" s="414"/>
      <c r="T489" s="414"/>
      <c r="U489" s="414"/>
      <c r="V489" s="414"/>
      <c r="W489" s="414"/>
      <c r="X489" s="414"/>
      <c r="Y489" s="414"/>
      <c r="Z489" s="414"/>
      <c r="AA489" s="414"/>
      <c r="AB489" s="414"/>
      <c r="AC489" s="414"/>
      <c r="AD489" s="414"/>
      <c r="AE489" s="415"/>
    </row>
    <row r="490" spans="3:31">
      <c r="C490" s="440"/>
      <c r="D490" s="435"/>
      <c r="E490" s="435"/>
      <c r="F490" s="435"/>
      <c r="G490" s="435"/>
      <c r="H490" s="435"/>
      <c r="I490" s="412"/>
      <c r="J490" s="412"/>
      <c r="K490" s="412"/>
      <c r="L490" s="412"/>
      <c r="M490" s="412"/>
      <c r="N490" s="412"/>
      <c r="O490" s="412"/>
      <c r="P490" s="412"/>
      <c r="Q490" s="412"/>
      <c r="R490" s="412"/>
      <c r="S490" s="412"/>
      <c r="T490" s="412"/>
      <c r="U490" s="412"/>
      <c r="V490" s="412"/>
      <c r="W490" s="412"/>
      <c r="X490" s="412"/>
      <c r="Y490" s="412"/>
      <c r="Z490" s="412"/>
      <c r="AA490" s="412"/>
      <c r="AB490" s="412"/>
      <c r="AC490" s="412"/>
      <c r="AD490" s="412"/>
      <c r="AE490" s="413"/>
    </row>
    <row r="491" spans="3:31">
      <c r="C491" s="439"/>
      <c r="D491" s="434"/>
      <c r="E491" s="434"/>
      <c r="F491" s="434"/>
      <c r="G491" s="434"/>
      <c r="H491" s="434"/>
      <c r="I491" s="414"/>
      <c r="J491" s="414"/>
      <c r="K491" s="414"/>
      <c r="L491" s="414"/>
      <c r="M491" s="414"/>
      <c r="N491" s="414"/>
      <c r="O491" s="414"/>
      <c r="P491" s="414"/>
      <c r="Q491" s="414"/>
      <c r="R491" s="414"/>
      <c r="S491" s="414"/>
      <c r="T491" s="414"/>
      <c r="U491" s="414"/>
      <c r="V491" s="414"/>
      <c r="W491" s="414"/>
      <c r="X491" s="414"/>
      <c r="Y491" s="414"/>
      <c r="Z491" s="414"/>
      <c r="AA491" s="414"/>
      <c r="AB491" s="414"/>
      <c r="AC491" s="414"/>
      <c r="AD491" s="414"/>
      <c r="AE491" s="415"/>
    </row>
    <row r="492" spans="3:31">
      <c r="C492" s="440"/>
      <c r="D492" s="435"/>
      <c r="E492" s="435"/>
      <c r="F492" s="435"/>
      <c r="G492" s="435"/>
      <c r="H492" s="435"/>
      <c r="I492" s="412"/>
      <c r="J492" s="412"/>
      <c r="K492" s="412"/>
      <c r="L492" s="412"/>
      <c r="M492" s="412"/>
      <c r="N492" s="412"/>
      <c r="O492" s="412"/>
      <c r="P492" s="412"/>
      <c r="Q492" s="412"/>
      <c r="R492" s="412"/>
      <c r="S492" s="412"/>
      <c r="T492" s="412"/>
      <c r="U492" s="412"/>
      <c r="V492" s="412"/>
      <c r="W492" s="412"/>
      <c r="X492" s="412"/>
      <c r="Y492" s="412"/>
      <c r="Z492" s="412"/>
      <c r="AA492" s="412"/>
      <c r="AB492" s="412"/>
      <c r="AC492" s="412"/>
      <c r="AD492" s="412"/>
      <c r="AE492" s="413"/>
    </row>
    <row r="493" spans="3:31">
      <c r="C493" s="439"/>
      <c r="D493" s="434"/>
      <c r="E493" s="434"/>
      <c r="F493" s="434"/>
      <c r="G493" s="434"/>
      <c r="H493" s="434"/>
      <c r="I493" s="414"/>
      <c r="J493" s="414"/>
      <c r="K493" s="414"/>
      <c r="L493" s="414"/>
      <c r="M493" s="414"/>
      <c r="N493" s="414"/>
      <c r="O493" s="414"/>
      <c r="P493" s="414"/>
      <c r="Q493" s="414"/>
      <c r="R493" s="414"/>
      <c r="S493" s="414"/>
      <c r="T493" s="414"/>
      <c r="U493" s="414"/>
      <c r="V493" s="414"/>
      <c r="W493" s="414"/>
      <c r="X493" s="414"/>
      <c r="Y493" s="414"/>
      <c r="Z493" s="414"/>
      <c r="AA493" s="414"/>
      <c r="AB493" s="414"/>
      <c r="AC493" s="414"/>
      <c r="AD493" s="414"/>
      <c r="AE493" s="415"/>
    </row>
    <row r="494" spans="3:31">
      <c r="C494" s="440"/>
      <c r="D494" s="435"/>
      <c r="E494" s="435"/>
      <c r="F494" s="435"/>
      <c r="G494" s="435"/>
      <c r="H494" s="435"/>
      <c r="I494" s="412"/>
      <c r="J494" s="412"/>
      <c r="K494" s="412"/>
      <c r="L494" s="412"/>
      <c r="M494" s="412"/>
      <c r="N494" s="412"/>
      <c r="O494" s="412"/>
      <c r="P494" s="412"/>
      <c r="Q494" s="412"/>
      <c r="R494" s="412"/>
      <c r="S494" s="412"/>
      <c r="T494" s="412"/>
      <c r="U494" s="412"/>
      <c r="V494" s="412"/>
      <c r="W494" s="412"/>
      <c r="X494" s="412"/>
      <c r="Y494" s="412"/>
      <c r="Z494" s="412"/>
      <c r="AA494" s="412"/>
      <c r="AB494" s="412"/>
      <c r="AC494" s="412"/>
      <c r="AD494" s="412"/>
      <c r="AE494" s="413"/>
    </row>
    <row r="495" spans="3:31">
      <c r="C495" s="439"/>
      <c r="D495" s="434"/>
      <c r="E495" s="434"/>
      <c r="F495" s="434"/>
      <c r="G495" s="434"/>
      <c r="H495" s="434"/>
      <c r="I495" s="414"/>
      <c r="J495" s="414"/>
      <c r="K495" s="414"/>
      <c r="L495" s="414"/>
      <c r="M495" s="414"/>
      <c r="N495" s="414"/>
      <c r="O495" s="414"/>
      <c r="P495" s="414"/>
      <c r="Q495" s="414"/>
      <c r="R495" s="414"/>
      <c r="S495" s="414"/>
      <c r="T495" s="414"/>
      <c r="U495" s="414"/>
      <c r="V495" s="414"/>
      <c r="W495" s="414"/>
      <c r="X495" s="414"/>
      <c r="Y495" s="414"/>
      <c r="Z495" s="414"/>
      <c r="AA495" s="414"/>
      <c r="AB495" s="414"/>
      <c r="AC495" s="414"/>
      <c r="AD495" s="414"/>
      <c r="AE495" s="415"/>
    </row>
    <row r="496" spans="3:31">
      <c r="C496" s="440"/>
      <c r="D496" s="435"/>
      <c r="E496" s="435"/>
      <c r="F496" s="435"/>
      <c r="G496" s="435"/>
      <c r="H496" s="435"/>
      <c r="I496" s="412"/>
      <c r="J496" s="412"/>
      <c r="K496" s="412"/>
      <c r="L496" s="412"/>
      <c r="M496" s="412"/>
      <c r="N496" s="412"/>
      <c r="O496" s="412"/>
      <c r="P496" s="412"/>
      <c r="Q496" s="412"/>
      <c r="R496" s="412"/>
      <c r="S496" s="412"/>
      <c r="T496" s="412"/>
      <c r="U496" s="412"/>
      <c r="V496" s="412"/>
      <c r="W496" s="412"/>
      <c r="X496" s="412"/>
      <c r="Y496" s="412"/>
      <c r="Z496" s="412"/>
      <c r="AA496" s="412"/>
      <c r="AB496" s="412"/>
      <c r="AC496" s="412"/>
      <c r="AD496" s="412"/>
      <c r="AE496" s="413"/>
    </row>
    <row r="497" spans="3:31">
      <c r="C497" s="439"/>
      <c r="D497" s="434"/>
      <c r="E497" s="434"/>
      <c r="F497" s="434"/>
      <c r="G497" s="434"/>
      <c r="H497" s="434"/>
      <c r="I497" s="414"/>
      <c r="J497" s="414"/>
      <c r="K497" s="414"/>
      <c r="L497" s="414"/>
      <c r="M497" s="414"/>
      <c r="N497" s="414"/>
      <c r="O497" s="414"/>
      <c r="P497" s="414"/>
      <c r="Q497" s="414"/>
      <c r="R497" s="414"/>
      <c r="S497" s="414"/>
      <c r="T497" s="414"/>
      <c r="U497" s="414"/>
      <c r="V497" s="414"/>
      <c r="W497" s="414"/>
      <c r="X497" s="414"/>
      <c r="Y497" s="414"/>
      <c r="Z497" s="414"/>
      <c r="AA497" s="414"/>
      <c r="AB497" s="414"/>
      <c r="AC497" s="414"/>
      <c r="AD497" s="414"/>
      <c r="AE497" s="415"/>
    </row>
    <row r="498" spans="3:31">
      <c r="C498" s="440"/>
      <c r="D498" s="435"/>
      <c r="E498" s="435"/>
      <c r="F498" s="435"/>
      <c r="G498" s="435"/>
      <c r="H498" s="435"/>
      <c r="I498" s="412"/>
      <c r="J498" s="412"/>
      <c r="K498" s="412"/>
      <c r="L498" s="412"/>
      <c r="M498" s="412"/>
      <c r="N498" s="412"/>
      <c r="O498" s="412"/>
      <c r="P498" s="412"/>
      <c r="Q498" s="412"/>
      <c r="R498" s="412"/>
      <c r="S498" s="412"/>
      <c r="T498" s="412"/>
      <c r="U498" s="412"/>
      <c r="V498" s="412"/>
      <c r="W498" s="412"/>
      <c r="X498" s="412"/>
      <c r="Y498" s="412"/>
      <c r="Z498" s="412"/>
      <c r="AA498" s="412"/>
      <c r="AB498" s="412"/>
      <c r="AC498" s="412"/>
      <c r="AD498" s="412"/>
      <c r="AE498" s="413"/>
    </row>
    <row r="499" spans="3:31">
      <c r="C499" s="439"/>
      <c r="D499" s="434"/>
      <c r="E499" s="434"/>
      <c r="F499" s="434"/>
      <c r="G499" s="434"/>
      <c r="H499" s="434"/>
      <c r="I499" s="414"/>
      <c r="J499" s="414"/>
      <c r="K499" s="414"/>
      <c r="L499" s="414"/>
      <c r="M499" s="414"/>
      <c r="N499" s="414"/>
      <c r="O499" s="414"/>
      <c r="P499" s="414"/>
      <c r="Q499" s="414"/>
      <c r="R499" s="414"/>
      <c r="S499" s="414"/>
      <c r="T499" s="414"/>
      <c r="U499" s="414"/>
      <c r="V499" s="414"/>
      <c r="W499" s="414"/>
      <c r="X499" s="414"/>
      <c r="Y499" s="414"/>
      <c r="Z499" s="414"/>
      <c r="AA499" s="414"/>
      <c r="AB499" s="414"/>
      <c r="AC499" s="414"/>
      <c r="AD499" s="414"/>
      <c r="AE499" s="415"/>
    </row>
    <row r="500" spans="3:31">
      <c r="C500" s="440"/>
      <c r="D500" s="435"/>
      <c r="E500" s="435"/>
      <c r="F500" s="435"/>
      <c r="G500" s="435"/>
      <c r="H500" s="435"/>
      <c r="I500" s="412"/>
      <c r="J500" s="412"/>
      <c r="K500" s="412"/>
      <c r="L500" s="412"/>
      <c r="M500" s="412"/>
      <c r="N500" s="412"/>
      <c r="O500" s="412"/>
      <c r="P500" s="412"/>
      <c r="Q500" s="412"/>
      <c r="R500" s="412"/>
      <c r="S500" s="412"/>
      <c r="T500" s="412"/>
      <c r="U500" s="412"/>
      <c r="V500" s="412"/>
      <c r="W500" s="412"/>
      <c r="X500" s="412"/>
      <c r="Y500" s="412"/>
      <c r="Z500" s="412"/>
      <c r="AA500" s="412"/>
      <c r="AB500" s="412"/>
      <c r="AC500" s="412"/>
      <c r="AD500" s="412"/>
      <c r="AE500" s="413"/>
    </row>
    <row r="501" spans="3:31">
      <c r="C501" s="439"/>
      <c r="D501" s="434"/>
      <c r="E501" s="434"/>
      <c r="F501" s="434"/>
      <c r="G501" s="434"/>
      <c r="H501" s="434"/>
      <c r="I501" s="414"/>
      <c r="J501" s="414"/>
      <c r="K501" s="414"/>
      <c r="L501" s="414"/>
      <c r="M501" s="414"/>
      <c r="N501" s="414"/>
      <c r="O501" s="414"/>
      <c r="P501" s="414"/>
      <c r="Q501" s="414"/>
      <c r="R501" s="414"/>
      <c r="S501" s="414"/>
      <c r="T501" s="414"/>
      <c r="U501" s="414"/>
      <c r="V501" s="414"/>
      <c r="W501" s="414"/>
      <c r="X501" s="414"/>
      <c r="Y501" s="414"/>
      <c r="Z501" s="414"/>
      <c r="AA501" s="414"/>
      <c r="AB501" s="414"/>
      <c r="AC501" s="414"/>
      <c r="AD501" s="414"/>
      <c r="AE501" s="415"/>
    </row>
    <row r="502" spans="3:31">
      <c r="C502" s="440"/>
      <c r="D502" s="435"/>
      <c r="E502" s="435"/>
      <c r="F502" s="435"/>
      <c r="G502" s="435"/>
      <c r="H502" s="435"/>
      <c r="I502" s="412"/>
      <c r="J502" s="412"/>
      <c r="K502" s="412"/>
      <c r="L502" s="412"/>
      <c r="M502" s="412"/>
      <c r="N502" s="412"/>
      <c r="O502" s="412"/>
      <c r="P502" s="412"/>
      <c r="Q502" s="412"/>
      <c r="R502" s="412"/>
      <c r="S502" s="412"/>
      <c r="T502" s="412"/>
      <c r="U502" s="412"/>
      <c r="V502" s="412"/>
      <c r="W502" s="412"/>
      <c r="X502" s="412"/>
      <c r="Y502" s="412"/>
      <c r="Z502" s="412"/>
      <c r="AA502" s="412"/>
      <c r="AB502" s="412"/>
      <c r="AC502" s="412"/>
      <c r="AD502" s="412"/>
      <c r="AE502" s="413"/>
    </row>
    <row r="503" spans="3:31">
      <c r="C503" s="439"/>
      <c r="D503" s="434"/>
      <c r="E503" s="434"/>
      <c r="F503" s="434"/>
      <c r="G503" s="434"/>
      <c r="H503" s="434"/>
      <c r="I503" s="414"/>
      <c r="J503" s="414"/>
      <c r="K503" s="414"/>
      <c r="L503" s="414"/>
      <c r="M503" s="414"/>
      <c r="N503" s="414"/>
      <c r="O503" s="414"/>
      <c r="P503" s="414"/>
      <c r="Q503" s="414"/>
      <c r="R503" s="414"/>
      <c r="S503" s="414"/>
      <c r="T503" s="414"/>
      <c r="U503" s="414"/>
      <c r="V503" s="414"/>
      <c r="W503" s="414"/>
      <c r="X503" s="414"/>
      <c r="Y503" s="414"/>
      <c r="Z503" s="414"/>
      <c r="AA503" s="414"/>
      <c r="AB503" s="414"/>
      <c r="AC503" s="414"/>
      <c r="AD503" s="414"/>
      <c r="AE503" s="415"/>
    </row>
    <row r="504" spans="3:31">
      <c r="C504" s="440"/>
      <c r="D504" s="435"/>
      <c r="E504" s="435"/>
      <c r="F504" s="435"/>
      <c r="G504" s="435"/>
      <c r="H504" s="435"/>
      <c r="I504" s="412"/>
      <c r="J504" s="412"/>
      <c r="K504" s="412"/>
      <c r="L504" s="412"/>
      <c r="M504" s="412"/>
      <c r="N504" s="412"/>
      <c r="O504" s="412"/>
      <c r="P504" s="412"/>
      <c r="Q504" s="412"/>
      <c r="R504" s="412"/>
      <c r="S504" s="412"/>
      <c r="T504" s="412"/>
      <c r="U504" s="412"/>
      <c r="V504" s="412"/>
      <c r="W504" s="412"/>
      <c r="X504" s="412"/>
      <c r="Y504" s="412"/>
      <c r="Z504" s="412"/>
      <c r="AA504" s="412"/>
      <c r="AB504" s="412"/>
      <c r="AC504" s="412"/>
      <c r="AD504" s="412"/>
      <c r="AE504" s="413"/>
    </row>
    <row r="505" spans="3:31">
      <c r="C505" s="439"/>
      <c r="D505" s="434"/>
      <c r="E505" s="434"/>
      <c r="F505" s="434"/>
      <c r="G505" s="434"/>
      <c r="H505" s="434"/>
      <c r="I505" s="414"/>
      <c r="J505" s="414"/>
      <c r="K505" s="414"/>
      <c r="L505" s="414"/>
      <c r="M505" s="414"/>
      <c r="N505" s="414"/>
      <c r="O505" s="414"/>
      <c r="P505" s="414"/>
      <c r="Q505" s="414"/>
      <c r="R505" s="414"/>
      <c r="S505" s="414"/>
      <c r="T505" s="414"/>
      <c r="U505" s="414"/>
      <c r="V505" s="414"/>
      <c r="W505" s="414"/>
      <c r="X505" s="414"/>
      <c r="Y505" s="414"/>
      <c r="Z505" s="414"/>
      <c r="AA505" s="414"/>
      <c r="AB505" s="414"/>
      <c r="AC505" s="414"/>
      <c r="AD505" s="414"/>
      <c r="AE505" s="415"/>
    </row>
    <row r="506" spans="3:31">
      <c r="C506" s="440"/>
      <c r="D506" s="435"/>
      <c r="E506" s="435"/>
      <c r="F506" s="435"/>
      <c r="G506" s="435"/>
      <c r="H506" s="435"/>
      <c r="I506" s="412"/>
      <c r="J506" s="412"/>
      <c r="K506" s="412"/>
      <c r="L506" s="412"/>
      <c r="M506" s="412"/>
      <c r="N506" s="412"/>
      <c r="O506" s="412"/>
      <c r="P506" s="412"/>
      <c r="Q506" s="412"/>
      <c r="R506" s="412"/>
      <c r="S506" s="412"/>
      <c r="T506" s="412"/>
      <c r="U506" s="412"/>
      <c r="V506" s="412"/>
      <c r="W506" s="412"/>
      <c r="X506" s="412"/>
      <c r="Y506" s="412"/>
      <c r="Z506" s="412"/>
      <c r="AA506" s="412"/>
      <c r="AB506" s="412"/>
      <c r="AC506" s="412"/>
      <c r="AD506" s="412"/>
      <c r="AE506" s="413"/>
    </row>
    <row r="507" spans="3:31">
      <c r="C507" s="439"/>
      <c r="D507" s="434"/>
      <c r="E507" s="434"/>
      <c r="F507" s="434"/>
      <c r="G507" s="434"/>
      <c r="H507" s="434"/>
      <c r="I507" s="414"/>
      <c r="J507" s="414"/>
      <c r="K507" s="414"/>
      <c r="L507" s="414"/>
      <c r="M507" s="414"/>
      <c r="N507" s="414"/>
      <c r="O507" s="414"/>
      <c r="P507" s="414"/>
      <c r="Q507" s="414"/>
      <c r="R507" s="414"/>
      <c r="S507" s="414"/>
      <c r="T507" s="414"/>
      <c r="U507" s="414"/>
      <c r="V507" s="414"/>
      <c r="W507" s="414"/>
      <c r="X507" s="414"/>
      <c r="Y507" s="414"/>
      <c r="Z507" s="414"/>
      <c r="AA507" s="414"/>
      <c r="AB507" s="414"/>
      <c r="AC507" s="414"/>
      <c r="AD507" s="414"/>
      <c r="AE507" s="415"/>
    </row>
    <row r="508" spans="3:31">
      <c r="C508" s="440"/>
      <c r="D508" s="435"/>
      <c r="E508" s="435"/>
      <c r="F508" s="435"/>
      <c r="G508" s="435"/>
      <c r="H508" s="435"/>
      <c r="I508" s="412"/>
      <c r="J508" s="412"/>
      <c r="K508" s="412"/>
      <c r="L508" s="412"/>
      <c r="M508" s="412"/>
      <c r="N508" s="412"/>
      <c r="O508" s="412"/>
      <c r="P508" s="412"/>
      <c r="Q508" s="412"/>
      <c r="R508" s="412"/>
      <c r="S508" s="412"/>
      <c r="T508" s="412"/>
      <c r="U508" s="412"/>
      <c r="V508" s="412"/>
      <c r="W508" s="412"/>
      <c r="X508" s="412"/>
      <c r="Y508" s="412"/>
      <c r="Z508" s="412"/>
      <c r="AA508" s="412"/>
      <c r="AB508" s="412"/>
      <c r="AC508" s="412"/>
      <c r="AD508" s="412"/>
      <c r="AE508" s="413"/>
    </row>
    <row r="509" spans="3:31">
      <c r="C509" s="439"/>
      <c r="D509" s="434"/>
      <c r="E509" s="434"/>
      <c r="F509" s="434"/>
      <c r="G509" s="434"/>
      <c r="H509" s="434"/>
      <c r="I509" s="414"/>
      <c r="J509" s="414"/>
      <c r="K509" s="414"/>
      <c r="L509" s="414"/>
      <c r="M509" s="414"/>
      <c r="N509" s="414"/>
      <c r="O509" s="414"/>
      <c r="P509" s="414"/>
      <c r="Q509" s="414"/>
      <c r="R509" s="414"/>
      <c r="S509" s="414"/>
      <c r="T509" s="414"/>
      <c r="U509" s="414"/>
      <c r="V509" s="414"/>
      <c r="W509" s="414"/>
      <c r="X509" s="414"/>
      <c r="Y509" s="414"/>
      <c r="Z509" s="414"/>
      <c r="AA509" s="414"/>
      <c r="AB509" s="414"/>
      <c r="AC509" s="414"/>
      <c r="AD509" s="414"/>
      <c r="AE509" s="415"/>
    </row>
    <row r="510" spans="3:31">
      <c r="C510" s="440"/>
      <c r="D510" s="435"/>
      <c r="E510" s="435"/>
      <c r="F510" s="435"/>
      <c r="G510" s="435"/>
      <c r="H510" s="435"/>
      <c r="I510" s="412"/>
      <c r="J510" s="412"/>
      <c r="K510" s="412"/>
      <c r="L510" s="412"/>
      <c r="M510" s="412"/>
      <c r="N510" s="412"/>
      <c r="O510" s="412"/>
      <c r="P510" s="412"/>
      <c r="Q510" s="412"/>
      <c r="R510" s="412"/>
      <c r="S510" s="412"/>
      <c r="T510" s="412"/>
      <c r="U510" s="412"/>
      <c r="V510" s="412"/>
      <c r="W510" s="412"/>
      <c r="X510" s="412"/>
      <c r="Y510" s="412"/>
      <c r="Z510" s="412"/>
      <c r="AA510" s="412"/>
      <c r="AB510" s="412"/>
      <c r="AC510" s="412"/>
      <c r="AD510" s="412"/>
      <c r="AE510" s="413"/>
    </row>
    <row r="511" spans="3:31">
      <c r="C511" s="439"/>
      <c r="D511" s="434"/>
      <c r="E511" s="434"/>
      <c r="F511" s="434"/>
      <c r="G511" s="434"/>
      <c r="H511" s="434"/>
      <c r="I511" s="414"/>
      <c r="J511" s="414"/>
      <c r="K511" s="414"/>
      <c r="L511" s="414"/>
      <c r="M511" s="414"/>
      <c r="N511" s="414"/>
      <c r="O511" s="414"/>
      <c r="P511" s="414"/>
      <c r="Q511" s="414"/>
      <c r="R511" s="414"/>
      <c r="S511" s="414"/>
      <c r="T511" s="414"/>
      <c r="U511" s="414"/>
      <c r="V511" s="414"/>
      <c r="W511" s="414"/>
      <c r="X511" s="414"/>
      <c r="Y511" s="414"/>
      <c r="Z511" s="414"/>
      <c r="AA511" s="414"/>
      <c r="AB511" s="414"/>
      <c r="AC511" s="414"/>
      <c r="AD511" s="414"/>
      <c r="AE511" s="415"/>
    </row>
    <row r="512" spans="3:31">
      <c r="C512" s="440"/>
      <c r="D512" s="435"/>
      <c r="E512" s="435"/>
      <c r="F512" s="435"/>
      <c r="G512" s="435"/>
      <c r="H512" s="435"/>
      <c r="I512" s="412"/>
      <c r="J512" s="412"/>
      <c r="K512" s="412"/>
      <c r="L512" s="412"/>
      <c r="M512" s="412"/>
      <c r="N512" s="412"/>
      <c r="O512" s="412"/>
      <c r="P512" s="412"/>
      <c r="Q512" s="412"/>
      <c r="R512" s="412"/>
      <c r="S512" s="412"/>
      <c r="T512" s="412"/>
      <c r="U512" s="412"/>
      <c r="V512" s="412"/>
      <c r="W512" s="412"/>
      <c r="X512" s="412"/>
      <c r="Y512" s="412"/>
      <c r="Z512" s="412"/>
      <c r="AA512" s="412"/>
      <c r="AB512" s="412"/>
      <c r="AC512" s="412"/>
      <c r="AD512" s="412"/>
      <c r="AE512" s="413"/>
    </row>
    <row r="513" spans="3:31">
      <c r="C513" s="439"/>
      <c r="D513" s="434"/>
      <c r="E513" s="434"/>
      <c r="F513" s="434"/>
      <c r="G513" s="434"/>
      <c r="H513" s="434"/>
      <c r="I513" s="414"/>
      <c r="J513" s="414"/>
      <c r="K513" s="414"/>
      <c r="L513" s="414"/>
      <c r="M513" s="414"/>
      <c r="N513" s="414"/>
      <c r="O513" s="414"/>
      <c r="P513" s="414"/>
      <c r="Q513" s="414"/>
      <c r="R513" s="414"/>
      <c r="S513" s="414"/>
      <c r="T513" s="414"/>
      <c r="U513" s="414"/>
      <c r="V513" s="414"/>
      <c r="W513" s="414"/>
      <c r="X513" s="414"/>
      <c r="Y513" s="414"/>
      <c r="Z513" s="414"/>
      <c r="AA513" s="414"/>
      <c r="AB513" s="414"/>
      <c r="AC513" s="414"/>
      <c r="AD513" s="414"/>
      <c r="AE513" s="415"/>
    </row>
    <row r="514" spans="3:31">
      <c r="C514" s="440"/>
      <c r="D514" s="435"/>
      <c r="E514" s="435"/>
      <c r="F514" s="435"/>
      <c r="G514" s="435"/>
      <c r="H514" s="435"/>
      <c r="I514" s="412"/>
      <c r="J514" s="412"/>
      <c r="K514" s="412"/>
      <c r="L514" s="412"/>
      <c r="M514" s="412"/>
      <c r="N514" s="412"/>
      <c r="O514" s="412"/>
      <c r="P514" s="412"/>
      <c r="Q514" s="412"/>
      <c r="R514" s="412"/>
      <c r="S514" s="412"/>
      <c r="T514" s="412"/>
      <c r="U514" s="412"/>
      <c r="V514" s="412"/>
      <c r="W514" s="412"/>
      <c r="X514" s="412"/>
      <c r="Y514" s="412"/>
      <c r="Z514" s="412"/>
      <c r="AA514" s="412"/>
      <c r="AB514" s="412"/>
      <c r="AC514" s="412"/>
      <c r="AD514" s="412"/>
      <c r="AE514" s="413"/>
    </row>
    <row r="515" spans="3:31">
      <c r="C515" s="439"/>
      <c r="D515" s="434"/>
      <c r="E515" s="434"/>
      <c r="F515" s="434"/>
      <c r="G515" s="434"/>
      <c r="H515" s="434"/>
      <c r="I515" s="414"/>
      <c r="J515" s="414"/>
      <c r="K515" s="414"/>
      <c r="L515" s="414"/>
      <c r="M515" s="414"/>
      <c r="N515" s="414"/>
      <c r="O515" s="414"/>
      <c r="P515" s="414"/>
      <c r="Q515" s="414"/>
      <c r="R515" s="414"/>
      <c r="S515" s="414"/>
      <c r="T515" s="414"/>
      <c r="U515" s="414"/>
      <c r="V515" s="414"/>
      <c r="W515" s="414"/>
      <c r="X515" s="414"/>
      <c r="Y515" s="414"/>
      <c r="Z515" s="414"/>
      <c r="AA515" s="414"/>
      <c r="AB515" s="414"/>
      <c r="AC515" s="414"/>
      <c r="AD515" s="414"/>
      <c r="AE515" s="415"/>
    </row>
    <row r="516" spans="3:31">
      <c r="C516" s="440"/>
      <c r="D516" s="435"/>
      <c r="E516" s="435"/>
      <c r="F516" s="435"/>
      <c r="G516" s="435"/>
      <c r="H516" s="435"/>
      <c r="I516" s="412"/>
      <c r="J516" s="412"/>
      <c r="K516" s="412"/>
      <c r="L516" s="412"/>
      <c r="M516" s="412"/>
      <c r="N516" s="412"/>
      <c r="O516" s="412"/>
      <c r="P516" s="412"/>
      <c r="Q516" s="412"/>
      <c r="R516" s="412"/>
      <c r="S516" s="412"/>
      <c r="T516" s="412"/>
      <c r="U516" s="412"/>
      <c r="V516" s="412"/>
      <c r="W516" s="412"/>
      <c r="X516" s="412"/>
      <c r="Y516" s="412"/>
      <c r="Z516" s="412"/>
      <c r="AA516" s="412"/>
      <c r="AB516" s="412"/>
      <c r="AC516" s="412"/>
      <c r="AD516" s="412"/>
      <c r="AE516" s="413"/>
    </row>
    <row r="517" spans="3:31">
      <c r="C517" s="439"/>
      <c r="D517" s="434"/>
      <c r="E517" s="434"/>
      <c r="F517" s="434"/>
      <c r="G517" s="434"/>
      <c r="H517" s="434"/>
      <c r="I517" s="414"/>
      <c r="J517" s="414"/>
      <c r="K517" s="414"/>
      <c r="L517" s="414"/>
      <c r="M517" s="414"/>
      <c r="N517" s="414"/>
      <c r="O517" s="414"/>
      <c r="P517" s="414"/>
      <c r="Q517" s="414"/>
      <c r="R517" s="414"/>
      <c r="S517" s="414"/>
      <c r="T517" s="414"/>
      <c r="U517" s="414"/>
      <c r="V517" s="414"/>
      <c r="W517" s="414"/>
      <c r="X517" s="414"/>
      <c r="Y517" s="414"/>
      <c r="Z517" s="414"/>
      <c r="AA517" s="414"/>
      <c r="AB517" s="414"/>
      <c r="AC517" s="414"/>
      <c r="AD517" s="414"/>
      <c r="AE517" s="415"/>
    </row>
    <row r="518" spans="3:31">
      <c r="C518" s="440"/>
      <c r="D518" s="435"/>
      <c r="E518" s="435"/>
      <c r="F518" s="435"/>
      <c r="G518" s="435"/>
      <c r="H518" s="435"/>
      <c r="I518" s="412"/>
      <c r="J518" s="412"/>
      <c r="K518" s="412"/>
      <c r="L518" s="412"/>
      <c r="M518" s="412"/>
      <c r="N518" s="412"/>
      <c r="O518" s="412"/>
      <c r="P518" s="412"/>
      <c r="Q518" s="412"/>
      <c r="R518" s="412"/>
      <c r="S518" s="412"/>
      <c r="T518" s="412"/>
      <c r="U518" s="412"/>
      <c r="V518" s="412"/>
      <c r="W518" s="412"/>
      <c r="X518" s="412"/>
      <c r="Y518" s="412"/>
      <c r="Z518" s="412"/>
      <c r="AA518" s="412"/>
      <c r="AB518" s="412"/>
      <c r="AC518" s="412"/>
      <c r="AD518" s="412"/>
      <c r="AE518" s="413"/>
    </row>
    <row r="519" spans="3:31">
      <c r="C519" s="439"/>
      <c r="D519" s="434"/>
      <c r="E519" s="434"/>
      <c r="F519" s="434"/>
      <c r="G519" s="434"/>
      <c r="H519" s="434"/>
      <c r="I519" s="414"/>
      <c r="J519" s="414"/>
      <c r="K519" s="414"/>
      <c r="L519" s="414"/>
      <c r="M519" s="414"/>
      <c r="N519" s="414"/>
      <c r="O519" s="414"/>
      <c r="P519" s="414"/>
      <c r="Q519" s="414"/>
      <c r="R519" s="414"/>
      <c r="S519" s="414"/>
      <c r="T519" s="414"/>
      <c r="U519" s="414"/>
      <c r="V519" s="414"/>
      <c r="W519" s="414"/>
      <c r="X519" s="414"/>
      <c r="Y519" s="414"/>
      <c r="Z519" s="414"/>
      <c r="AA519" s="414"/>
      <c r="AB519" s="414"/>
      <c r="AC519" s="414"/>
      <c r="AD519" s="414"/>
      <c r="AE519" s="415"/>
    </row>
    <row r="520" spans="3:31">
      <c r="C520" s="440"/>
      <c r="D520" s="435"/>
      <c r="E520" s="435"/>
      <c r="F520" s="435"/>
      <c r="G520" s="435"/>
      <c r="H520" s="435"/>
      <c r="I520" s="412"/>
      <c r="J520" s="412"/>
      <c r="K520" s="412"/>
      <c r="L520" s="412"/>
      <c r="M520" s="412"/>
      <c r="N520" s="412"/>
      <c r="O520" s="412"/>
      <c r="P520" s="412"/>
      <c r="Q520" s="412"/>
      <c r="R520" s="412"/>
      <c r="S520" s="412"/>
      <c r="T520" s="412"/>
      <c r="U520" s="412"/>
      <c r="V520" s="412"/>
      <c r="W520" s="412"/>
      <c r="X520" s="412"/>
      <c r="Y520" s="412"/>
      <c r="Z520" s="412"/>
      <c r="AA520" s="412"/>
      <c r="AB520" s="412"/>
      <c r="AC520" s="412"/>
      <c r="AD520" s="412"/>
      <c r="AE520" s="413"/>
    </row>
    <row r="521" spans="3:31">
      <c r="C521" s="439"/>
      <c r="D521" s="434"/>
      <c r="E521" s="434"/>
      <c r="F521" s="434"/>
      <c r="G521" s="434"/>
      <c r="H521" s="434"/>
      <c r="I521" s="414"/>
      <c r="J521" s="414"/>
      <c r="K521" s="414"/>
      <c r="L521" s="414"/>
      <c r="M521" s="414"/>
      <c r="N521" s="414"/>
      <c r="O521" s="414"/>
      <c r="P521" s="414"/>
      <c r="Q521" s="414"/>
      <c r="R521" s="414"/>
      <c r="S521" s="414"/>
      <c r="T521" s="414"/>
      <c r="U521" s="414"/>
      <c r="V521" s="414"/>
      <c r="W521" s="414"/>
      <c r="X521" s="414"/>
      <c r="Y521" s="414"/>
      <c r="Z521" s="414"/>
      <c r="AA521" s="414"/>
      <c r="AB521" s="414"/>
      <c r="AC521" s="414"/>
      <c r="AD521" s="414"/>
      <c r="AE521" s="415"/>
    </row>
    <row r="522" spans="3:31">
      <c r="C522" s="440"/>
      <c r="D522" s="435"/>
      <c r="E522" s="435"/>
      <c r="F522" s="435"/>
      <c r="G522" s="435"/>
      <c r="H522" s="435"/>
      <c r="I522" s="412"/>
      <c r="J522" s="412"/>
      <c r="K522" s="412"/>
      <c r="L522" s="412"/>
      <c r="M522" s="412"/>
      <c r="N522" s="412"/>
      <c r="O522" s="412"/>
      <c r="P522" s="412"/>
      <c r="Q522" s="412"/>
      <c r="R522" s="412"/>
      <c r="S522" s="412"/>
      <c r="T522" s="412"/>
      <c r="U522" s="412"/>
      <c r="V522" s="412"/>
      <c r="W522" s="412"/>
      <c r="X522" s="412"/>
      <c r="Y522" s="412"/>
      <c r="Z522" s="412"/>
      <c r="AA522" s="412"/>
      <c r="AB522" s="412"/>
      <c r="AC522" s="412"/>
      <c r="AD522" s="412"/>
      <c r="AE522" s="413"/>
    </row>
    <row r="523" spans="3:31">
      <c r="C523" s="439"/>
      <c r="D523" s="434"/>
      <c r="E523" s="434"/>
      <c r="F523" s="434"/>
      <c r="G523" s="434"/>
      <c r="H523" s="434"/>
      <c r="I523" s="414"/>
      <c r="J523" s="414"/>
      <c r="K523" s="414"/>
      <c r="L523" s="414"/>
      <c r="M523" s="414"/>
      <c r="N523" s="414"/>
      <c r="O523" s="414"/>
      <c r="P523" s="414"/>
      <c r="Q523" s="414"/>
      <c r="R523" s="414"/>
      <c r="S523" s="414"/>
      <c r="T523" s="414"/>
      <c r="U523" s="414"/>
      <c r="V523" s="414"/>
      <c r="W523" s="414"/>
      <c r="X523" s="414"/>
      <c r="Y523" s="414"/>
      <c r="Z523" s="414"/>
      <c r="AA523" s="414"/>
      <c r="AB523" s="414"/>
      <c r="AC523" s="414"/>
      <c r="AD523" s="414"/>
      <c r="AE523" s="415"/>
    </row>
    <row r="524" spans="3:31">
      <c r="C524" s="440"/>
      <c r="D524" s="435"/>
      <c r="E524" s="435"/>
      <c r="F524" s="435"/>
      <c r="G524" s="435"/>
      <c r="H524" s="435"/>
      <c r="I524" s="412"/>
      <c r="J524" s="412"/>
      <c r="K524" s="412"/>
      <c r="L524" s="412"/>
      <c r="M524" s="412"/>
      <c r="N524" s="412"/>
      <c r="O524" s="412"/>
      <c r="P524" s="412"/>
      <c r="Q524" s="412"/>
      <c r="R524" s="412"/>
      <c r="S524" s="412"/>
      <c r="T524" s="412"/>
      <c r="U524" s="412"/>
      <c r="V524" s="412"/>
      <c r="W524" s="412"/>
      <c r="X524" s="412"/>
      <c r="Y524" s="412"/>
      <c r="Z524" s="412"/>
      <c r="AA524" s="412"/>
      <c r="AB524" s="412"/>
      <c r="AC524" s="412"/>
      <c r="AD524" s="412"/>
      <c r="AE524" s="413"/>
    </row>
    <row r="525" spans="3:31">
      <c r="C525" s="439"/>
      <c r="D525" s="434"/>
      <c r="E525" s="434"/>
      <c r="F525" s="434"/>
      <c r="G525" s="434"/>
      <c r="H525" s="434"/>
      <c r="I525" s="414"/>
      <c r="J525" s="414"/>
      <c r="K525" s="414"/>
      <c r="L525" s="414"/>
      <c r="M525" s="414"/>
      <c r="N525" s="414"/>
      <c r="O525" s="414"/>
      <c r="P525" s="414"/>
      <c r="Q525" s="414"/>
      <c r="R525" s="414"/>
      <c r="S525" s="414"/>
      <c r="T525" s="414"/>
      <c r="U525" s="414"/>
      <c r="V525" s="414"/>
      <c r="W525" s="414"/>
      <c r="X525" s="414"/>
      <c r="Y525" s="414"/>
      <c r="Z525" s="414"/>
      <c r="AA525" s="414"/>
      <c r="AB525" s="414"/>
      <c r="AC525" s="414"/>
      <c r="AD525" s="414"/>
      <c r="AE525" s="415"/>
    </row>
    <row r="526" spans="3:31">
      <c r="C526" s="440"/>
      <c r="D526" s="435"/>
      <c r="E526" s="435"/>
      <c r="F526" s="435"/>
      <c r="G526" s="435"/>
      <c r="H526" s="435"/>
      <c r="I526" s="412"/>
      <c r="J526" s="412"/>
      <c r="K526" s="412"/>
      <c r="L526" s="412"/>
      <c r="M526" s="412"/>
      <c r="N526" s="412"/>
      <c r="O526" s="412"/>
      <c r="P526" s="412"/>
      <c r="Q526" s="412"/>
      <c r="R526" s="412"/>
      <c r="S526" s="412"/>
      <c r="T526" s="412"/>
      <c r="U526" s="412"/>
      <c r="V526" s="412"/>
      <c r="W526" s="412"/>
      <c r="X526" s="412"/>
      <c r="Y526" s="412"/>
      <c r="Z526" s="412"/>
      <c r="AA526" s="412"/>
      <c r="AB526" s="412"/>
      <c r="AC526" s="412"/>
      <c r="AD526" s="412"/>
      <c r="AE526" s="413"/>
    </row>
    <row r="527" spans="3:31">
      <c r="C527" s="439"/>
      <c r="D527" s="434"/>
      <c r="E527" s="434"/>
      <c r="F527" s="434"/>
      <c r="G527" s="434"/>
      <c r="H527" s="434"/>
      <c r="I527" s="414"/>
      <c r="J527" s="414"/>
      <c r="K527" s="414"/>
      <c r="L527" s="414"/>
      <c r="M527" s="414"/>
      <c r="N527" s="414"/>
      <c r="O527" s="414"/>
      <c r="P527" s="414"/>
      <c r="Q527" s="414"/>
      <c r="R527" s="414"/>
      <c r="S527" s="414"/>
      <c r="T527" s="414"/>
      <c r="U527" s="414"/>
      <c r="V527" s="414"/>
      <c r="W527" s="414"/>
      <c r="X527" s="414"/>
      <c r="Y527" s="414"/>
      <c r="Z527" s="414"/>
      <c r="AA527" s="414"/>
      <c r="AB527" s="414"/>
      <c r="AC527" s="414"/>
      <c r="AD527" s="414"/>
      <c r="AE527" s="415"/>
    </row>
    <row r="528" spans="3:31">
      <c r="C528" s="440"/>
      <c r="D528" s="435"/>
      <c r="E528" s="435"/>
      <c r="F528" s="435"/>
      <c r="G528" s="435"/>
      <c r="H528" s="435"/>
      <c r="I528" s="412"/>
      <c r="J528" s="412"/>
      <c r="K528" s="412"/>
      <c r="L528" s="412"/>
      <c r="M528" s="412"/>
      <c r="N528" s="412"/>
      <c r="O528" s="412"/>
      <c r="P528" s="412"/>
      <c r="Q528" s="412"/>
      <c r="R528" s="412"/>
      <c r="S528" s="412"/>
      <c r="T528" s="412"/>
      <c r="U528" s="412"/>
      <c r="V528" s="412"/>
      <c r="W528" s="412"/>
      <c r="X528" s="412"/>
      <c r="Y528" s="412"/>
      <c r="Z528" s="412"/>
      <c r="AA528" s="412"/>
      <c r="AB528" s="412"/>
      <c r="AC528" s="412"/>
      <c r="AD528" s="412"/>
      <c r="AE528" s="413"/>
    </row>
    <row r="529" spans="3:31">
      <c r="C529" s="439"/>
      <c r="D529" s="434"/>
      <c r="E529" s="434"/>
      <c r="F529" s="434"/>
      <c r="G529" s="434"/>
      <c r="H529" s="434"/>
      <c r="I529" s="414"/>
      <c r="J529" s="414"/>
      <c r="K529" s="414"/>
      <c r="L529" s="414"/>
      <c r="M529" s="414"/>
      <c r="N529" s="414"/>
      <c r="O529" s="414"/>
      <c r="P529" s="414"/>
      <c r="Q529" s="414"/>
      <c r="R529" s="414"/>
      <c r="S529" s="414"/>
      <c r="T529" s="414"/>
      <c r="U529" s="414"/>
      <c r="V529" s="414"/>
      <c r="W529" s="414"/>
      <c r="X529" s="414"/>
      <c r="Y529" s="414"/>
      <c r="Z529" s="414"/>
      <c r="AA529" s="414"/>
      <c r="AB529" s="414"/>
      <c r="AC529" s="414"/>
      <c r="AD529" s="414"/>
      <c r="AE529" s="415"/>
    </row>
    <row r="530" spans="3:31">
      <c r="C530" s="440"/>
      <c r="D530" s="435"/>
      <c r="E530" s="435"/>
      <c r="F530" s="435"/>
      <c r="G530" s="435"/>
      <c r="H530" s="435"/>
      <c r="I530" s="412"/>
      <c r="J530" s="412"/>
      <c r="K530" s="412"/>
      <c r="L530" s="412"/>
      <c r="M530" s="412"/>
      <c r="N530" s="412"/>
      <c r="O530" s="412"/>
      <c r="P530" s="412"/>
      <c r="Q530" s="412"/>
      <c r="R530" s="412"/>
      <c r="S530" s="412"/>
      <c r="T530" s="412"/>
      <c r="U530" s="412"/>
      <c r="V530" s="412"/>
      <c r="W530" s="412"/>
      <c r="X530" s="412"/>
      <c r="Y530" s="412"/>
      <c r="Z530" s="412"/>
      <c r="AA530" s="412"/>
      <c r="AB530" s="412"/>
      <c r="AC530" s="412"/>
      <c r="AD530" s="412"/>
      <c r="AE530" s="413"/>
    </row>
    <row r="531" spans="3:31">
      <c r="C531" s="439"/>
      <c r="D531" s="434"/>
      <c r="E531" s="434"/>
      <c r="F531" s="434"/>
      <c r="G531" s="434"/>
      <c r="H531" s="434"/>
      <c r="I531" s="414"/>
      <c r="J531" s="414"/>
      <c r="K531" s="414"/>
      <c r="L531" s="414"/>
      <c r="M531" s="414"/>
      <c r="N531" s="414"/>
      <c r="O531" s="414"/>
      <c r="P531" s="414"/>
      <c r="Q531" s="414"/>
      <c r="R531" s="414"/>
      <c r="S531" s="414"/>
      <c r="T531" s="414"/>
      <c r="U531" s="414"/>
      <c r="V531" s="414"/>
      <c r="W531" s="414"/>
      <c r="X531" s="414"/>
      <c r="Y531" s="414"/>
      <c r="Z531" s="414"/>
      <c r="AA531" s="414"/>
      <c r="AB531" s="414"/>
      <c r="AC531" s="414"/>
      <c r="AD531" s="414"/>
      <c r="AE531" s="415"/>
    </row>
    <row r="532" spans="3:31">
      <c r="C532" s="440"/>
      <c r="D532" s="435"/>
      <c r="E532" s="435"/>
      <c r="F532" s="435"/>
      <c r="G532" s="435"/>
      <c r="H532" s="435"/>
      <c r="I532" s="412"/>
      <c r="J532" s="412"/>
      <c r="K532" s="412"/>
      <c r="L532" s="412"/>
      <c r="M532" s="412"/>
      <c r="N532" s="412"/>
      <c r="O532" s="412"/>
      <c r="P532" s="412"/>
      <c r="Q532" s="412"/>
      <c r="R532" s="412"/>
      <c r="S532" s="412"/>
      <c r="T532" s="412"/>
      <c r="U532" s="412"/>
      <c r="V532" s="412"/>
      <c r="W532" s="412"/>
      <c r="X532" s="412"/>
      <c r="Y532" s="412"/>
      <c r="Z532" s="412"/>
      <c r="AA532" s="412"/>
      <c r="AB532" s="412"/>
      <c r="AC532" s="412"/>
      <c r="AD532" s="412"/>
      <c r="AE532" s="413"/>
    </row>
    <row r="533" spans="3:31">
      <c r="C533" s="439"/>
      <c r="D533" s="434"/>
      <c r="E533" s="434"/>
      <c r="F533" s="434"/>
      <c r="G533" s="434"/>
      <c r="H533" s="434"/>
      <c r="I533" s="414"/>
      <c r="J533" s="414"/>
      <c r="K533" s="414"/>
      <c r="L533" s="414"/>
      <c r="M533" s="414"/>
      <c r="N533" s="414"/>
      <c r="O533" s="414"/>
      <c r="P533" s="414"/>
      <c r="Q533" s="414"/>
      <c r="R533" s="414"/>
      <c r="S533" s="414"/>
      <c r="T533" s="414"/>
      <c r="U533" s="414"/>
      <c r="V533" s="414"/>
      <c r="W533" s="414"/>
      <c r="X533" s="414"/>
      <c r="Y533" s="414"/>
      <c r="Z533" s="414"/>
      <c r="AA533" s="414"/>
      <c r="AB533" s="414"/>
      <c r="AC533" s="414"/>
      <c r="AD533" s="414"/>
      <c r="AE533" s="415"/>
    </row>
    <row r="534" spans="3:31">
      <c r="C534" s="440"/>
      <c r="D534" s="435"/>
      <c r="E534" s="435"/>
      <c r="F534" s="435"/>
      <c r="G534" s="435"/>
      <c r="H534" s="435"/>
      <c r="I534" s="412"/>
      <c r="J534" s="412"/>
      <c r="K534" s="412"/>
      <c r="L534" s="412"/>
      <c r="M534" s="412"/>
      <c r="N534" s="412"/>
      <c r="O534" s="412"/>
      <c r="P534" s="412"/>
      <c r="Q534" s="412"/>
      <c r="R534" s="412"/>
      <c r="S534" s="412"/>
      <c r="T534" s="412"/>
      <c r="U534" s="412"/>
      <c r="V534" s="412"/>
      <c r="W534" s="412"/>
      <c r="X534" s="412"/>
      <c r="Y534" s="412"/>
      <c r="Z534" s="412"/>
      <c r="AA534" s="412"/>
      <c r="AB534" s="412"/>
      <c r="AC534" s="412"/>
      <c r="AD534" s="412"/>
      <c r="AE534" s="413"/>
    </row>
    <row r="535" spans="3:31">
      <c r="C535" s="439"/>
      <c r="D535" s="434"/>
      <c r="E535" s="434"/>
      <c r="F535" s="434"/>
      <c r="G535" s="434"/>
      <c r="H535" s="434"/>
      <c r="I535" s="414"/>
      <c r="J535" s="414"/>
      <c r="K535" s="414"/>
      <c r="L535" s="414"/>
      <c r="M535" s="414"/>
      <c r="N535" s="414"/>
      <c r="O535" s="414"/>
      <c r="P535" s="414"/>
      <c r="Q535" s="414"/>
      <c r="R535" s="414"/>
      <c r="S535" s="414"/>
      <c r="T535" s="414"/>
      <c r="U535" s="414"/>
      <c r="V535" s="414"/>
      <c r="W535" s="414"/>
      <c r="X535" s="414"/>
      <c r="Y535" s="414"/>
      <c r="Z535" s="414"/>
      <c r="AA535" s="414"/>
      <c r="AB535" s="414"/>
      <c r="AC535" s="414"/>
      <c r="AD535" s="414"/>
      <c r="AE535" s="415"/>
    </row>
    <row r="536" spans="3:31">
      <c r="C536" s="440"/>
      <c r="D536" s="435"/>
      <c r="E536" s="435"/>
      <c r="F536" s="435"/>
      <c r="G536" s="435"/>
      <c r="H536" s="435"/>
      <c r="I536" s="412"/>
      <c r="J536" s="412"/>
      <c r="K536" s="412"/>
      <c r="L536" s="412"/>
      <c r="M536" s="412"/>
      <c r="N536" s="412"/>
      <c r="O536" s="412"/>
      <c r="P536" s="412"/>
      <c r="Q536" s="412"/>
      <c r="R536" s="412"/>
      <c r="S536" s="412"/>
      <c r="T536" s="412"/>
      <c r="U536" s="412"/>
      <c r="V536" s="412"/>
      <c r="W536" s="412"/>
      <c r="X536" s="412"/>
      <c r="Y536" s="412"/>
      <c r="Z536" s="412"/>
      <c r="AA536" s="412"/>
      <c r="AB536" s="412"/>
      <c r="AC536" s="412"/>
      <c r="AD536" s="412"/>
      <c r="AE536" s="413"/>
    </row>
    <row r="537" spans="3:31">
      <c r="C537" s="439"/>
      <c r="D537" s="434"/>
      <c r="E537" s="434"/>
      <c r="F537" s="434"/>
      <c r="G537" s="434"/>
      <c r="H537" s="434"/>
      <c r="I537" s="414"/>
      <c r="J537" s="414"/>
      <c r="K537" s="414"/>
      <c r="L537" s="414"/>
      <c r="M537" s="414"/>
      <c r="N537" s="414"/>
      <c r="O537" s="414"/>
      <c r="P537" s="414"/>
      <c r="Q537" s="414"/>
      <c r="R537" s="414"/>
      <c r="S537" s="414"/>
      <c r="T537" s="414"/>
      <c r="U537" s="414"/>
      <c r="V537" s="414"/>
      <c r="W537" s="414"/>
      <c r="X537" s="414"/>
      <c r="Y537" s="414"/>
      <c r="Z537" s="414"/>
      <c r="AA537" s="414"/>
      <c r="AB537" s="414"/>
      <c r="AC537" s="414"/>
      <c r="AD537" s="414"/>
      <c r="AE537" s="415"/>
    </row>
    <row r="538" spans="3:31">
      <c r="C538" s="440"/>
      <c r="D538" s="435"/>
      <c r="E538" s="435"/>
      <c r="F538" s="435"/>
      <c r="G538" s="435"/>
      <c r="H538" s="435"/>
      <c r="I538" s="412"/>
      <c r="J538" s="412"/>
      <c r="K538" s="412"/>
      <c r="L538" s="412"/>
      <c r="M538" s="412"/>
      <c r="N538" s="412"/>
      <c r="O538" s="412"/>
      <c r="P538" s="412"/>
      <c r="Q538" s="412"/>
      <c r="R538" s="412"/>
      <c r="S538" s="412"/>
      <c r="T538" s="412"/>
      <c r="U538" s="412"/>
      <c r="V538" s="412"/>
      <c r="W538" s="412"/>
      <c r="X538" s="412"/>
      <c r="Y538" s="412"/>
      <c r="Z538" s="412"/>
      <c r="AA538" s="412"/>
      <c r="AB538" s="412"/>
      <c r="AC538" s="412"/>
      <c r="AD538" s="412"/>
      <c r="AE538" s="413"/>
    </row>
    <row r="539" spans="3:31">
      <c r="C539" s="439"/>
      <c r="D539" s="434"/>
      <c r="E539" s="434"/>
      <c r="F539" s="434"/>
      <c r="G539" s="434"/>
      <c r="H539" s="434"/>
      <c r="I539" s="414"/>
      <c r="J539" s="414"/>
      <c r="K539" s="414"/>
      <c r="L539" s="414"/>
      <c r="M539" s="414"/>
      <c r="N539" s="414"/>
      <c r="O539" s="414"/>
      <c r="P539" s="414"/>
      <c r="Q539" s="414"/>
      <c r="R539" s="414"/>
      <c r="S539" s="414"/>
      <c r="T539" s="414"/>
      <c r="U539" s="414"/>
      <c r="V539" s="414"/>
      <c r="W539" s="414"/>
      <c r="X539" s="414"/>
      <c r="Y539" s="414"/>
      <c r="Z539" s="414"/>
      <c r="AA539" s="414"/>
      <c r="AB539" s="414"/>
      <c r="AC539" s="414"/>
      <c r="AD539" s="414"/>
      <c r="AE539" s="415"/>
    </row>
    <row r="540" spans="3:31">
      <c r="C540" s="440"/>
      <c r="D540" s="435"/>
      <c r="E540" s="435"/>
      <c r="F540" s="435"/>
      <c r="G540" s="435"/>
      <c r="H540" s="435"/>
      <c r="I540" s="412"/>
      <c r="J540" s="412"/>
      <c r="K540" s="412"/>
      <c r="L540" s="412"/>
      <c r="M540" s="412"/>
      <c r="N540" s="412"/>
      <c r="O540" s="412"/>
      <c r="P540" s="412"/>
      <c r="Q540" s="412"/>
      <c r="R540" s="412"/>
      <c r="S540" s="412"/>
      <c r="T540" s="412"/>
      <c r="U540" s="412"/>
      <c r="V540" s="412"/>
      <c r="W540" s="412"/>
      <c r="X540" s="412"/>
      <c r="Y540" s="412"/>
      <c r="Z540" s="412"/>
      <c r="AA540" s="412"/>
      <c r="AB540" s="412"/>
      <c r="AC540" s="412"/>
      <c r="AD540" s="412"/>
      <c r="AE540" s="413"/>
    </row>
    <row r="541" spans="3:31">
      <c r="C541" s="439"/>
      <c r="D541" s="434"/>
      <c r="E541" s="434"/>
      <c r="F541" s="434"/>
      <c r="G541" s="434"/>
      <c r="H541" s="434"/>
      <c r="I541" s="414"/>
      <c r="J541" s="414"/>
      <c r="K541" s="414"/>
      <c r="L541" s="414"/>
      <c r="M541" s="414"/>
      <c r="N541" s="414"/>
      <c r="O541" s="414"/>
      <c r="P541" s="414"/>
      <c r="Q541" s="414"/>
      <c r="R541" s="414"/>
      <c r="S541" s="414"/>
      <c r="T541" s="414"/>
      <c r="U541" s="414"/>
      <c r="V541" s="414"/>
      <c r="W541" s="414"/>
      <c r="X541" s="414"/>
      <c r="Y541" s="414"/>
      <c r="Z541" s="414"/>
      <c r="AA541" s="414"/>
      <c r="AB541" s="414"/>
      <c r="AC541" s="414"/>
      <c r="AD541" s="414"/>
      <c r="AE541" s="415"/>
    </row>
    <row r="542" spans="3:31">
      <c r="C542" s="440"/>
      <c r="D542" s="435"/>
      <c r="E542" s="435"/>
      <c r="F542" s="435"/>
      <c r="G542" s="435"/>
      <c r="H542" s="435"/>
      <c r="I542" s="412"/>
      <c r="J542" s="412"/>
      <c r="K542" s="412"/>
      <c r="L542" s="412"/>
      <c r="M542" s="412"/>
      <c r="N542" s="412"/>
      <c r="O542" s="412"/>
      <c r="P542" s="412"/>
      <c r="Q542" s="412"/>
      <c r="R542" s="412"/>
      <c r="S542" s="412"/>
      <c r="T542" s="412"/>
      <c r="U542" s="412"/>
      <c r="V542" s="412"/>
      <c r="W542" s="412"/>
      <c r="X542" s="412"/>
      <c r="Y542" s="412"/>
      <c r="Z542" s="412"/>
      <c r="AA542" s="412"/>
      <c r="AB542" s="412"/>
      <c r="AC542" s="412"/>
      <c r="AD542" s="412"/>
      <c r="AE542" s="413"/>
    </row>
    <row r="543" spans="3:31">
      <c r="C543" s="439"/>
      <c r="D543" s="434"/>
      <c r="E543" s="434"/>
      <c r="F543" s="434"/>
      <c r="G543" s="434"/>
      <c r="H543" s="434"/>
      <c r="I543" s="414"/>
      <c r="J543" s="414"/>
      <c r="K543" s="414"/>
      <c r="L543" s="414"/>
      <c r="M543" s="414"/>
      <c r="N543" s="414"/>
      <c r="O543" s="414"/>
      <c r="P543" s="414"/>
      <c r="Q543" s="414"/>
      <c r="R543" s="414"/>
      <c r="S543" s="414"/>
      <c r="T543" s="414"/>
      <c r="U543" s="414"/>
      <c r="V543" s="414"/>
      <c r="W543" s="414"/>
      <c r="X543" s="414"/>
      <c r="Y543" s="414"/>
      <c r="Z543" s="414"/>
      <c r="AA543" s="414"/>
      <c r="AB543" s="414"/>
      <c r="AC543" s="414"/>
      <c r="AD543" s="414"/>
      <c r="AE543" s="415"/>
    </row>
    <row r="544" spans="3:31">
      <c r="C544" s="440"/>
      <c r="D544" s="435"/>
      <c r="E544" s="435"/>
      <c r="F544" s="435"/>
      <c r="G544" s="435"/>
      <c r="H544" s="435"/>
      <c r="I544" s="412"/>
      <c r="J544" s="412"/>
      <c r="K544" s="412"/>
      <c r="L544" s="412"/>
      <c r="M544" s="412"/>
      <c r="N544" s="412"/>
      <c r="O544" s="412"/>
      <c r="P544" s="412"/>
      <c r="Q544" s="412"/>
      <c r="R544" s="412"/>
      <c r="S544" s="412"/>
      <c r="T544" s="412"/>
      <c r="U544" s="412"/>
      <c r="V544" s="412"/>
      <c r="W544" s="412"/>
      <c r="X544" s="412"/>
      <c r="Y544" s="412"/>
      <c r="Z544" s="412"/>
      <c r="AA544" s="412"/>
      <c r="AB544" s="412"/>
      <c r="AC544" s="412"/>
      <c r="AD544" s="412"/>
      <c r="AE544" s="413"/>
    </row>
    <row r="545" spans="3:31">
      <c r="C545" s="439"/>
      <c r="D545" s="434"/>
      <c r="E545" s="434"/>
      <c r="F545" s="434"/>
      <c r="G545" s="434"/>
      <c r="H545" s="434"/>
      <c r="I545" s="414"/>
      <c r="J545" s="414"/>
      <c r="K545" s="414"/>
      <c r="L545" s="414"/>
      <c r="M545" s="414"/>
      <c r="N545" s="414"/>
      <c r="O545" s="414"/>
      <c r="P545" s="414"/>
      <c r="Q545" s="414"/>
      <c r="R545" s="414"/>
      <c r="S545" s="414"/>
      <c r="T545" s="414"/>
      <c r="U545" s="414"/>
      <c r="V545" s="414"/>
      <c r="W545" s="414"/>
      <c r="X545" s="414"/>
      <c r="Y545" s="414"/>
      <c r="Z545" s="414"/>
      <c r="AA545" s="414"/>
      <c r="AB545" s="414"/>
      <c r="AC545" s="414"/>
      <c r="AD545" s="414"/>
      <c r="AE545" s="415"/>
    </row>
    <row r="546" spans="3:31">
      <c r="C546" s="440"/>
      <c r="D546" s="435"/>
      <c r="E546" s="435"/>
      <c r="F546" s="435"/>
      <c r="G546" s="435"/>
      <c r="H546" s="435"/>
      <c r="I546" s="412"/>
      <c r="J546" s="412"/>
      <c r="K546" s="412"/>
      <c r="L546" s="412"/>
      <c r="M546" s="412"/>
      <c r="N546" s="412"/>
      <c r="O546" s="412"/>
      <c r="P546" s="412"/>
      <c r="Q546" s="412"/>
      <c r="R546" s="412"/>
      <c r="S546" s="412"/>
      <c r="T546" s="412"/>
      <c r="U546" s="412"/>
      <c r="V546" s="412"/>
      <c r="W546" s="412"/>
      <c r="X546" s="412"/>
      <c r="Y546" s="412"/>
      <c r="Z546" s="412"/>
      <c r="AA546" s="412"/>
      <c r="AB546" s="412"/>
      <c r="AC546" s="412"/>
      <c r="AD546" s="412"/>
      <c r="AE546" s="413"/>
    </row>
    <row r="547" spans="3:31">
      <c r="C547" s="439"/>
      <c r="D547" s="434"/>
      <c r="E547" s="434"/>
      <c r="F547" s="434"/>
      <c r="G547" s="434"/>
      <c r="H547" s="434"/>
      <c r="I547" s="414"/>
      <c r="J547" s="414"/>
      <c r="K547" s="414"/>
      <c r="L547" s="414"/>
      <c r="M547" s="414"/>
      <c r="N547" s="414"/>
      <c r="O547" s="414"/>
      <c r="P547" s="414"/>
      <c r="Q547" s="414"/>
      <c r="R547" s="414"/>
      <c r="S547" s="414"/>
      <c r="T547" s="414"/>
      <c r="U547" s="414"/>
      <c r="V547" s="414"/>
      <c r="W547" s="414"/>
      <c r="X547" s="414"/>
      <c r="Y547" s="414"/>
      <c r="Z547" s="414"/>
      <c r="AA547" s="414"/>
      <c r="AB547" s="414"/>
      <c r="AC547" s="414"/>
      <c r="AD547" s="414"/>
      <c r="AE547" s="415"/>
    </row>
    <row r="548" spans="3:31">
      <c r="C548" s="440"/>
      <c r="D548" s="435"/>
      <c r="E548" s="435"/>
      <c r="F548" s="435"/>
      <c r="G548" s="435"/>
      <c r="H548" s="435"/>
      <c r="I548" s="412"/>
      <c r="J548" s="412"/>
      <c r="K548" s="412"/>
      <c r="L548" s="412"/>
      <c r="M548" s="412"/>
      <c r="N548" s="412"/>
      <c r="O548" s="412"/>
      <c r="P548" s="412"/>
      <c r="Q548" s="412"/>
      <c r="R548" s="412"/>
      <c r="S548" s="412"/>
      <c r="T548" s="412"/>
      <c r="U548" s="412"/>
      <c r="V548" s="412"/>
      <c r="W548" s="412"/>
      <c r="X548" s="412"/>
      <c r="Y548" s="412"/>
      <c r="Z548" s="412"/>
      <c r="AA548" s="412"/>
      <c r="AB548" s="412"/>
      <c r="AC548" s="412"/>
      <c r="AD548" s="412"/>
      <c r="AE548" s="413"/>
    </row>
    <row r="549" spans="3:31">
      <c r="C549" s="439"/>
      <c r="D549" s="434"/>
      <c r="E549" s="434"/>
      <c r="F549" s="434"/>
      <c r="G549" s="434"/>
      <c r="H549" s="434"/>
      <c r="I549" s="414"/>
      <c r="J549" s="414"/>
      <c r="K549" s="414"/>
      <c r="L549" s="414"/>
      <c r="M549" s="414"/>
      <c r="N549" s="414"/>
      <c r="O549" s="414"/>
      <c r="P549" s="414"/>
      <c r="Q549" s="414"/>
      <c r="R549" s="414"/>
      <c r="S549" s="414"/>
      <c r="T549" s="414"/>
      <c r="U549" s="414"/>
      <c r="V549" s="414"/>
      <c r="W549" s="414"/>
      <c r="X549" s="414"/>
      <c r="Y549" s="414"/>
      <c r="Z549" s="414"/>
      <c r="AA549" s="414"/>
      <c r="AB549" s="414"/>
      <c r="AC549" s="414"/>
      <c r="AD549" s="414"/>
      <c r="AE549" s="415"/>
    </row>
    <row r="550" spans="3:31">
      <c r="C550" s="440"/>
      <c r="D550" s="435"/>
      <c r="E550" s="435"/>
      <c r="F550" s="435"/>
      <c r="G550" s="435"/>
      <c r="H550" s="435"/>
      <c r="I550" s="412"/>
      <c r="J550" s="412"/>
      <c r="K550" s="412"/>
      <c r="L550" s="412"/>
      <c r="M550" s="412"/>
      <c r="N550" s="412"/>
      <c r="O550" s="412"/>
      <c r="P550" s="412"/>
      <c r="Q550" s="412"/>
      <c r="R550" s="412"/>
      <c r="S550" s="412"/>
      <c r="T550" s="412"/>
      <c r="U550" s="412"/>
      <c r="V550" s="412"/>
      <c r="W550" s="412"/>
      <c r="X550" s="412"/>
      <c r="Y550" s="412"/>
      <c r="Z550" s="412"/>
      <c r="AA550" s="412"/>
      <c r="AB550" s="412"/>
      <c r="AC550" s="412"/>
      <c r="AD550" s="412"/>
      <c r="AE550" s="413"/>
    </row>
    <row r="551" spans="3:31">
      <c r="C551" s="439"/>
      <c r="D551" s="434"/>
      <c r="E551" s="434"/>
      <c r="F551" s="434"/>
      <c r="G551" s="434"/>
      <c r="H551" s="434"/>
      <c r="I551" s="414"/>
      <c r="J551" s="414"/>
      <c r="K551" s="414"/>
      <c r="L551" s="414"/>
      <c r="M551" s="414"/>
      <c r="N551" s="414"/>
      <c r="O551" s="414"/>
      <c r="P551" s="414"/>
      <c r="Q551" s="414"/>
      <c r="R551" s="414"/>
      <c r="S551" s="414"/>
      <c r="T551" s="414"/>
      <c r="U551" s="414"/>
      <c r="V551" s="414"/>
      <c r="W551" s="414"/>
      <c r="X551" s="414"/>
      <c r="Y551" s="414"/>
      <c r="Z551" s="414"/>
      <c r="AA551" s="414"/>
      <c r="AB551" s="414"/>
      <c r="AC551" s="414"/>
      <c r="AD551" s="414"/>
      <c r="AE551" s="415"/>
    </row>
    <row r="552" spans="3:31">
      <c r="C552" s="440"/>
      <c r="D552" s="435"/>
      <c r="E552" s="435"/>
      <c r="F552" s="435"/>
      <c r="G552" s="435"/>
      <c r="H552" s="435"/>
      <c r="I552" s="412"/>
      <c r="J552" s="412"/>
      <c r="K552" s="412"/>
      <c r="L552" s="412"/>
      <c r="M552" s="412"/>
      <c r="N552" s="412"/>
      <c r="O552" s="412"/>
      <c r="P552" s="412"/>
      <c r="Q552" s="412"/>
      <c r="R552" s="412"/>
      <c r="S552" s="412"/>
      <c r="T552" s="412"/>
      <c r="U552" s="412"/>
      <c r="V552" s="412"/>
      <c r="W552" s="412"/>
      <c r="X552" s="412"/>
      <c r="Y552" s="412"/>
      <c r="Z552" s="412"/>
      <c r="AA552" s="412"/>
      <c r="AB552" s="412"/>
      <c r="AC552" s="412"/>
      <c r="AD552" s="412"/>
      <c r="AE552" s="413"/>
    </row>
    <row r="553" spans="3:31">
      <c r="C553" s="439"/>
      <c r="D553" s="434"/>
      <c r="E553" s="434"/>
      <c r="F553" s="434"/>
      <c r="G553" s="434"/>
      <c r="H553" s="434"/>
      <c r="I553" s="414"/>
      <c r="J553" s="414"/>
      <c r="K553" s="414"/>
      <c r="L553" s="414"/>
      <c r="M553" s="414"/>
      <c r="N553" s="414"/>
      <c r="O553" s="414"/>
      <c r="P553" s="414"/>
      <c r="Q553" s="414"/>
      <c r="R553" s="414"/>
      <c r="S553" s="414"/>
      <c r="T553" s="414"/>
      <c r="U553" s="414"/>
      <c r="V553" s="414"/>
      <c r="W553" s="414"/>
      <c r="X553" s="414"/>
      <c r="Y553" s="414"/>
      <c r="Z553" s="414"/>
      <c r="AA553" s="414"/>
      <c r="AB553" s="414"/>
      <c r="AC553" s="414"/>
      <c r="AD553" s="414"/>
      <c r="AE553" s="415"/>
    </row>
    <row r="554" spans="3:31">
      <c r="C554" s="440"/>
      <c r="D554" s="435"/>
      <c r="E554" s="435"/>
      <c r="F554" s="435"/>
      <c r="G554" s="435"/>
      <c r="H554" s="435"/>
      <c r="I554" s="412"/>
      <c r="J554" s="412"/>
      <c r="K554" s="412"/>
      <c r="L554" s="412"/>
      <c r="M554" s="412"/>
      <c r="N554" s="412"/>
      <c r="O554" s="412"/>
      <c r="P554" s="412"/>
      <c r="Q554" s="412"/>
      <c r="R554" s="412"/>
      <c r="S554" s="412"/>
      <c r="T554" s="412"/>
      <c r="U554" s="412"/>
      <c r="V554" s="412"/>
      <c r="W554" s="412"/>
      <c r="X554" s="412"/>
      <c r="Y554" s="412"/>
      <c r="Z554" s="412"/>
      <c r="AA554" s="412"/>
      <c r="AB554" s="412"/>
      <c r="AC554" s="412"/>
      <c r="AD554" s="412"/>
      <c r="AE554" s="413"/>
    </row>
    <row r="555" spans="3:31">
      <c r="C555" s="439"/>
      <c r="D555" s="434"/>
      <c r="E555" s="434"/>
      <c r="F555" s="434"/>
      <c r="G555" s="434"/>
      <c r="H555" s="434"/>
      <c r="I555" s="414"/>
      <c r="J555" s="414"/>
      <c r="K555" s="414"/>
      <c r="L555" s="414"/>
      <c r="M555" s="414"/>
      <c r="N555" s="414"/>
      <c r="O555" s="414"/>
      <c r="P555" s="414"/>
      <c r="Q555" s="414"/>
      <c r="R555" s="414"/>
      <c r="S555" s="414"/>
      <c r="T555" s="414"/>
      <c r="U555" s="414"/>
      <c r="V555" s="414"/>
      <c r="W555" s="414"/>
      <c r="X555" s="414"/>
      <c r="Y555" s="414"/>
      <c r="Z555" s="414"/>
      <c r="AA555" s="414"/>
      <c r="AB555" s="414"/>
      <c r="AC555" s="414"/>
      <c r="AD555" s="414"/>
      <c r="AE555" s="415"/>
    </row>
    <row r="556" spans="3:31">
      <c r="C556" s="440"/>
      <c r="D556" s="435"/>
      <c r="E556" s="435"/>
      <c r="F556" s="435"/>
      <c r="G556" s="435"/>
      <c r="H556" s="435"/>
      <c r="I556" s="412"/>
      <c r="J556" s="412"/>
      <c r="K556" s="412"/>
      <c r="L556" s="412"/>
      <c r="M556" s="412"/>
      <c r="N556" s="412"/>
      <c r="O556" s="412"/>
      <c r="P556" s="412"/>
      <c r="Q556" s="412"/>
      <c r="R556" s="412"/>
      <c r="S556" s="412"/>
      <c r="T556" s="412"/>
      <c r="U556" s="412"/>
      <c r="V556" s="412"/>
      <c r="W556" s="412"/>
      <c r="X556" s="412"/>
      <c r="Y556" s="412"/>
      <c r="Z556" s="412"/>
      <c r="AA556" s="412"/>
      <c r="AB556" s="412"/>
      <c r="AC556" s="412"/>
      <c r="AD556" s="412"/>
      <c r="AE556" s="413"/>
    </row>
    <row r="557" spans="3:31">
      <c r="C557" s="439"/>
      <c r="D557" s="434"/>
      <c r="E557" s="434"/>
      <c r="F557" s="434"/>
      <c r="G557" s="434"/>
      <c r="H557" s="434"/>
      <c r="I557" s="414"/>
      <c r="J557" s="414"/>
      <c r="K557" s="414"/>
      <c r="L557" s="414"/>
      <c r="M557" s="414"/>
      <c r="N557" s="414"/>
      <c r="O557" s="414"/>
      <c r="P557" s="414"/>
      <c r="Q557" s="414"/>
      <c r="R557" s="414"/>
      <c r="S557" s="414"/>
      <c r="T557" s="414"/>
      <c r="U557" s="414"/>
      <c r="V557" s="414"/>
      <c r="W557" s="414"/>
      <c r="X557" s="414"/>
      <c r="Y557" s="414"/>
      <c r="Z557" s="414"/>
      <c r="AA557" s="414"/>
      <c r="AB557" s="414"/>
      <c r="AC557" s="414"/>
      <c r="AD557" s="414"/>
      <c r="AE557" s="415"/>
    </row>
    <row r="558" spans="3:31">
      <c r="C558" s="440"/>
      <c r="D558" s="435"/>
      <c r="E558" s="435"/>
      <c r="F558" s="435"/>
      <c r="G558" s="435"/>
      <c r="H558" s="435"/>
      <c r="I558" s="412"/>
      <c r="J558" s="412"/>
      <c r="K558" s="412"/>
      <c r="L558" s="412"/>
      <c r="M558" s="412"/>
      <c r="N558" s="412"/>
      <c r="O558" s="412"/>
      <c r="P558" s="412"/>
      <c r="Q558" s="412"/>
      <c r="R558" s="412"/>
      <c r="S558" s="412"/>
      <c r="T558" s="412"/>
      <c r="U558" s="412"/>
      <c r="V558" s="412"/>
      <c r="W558" s="412"/>
      <c r="X558" s="412"/>
      <c r="Y558" s="412"/>
      <c r="Z558" s="412"/>
      <c r="AA558" s="412"/>
      <c r="AB558" s="412"/>
      <c r="AC558" s="412"/>
      <c r="AD558" s="412"/>
      <c r="AE558" s="413"/>
    </row>
    <row r="559" spans="3:31">
      <c r="C559" s="439"/>
      <c r="D559" s="434"/>
      <c r="E559" s="434"/>
      <c r="F559" s="434"/>
      <c r="G559" s="434"/>
      <c r="H559" s="434"/>
      <c r="I559" s="414"/>
      <c r="J559" s="414"/>
      <c r="K559" s="414"/>
      <c r="L559" s="414"/>
      <c r="M559" s="414"/>
      <c r="N559" s="414"/>
      <c r="O559" s="414"/>
      <c r="P559" s="414"/>
      <c r="Q559" s="414"/>
      <c r="R559" s="414"/>
      <c r="S559" s="414"/>
      <c r="T559" s="414"/>
      <c r="U559" s="414"/>
      <c r="V559" s="414"/>
      <c r="W559" s="414"/>
      <c r="X559" s="414"/>
      <c r="Y559" s="414"/>
      <c r="Z559" s="414"/>
      <c r="AA559" s="414"/>
      <c r="AB559" s="414"/>
      <c r="AC559" s="414"/>
      <c r="AD559" s="414"/>
      <c r="AE559" s="415"/>
    </row>
    <row r="560" spans="3:31">
      <c r="C560" s="440"/>
      <c r="D560" s="435"/>
      <c r="E560" s="435"/>
      <c r="F560" s="435"/>
      <c r="G560" s="435"/>
      <c r="H560" s="435"/>
      <c r="I560" s="412"/>
      <c r="J560" s="412"/>
      <c r="K560" s="412"/>
      <c r="L560" s="412"/>
      <c r="M560" s="412"/>
      <c r="N560" s="412"/>
      <c r="O560" s="412"/>
      <c r="P560" s="412"/>
      <c r="Q560" s="412"/>
      <c r="R560" s="412"/>
      <c r="S560" s="412"/>
      <c r="T560" s="412"/>
      <c r="U560" s="412"/>
      <c r="V560" s="412"/>
      <c r="W560" s="412"/>
      <c r="X560" s="412"/>
      <c r="Y560" s="412"/>
      <c r="Z560" s="412"/>
      <c r="AA560" s="412"/>
      <c r="AB560" s="412"/>
      <c r="AC560" s="412"/>
      <c r="AD560" s="412"/>
      <c r="AE560" s="413"/>
    </row>
    <row r="561" spans="3:31">
      <c r="C561" s="439"/>
      <c r="D561" s="434"/>
      <c r="E561" s="434"/>
      <c r="F561" s="434"/>
      <c r="G561" s="434"/>
      <c r="H561" s="434"/>
      <c r="I561" s="414"/>
      <c r="J561" s="414"/>
      <c r="K561" s="414"/>
      <c r="L561" s="414"/>
      <c r="M561" s="414"/>
      <c r="N561" s="414"/>
      <c r="O561" s="414"/>
      <c r="P561" s="414"/>
      <c r="Q561" s="414"/>
      <c r="R561" s="414"/>
      <c r="S561" s="414"/>
      <c r="T561" s="414"/>
      <c r="U561" s="414"/>
      <c r="V561" s="414"/>
      <c r="W561" s="414"/>
      <c r="X561" s="414"/>
      <c r="Y561" s="414"/>
      <c r="Z561" s="414"/>
      <c r="AA561" s="414"/>
      <c r="AB561" s="414"/>
      <c r="AC561" s="414"/>
      <c r="AD561" s="414"/>
      <c r="AE561" s="415"/>
    </row>
    <row r="562" spans="3:31">
      <c r="C562" s="440"/>
      <c r="D562" s="435"/>
      <c r="E562" s="435"/>
      <c r="F562" s="435"/>
      <c r="G562" s="435"/>
      <c r="H562" s="435"/>
      <c r="I562" s="412"/>
      <c r="J562" s="412"/>
      <c r="K562" s="412"/>
      <c r="L562" s="412"/>
      <c r="M562" s="412"/>
      <c r="N562" s="412"/>
      <c r="O562" s="412"/>
      <c r="P562" s="412"/>
      <c r="Q562" s="412"/>
      <c r="R562" s="412"/>
      <c r="S562" s="412"/>
      <c r="T562" s="412"/>
      <c r="U562" s="412"/>
      <c r="V562" s="412"/>
      <c r="W562" s="412"/>
      <c r="X562" s="412"/>
      <c r="Y562" s="412"/>
      <c r="Z562" s="412"/>
      <c r="AA562" s="412"/>
      <c r="AB562" s="412"/>
      <c r="AC562" s="412"/>
      <c r="AD562" s="412"/>
      <c r="AE562" s="413"/>
    </row>
    <row r="563" spans="3:31">
      <c r="C563" s="439"/>
      <c r="D563" s="434"/>
      <c r="E563" s="434"/>
      <c r="F563" s="434"/>
      <c r="G563" s="434"/>
      <c r="H563" s="434"/>
      <c r="I563" s="414"/>
      <c r="J563" s="414"/>
      <c r="K563" s="414"/>
      <c r="L563" s="414"/>
      <c r="M563" s="414"/>
      <c r="N563" s="414"/>
      <c r="O563" s="414"/>
      <c r="P563" s="414"/>
      <c r="Q563" s="414"/>
      <c r="R563" s="414"/>
      <c r="S563" s="414"/>
      <c r="T563" s="414"/>
      <c r="U563" s="414"/>
      <c r="V563" s="414"/>
      <c r="W563" s="414"/>
      <c r="X563" s="414"/>
      <c r="Y563" s="414"/>
      <c r="Z563" s="414"/>
      <c r="AA563" s="414"/>
      <c r="AB563" s="414"/>
      <c r="AC563" s="414"/>
      <c r="AD563" s="414"/>
      <c r="AE563" s="415"/>
    </row>
    <row r="564" spans="3:31">
      <c r="C564" s="440"/>
      <c r="D564" s="435"/>
      <c r="E564" s="435"/>
      <c r="F564" s="435"/>
      <c r="G564" s="435"/>
      <c r="H564" s="435"/>
      <c r="I564" s="412"/>
      <c r="J564" s="412"/>
      <c r="K564" s="412"/>
      <c r="L564" s="412"/>
      <c r="M564" s="412"/>
      <c r="N564" s="412"/>
      <c r="O564" s="412"/>
      <c r="P564" s="412"/>
      <c r="Q564" s="412"/>
      <c r="R564" s="412"/>
      <c r="S564" s="412"/>
      <c r="T564" s="412"/>
      <c r="U564" s="412"/>
      <c r="V564" s="412"/>
      <c r="W564" s="412"/>
      <c r="X564" s="412"/>
      <c r="Y564" s="412"/>
      <c r="Z564" s="412"/>
      <c r="AA564" s="412"/>
      <c r="AB564" s="412"/>
      <c r="AC564" s="412"/>
      <c r="AD564" s="412"/>
      <c r="AE564" s="413"/>
    </row>
    <row r="565" spans="3:31">
      <c r="C565" s="439"/>
      <c r="D565" s="434"/>
      <c r="E565" s="434"/>
      <c r="F565" s="434"/>
      <c r="G565" s="434"/>
      <c r="H565" s="434"/>
      <c r="I565" s="414"/>
      <c r="J565" s="414"/>
      <c r="K565" s="414"/>
      <c r="L565" s="414"/>
      <c r="M565" s="414"/>
      <c r="N565" s="414"/>
      <c r="O565" s="414"/>
      <c r="P565" s="414"/>
      <c r="Q565" s="414"/>
      <c r="R565" s="414"/>
      <c r="S565" s="414"/>
      <c r="T565" s="414"/>
      <c r="U565" s="414"/>
      <c r="V565" s="414"/>
      <c r="W565" s="414"/>
      <c r="X565" s="414"/>
      <c r="Y565" s="414"/>
      <c r="Z565" s="414"/>
      <c r="AA565" s="414"/>
      <c r="AB565" s="414"/>
      <c r="AC565" s="414"/>
      <c r="AD565" s="414"/>
      <c r="AE565" s="415"/>
    </row>
    <row r="566" spans="3:31">
      <c r="C566" s="440"/>
      <c r="D566" s="435"/>
      <c r="E566" s="435"/>
      <c r="F566" s="435"/>
      <c r="G566" s="435"/>
      <c r="H566" s="435"/>
      <c r="I566" s="412"/>
      <c r="J566" s="412"/>
      <c r="K566" s="412"/>
      <c r="L566" s="412"/>
      <c r="M566" s="412"/>
      <c r="N566" s="412"/>
      <c r="O566" s="412"/>
      <c r="P566" s="412"/>
      <c r="Q566" s="412"/>
      <c r="R566" s="412"/>
      <c r="S566" s="412"/>
      <c r="T566" s="412"/>
      <c r="U566" s="412"/>
      <c r="V566" s="412"/>
      <c r="W566" s="412"/>
      <c r="X566" s="412"/>
      <c r="Y566" s="412"/>
      <c r="Z566" s="412"/>
      <c r="AA566" s="412"/>
      <c r="AB566" s="412"/>
      <c r="AC566" s="412"/>
      <c r="AD566" s="412"/>
      <c r="AE566" s="413"/>
    </row>
    <row r="567" spans="3:31">
      <c r="C567" s="439"/>
      <c r="D567" s="434"/>
      <c r="E567" s="434"/>
      <c r="F567" s="434"/>
      <c r="G567" s="434"/>
      <c r="H567" s="434"/>
      <c r="I567" s="414"/>
      <c r="J567" s="414"/>
      <c r="K567" s="414"/>
      <c r="L567" s="414"/>
      <c r="M567" s="414"/>
      <c r="N567" s="414"/>
      <c r="O567" s="414"/>
      <c r="P567" s="414"/>
      <c r="Q567" s="414"/>
      <c r="R567" s="414"/>
      <c r="S567" s="414"/>
      <c r="T567" s="414"/>
      <c r="U567" s="414"/>
      <c r="V567" s="414"/>
      <c r="W567" s="414"/>
      <c r="X567" s="414"/>
      <c r="Y567" s="414"/>
      <c r="Z567" s="414"/>
      <c r="AA567" s="414"/>
      <c r="AB567" s="414"/>
      <c r="AC567" s="414"/>
      <c r="AD567" s="414"/>
      <c r="AE567" s="415"/>
    </row>
    <row r="568" spans="3:31">
      <c r="C568" s="440"/>
      <c r="D568" s="435"/>
      <c r="E568" s="435"/>
      <c r="F568" s="435"/>
      <c r="G568" s="435"/>
      <c r="H568" s="435"/>
      <c r="I568" s="412"/>
      <c r="J568" s="412"/>
      <c r="K568" s="412"/>
      <c r="L568" s="412"/>
      <c r="M568" s="412"/>
      <c r="N568" s="412"/>
      <c r="O568" s="412"/>
      <c r="P568" s="412"/>
      <c r="Q568" s="412"/>
      <c r="R568" s="412"/>
      <c r="S568" s="412"/>
      <c r="T568" s="412"/>
      <c r="U568" s="412"/>
      <c r="V568" s="412"/>
      <c r="W568" s="412"/>
      <c r="X568" s="412"/>
      <c r="Y568" s="412"/>
      <c r="Z568" s="412"/>
      <c r="AA568" s="412"/>
      <c r="AB568" s="412"/>
      <c r="AC568" s="412"/>
      <c r="AD568" s="412"/>
      <c r="AE568" s="413"/>
    </row>
    <row r="569" spans="3:31">
      <c r="C569" s="439"/>
      <c r="D569" s="434"/>
      <c r="E569" s="434"/>
      <c r="F569" s="434"/>
      <c r="G569" s="434"/>
      <c r="H569" s="434"/>
      <c r="I569" s="414"/>
      <c r="J569" s="414"/>
      <c r="K569" s="414"/>
      <c r="L569" s="414"/>
      <c r="M569" s="414"/>
      <c r="N569" s="414"/>
      <c r="O569" s="414"/>
      <c r="P569" s="414"/>
      <c r="Q569" s="414"/>
      <c r="R569" s="414"/>
      <c r="S569" s="414"/>
      <c r="T569" s="414"/>
      <c r="U569" s="414"/>
      <c r="V569" s="414"/>
      <c r="W569" s="414"/>
      <c r="X569" s="414"/>
      <c r="Y569" s="414"/>
      <c r="Z569" s="414"/>
      <c r="AA569" s="414"/>
      <c r="AB569" s="414"/>
      <c r="AC569" s="414"/>
      <c r="AD569" s="414"/>
      <c r="AE569" s="415"/>
    </row>
    <row r="570" spans="3:31">
      <c r="C570" s="440"/>
      <c r="D570" s="435"/>
      <c r="E570" s="435"/>
      <c r="F570" s="435"/>
      <c r="G570" s="435"/>
      <c r="H570" s="435"/>
      <c r="I570" s="412"/>
      <c r="J570" s="412"/>
      <c r="K570" s="412"/>
      <c r="L570" s="412"/>
      <c r="M570" s="412"/>
      <c r="N570" s="412"/>
      <c r="O570" s="412"/>
      <c r="P570" s="412"/>
      <c r="Q570" s="412"/>
      <c r="R570" s="412"/>
      <c r="S570" s="412"/>
      <c r="T570" s="412"/>
      <c r="U570" s="412"/>
      <c r="V570" s="412"/>
      <c r="W570" s="412"/>
      <c r="X570" s="412"/>
      <c r="Y570" s="412"/>
      <c r="Z570" s="412"/>
      <c r="AA570" s="412"/>
      <c r="AB570" s="412"/>
      <c r="AC570" s="412"/>
      <c r="AD570" s="412"/>
      <c r="AE570" s="413"/>
    </row>
    <row r="571" spans="3:31">
      <c r="C571" s="439"/>
      <c r="D571" s="434"/>
      <c r="E571" s="434"/>
      <c r="F571" s="434"/>
      <c r="G571" s="434"/>
      <c r="H571" s="434"/>
      <c r="I571" s="414"/>
      <c r="J571" s="414"/>
      <c r="K571" s="414"/>
      <c r="L571" s="414"/>
      <c r="M571" s="414"/>
      <c r="N571" s="414"/>
      <c r="O571" s="414"/>
      <c r="P571" s="414"/>
      <c r="Q571" s="414"/>
      <c r="R571" s="414"/>
      <c r="S571" s="414"/>
      <c r="T571" s="414"/>
      <c r="U571" s="414"/>
      <c r="V571" s="414"/>
      <c r="W571" s="414"/>
      <c r="X571" s="414"/>
      <c r="Y571" s="414"/>
      <c r="Z571" s="414"/>
      <c r="AA571" s="414"/>
      <c r="AB571" s="414"/>
      <c r="AC571" s="414"/>
      <c r="AD571" s="414"/>
      <c r="AE571" s="415"/>
    </row>
    <row r="572" spans="3:31">
      <c r="C572" s="440"/>
      <c r="D572" s="435"/>
      <c r="E572" s="435"/>
      <c r="F572" s="435"/>
      <c r="G572" s="435"/>
      <c r="H572" s="435"/>
      <c r="I572" s="412"/>
      <c r="J572" s="412"/>
      <c r="K572" s="412"/>
      <c r="L572" s="412"/>
      <c r="M572" s="412"/>
      <c r="N572" s="412"/>
      <c r="O572" s="412"/>
      <c r="P572" s="412"/>
      <c r="Q572" s="412"/>
      <c r="R572" s="412"/>
      <c r="S572" s="412"/>
      <c r="T572" s="412"/>
      <c r="U572" s="412"/>
      <c r="V572" s="412"/>
      <c r="W572" s="412"/>
      <c r="X572" s="412"/>
      <c r="Y572" s="412"/>
      <c r="Z572" s="412"/>
      <c r="AA572" s="412"/>
      <c r="AB572" s="412"/>
      <c r="AC572" s="412"/>
      <c r="AD572" s="412"/>
      <c r="AE572" s="413"/>
    </row>
    <row r="573" spans="3:31">
      <c r="C573" s="439"/>
      <c r="D573" s="434"/>
      <c r="E573" s="434"/>
      <c r="F573" s="434"/>
      <c r="G573" s="434"/>
      <c r="H573" s="434"/>
      <c r="I573" s="414"/>
      <c r="J573" s="414"/>
      <c r="K573" s="414"/>
      <c r="L573" s="414"/>
      <c r="M573" s="414"/>
      <c r="N573" s="414"/>
      <c r="O573" s="414"/>
      <c r="P573" s="414"/>
      <c r="Q573" s="414"/>
      <c r="R573" s="414"/>
      <c r="S573" s="414"/>
      <c r="T573" s="414"/>
      <c r="U573" s="414"/>
      <c r="V573" s="414"/>
      <c r="W573" s="414"/>
      <c r="X573" s="414"/>
      <c r="Y573" s="414"/>
      <c r="Z573" s="414"/>
      <c r="AA573" s="414"/>
      <c r="AB573" s="414"/>
      <c r="AC573" s="414"/>
      <c r="AD573" s="414"/>
      <c r="AE573" s="415"/>
    </row>
    <row r="574" spans="3:31">
      <c r="C574" s="440"/>
      <c r="D574" s="435"/>
      <c r="E574" s="435"/>
      <c r="F574" s="435"/>
      <c r="G574" s="435"/>
      <c r="H574" s="435"/>
      <c r="I574" s="412"/>
      <c r="J574" s="412"/>
      <c r="K574" s="412"/>
      <c r="L574" s="412"/>
      <c r="M574" s="412"/>
      <c r="N574" s="412"/>
      <c r="O574" s="412"/>
      <c r="P574" s="412"/>
      <c r="Q574" s="412"/>
      <c r="R574" s="412"/>
      <c r="S574" s="412"/>
      <c r="T574" s="412"/>
      <c r="U574" s="412"/>
      <c r="V574" s="412"/>
      <c r="W574" s="412"/>
      <c r="X574" s="412"/>
      <c r="Y574" s="412"/>
      <c r="Z574" s="412"/>
      <c r="AA574" s="412"/>
      <c r="AB574" s="412"/>
      <c r="AC574" s="412"/>
      <c r="AD574" s="412"/>
      <c r="AE574" s="413"/>
    </row>
    <row r="575" spans="3:31">
      <c r="C575" s="439"/>
      <c r="D575" s="434"/>
      <c r="E575" s="434"/>
      <c r="F575" s="434"/>
      <c r="G575" s="434"/>
      <c r="H575" s="434"/>
      <c r="I575" s="414"/>
      <c r="J575" s="414"/>
      <c r="K575" s="414"/>
      <c r="L575" s="414"/>
      <c r="M575" s="414"/>
      <c r="N575" s="414"/>
      <c r="O575" s="414"/>
      <c r="P575" s="414"/>
      <c r="Q575" s="414"/>
      <c r="R575" s="414"/>
      <c r="S575" s="414"/>
      <c r="T575" s="414"/>
      <c r="U575" s="414"/>
      <c r="V575" s="414"/>
      <c r="W575" s="414"/>
      <c r="X575" s="414"/>
      <c r="Y575" s="414"/>
      <c r="Z575" s="414"/>
      <c r="AA575" s="414"/>
      <c r="AB575" s="414"/>
      <c r="AC575" s="414"/>
      <c r="AD575" s="414"/>
      <c r="AE575" s="415"/>
    </row>
    <row r="576" spans="3:31">
      <c r="C576" s="440"/>
      <c r="D576" s="435"/>
      <c r="E576" s="435"/>
      <c r="F576" s="435"/>
      <c r="G576" s="435"/>
      <c r="H576" s="435"/>
      <c r="I576" s="412"/>
      <c r="J576" s="412"/>
      <c r="K576" s="412"/>
      <c r="L576" s="412"/>
      <c r="M576" s="412"/>
      <c r="N576" s="412"/>
      <c r="O576" s="412"/>
      <c r="P576" s="412"/>
      <c r="Q576" s="412"/>
      <c r="R576" s="412"/>
      <c r="S576" s="412"/>
      <c r="T576" s="412"/>
      <c r="U576" s="412"/>
      <c r="V576" s="412"/>
      <c r="W576" s="412"/>
      <c r="X576" s="412"/>
      <c r="Y576" s="412"/>
      <c r="Z576" s="412"/>
      <c r="AA576" s="412"/>
      <c r="AB576" s="412"/>
      <c r="AC576" s="412"/>
      <c r="AD576" s="412"/>
      <c r="AE576" s="413"/>
    </row>
    <row r="577" spans="3:31">
      <c r="C577" s="439"/>
      <c r="D577" s="434"/>
      <c r="E577" s="434"/>
      <c r="F577" s="434"/>
      <c r="G577" s="434"/>
      <c r="H577" s="434"/>
      <c r="I577" s="414"/>
      <c r="J577" s="414"/>
      <c r="K577" s="414"/>
      <c r="L577" s="414"/>
      <c r="M577" s="414"/>
      <c r="N577" s="414"/>
      <c r="O577" s="414"/>
      <c r="P577" s="414"/>
      <c r="Q577" s="414"/>
      <c r="R577" s="414"/>
      <c r="S577" s="414"/>
      <c r="T577" s="414"/>
      <c r="U577" s="414"/>
      <c r="V577" s="414"/>
      <c r="W577" s="414"/>
      <c r="X577" s="414"/>
      <c r="Y577" s="414"/>
      <c r="Z577" s="414"/>
      <c r="AA577" s="414"/>
      <c r="AB577" s="414"/>
      <c r="AC577" s="414"/>
      <c r="AD577" s="414"/>
      <c r="AE577" s="415"/>
    </row>
    <row r="578" spans="3:31">
      <c r="C578" s="440"/>
      <c r="D578" s="435"/>
      <c r="E578" s="435"/>
      <c r="F578" s="435"/>
      <c r="G578" s="435"/>
      <c r="H578" s="435"/>
      <c r="I578" s="412"/>
      <c r="J578" s="412"/>
      <c r="K578" s="412"/>
      <c r="L578" s="412"/>
      <c r="M578" s="412"/>
      <c r="N578" s="412"/>
      <c r="O578" s="412"/>
      <c r="P578" s="412"/>
      <c r="Q578" s="412"/>
      <c r="R578" s="412"/>
      <c r="S578" s="412"/>
      <c r="T578" s="412"/>
      <c r="U578" s="412"/>
      <c r="V578" s="412"/>
      <c r="W578" s="412"/>
      <c r="X578" s="412"/>
      <c r="Y578" s="412"/>
      <c r="Z578" s="412"/>
      <c r="AA578" s="412"/>
      <c r="AB578" s="412"/>
      <c r="AC578" s="412"/>
      <c r="AD578" s="412"/>
      <c r="AE578" s="413"/>
    </row>
    <row r="579" spans="3:31">
      <c r="C579" s="439"/>
      <c r="D579" s="434"/>
      <c r="E579" s="434"/>
      <c r="F579" s="434"/>
      <c r="G579" s="434"/>
      <c r="H579" s="434"/>
      <c r="I579" s="414"/>
      <c r="J579" s="414"/>
      <c r="K579" s="414"/>
      <c r="L579" s="414"/>
      <c r="M579" s="414"/>
      <c r="N579" s="414"/>
      <c r="O579" s="414"/>
      <c r="P579" s="414"/>
      <c r="Q579" s="414"/>
      <c r="R579" s="414"/>
      <c r="S579" s="414"/>
      <c r="T579" s="414"/>
      <c r="U579" s="414"/>
      <c r="V579" s="414"/>
      <c r="W579" s="414"/>
      <c r="X579" s="414"/>
      <c r="Y579" s="414"/>
      <c r="Z579" s="414"/>
      <c r="AA579" s="414"/>
      <c r="AB579" s="414"/>
      <c r="AC579" s="414"/>
      <c r="AD579" s="414"/>
      <c r="AE579" s="415"/>
    </row>
    <row r="580" spans="3:31">
      <c r="C580" s="440"/>
      <c r="D580" s="435"/>
      <c r="E580" s="435"/>
      <c r="F580" s="435"/>
      <c r="G580" s="435"/>
      <c r="H580" s="435"/>
      <c r="I580" s="412"/>
      <c r="J580" s="412"/>
      <c r="K580" s="412"/>
      <c r="L580" s="412"/>
      <c r="M580" s="412"/>
      <c r="N580" s="412"/>
      <c r="O580" s="412"/>
      <c r="P580" s="412"/>
      <c r="Q580" s="412"/>
      <c r="R580" s="412"/>
      <c r="S580" s="412"/>
      <c r="T580" s="412"/>
      <c r="U580" s="412"/>
      <c r="V580" s="412"/>
      <c r="W580" s="412"/>
      <c r="X580" s="412"/>
      <c r="Y580" s="412"/>
      <c r="Z580" s="412"/>
      <c r="AA580" s="412"/>
      <c r="AB580" s="412"/>
      <c r="AC580" s="412"/>
      <c r="AD580" s="412"/>
      <c r="AE580" s="413"/>
    </row>
    <row r="581" spans="3:31">
      <c r="C581" s="439"/>
      <c r="D581" s="434"/>
      <c r="E581" s="434"/>
      <c r="F581" s="434"/>
      <c r="G581" s="434"/>
      <c r="H581" s="434"/>
      <c r="I581" s="414"/>
      <c r="J581" s="414"/>
      <c r="K581" s="414"/>
      <c r="L581" s="414"/>
      <c r="M581" s="414"/>
      <c r="N581" s="414"/>
      <c r="O581" s="414"/>
      <c r="P581" s="414"/>
      <c r="Q581" s="414"/>
      <c r="R581" s="414"/>
      <c r="S581" s="414"/>
      <c r="T581" s="414"/>
      <c r="U581" s="414"/>
      <c r="V581" s="414"/>
      <c r="W581" s="414"/>
      <c r="X581" s="414"/>
      <c r="Y581" s="414"/>
      <c r="Z581" s="414"/>
      <c r="AA581" s="414"/>
      <c r="AB581" s="414"/>
      <c r="AC581" s="414"/>
      <c r="AD581" s="414"/>
      <c r="AE581" s="415"/>
    </row>
    <row r="582" spans="3:31">
      <c r="C582" s="440"/>
      <c r="D582" s="435"/>
      <c r="E582" s="435"/>
      <c r="F582" s="435"/>
      <c r="G582" s="435"/>
      <c r="H582" s="435"/>
      <c r="I582" s="412"/>
      <c r="J582" s="412"/>
      <c r="K582" s="412"/>
      <c r="L582" s="412"/>
      <c r="M582" s="412"/>
      <c r="N582" s="412"/>
      <c r="O582" s="412"/>
      <c r="P582" s="412"/>
      <c r="Q582" s="412"/>
      <c r="R582" s="412"/>
      <c r="S582" s="412"/>
      <c r="T582" s="412"/>
      <c r="U582" s="412"/>
      <c r="V582" s="412"/>
      <c r="W582" s="412"/>
      <c r="X582" s="412"/>
      <c r="Y582" s="412"/>
      <c r="Z582" s="412"/>
      <c r="AA582" s="412"/>
      <c r="AB582" s="412"/>
      <c r="AC582" s="412"/>
      <c r="AD582" s="412"/>
      <c r="AE582" s="413"/>
    </row>
    <row r="583" spans="3:31">
      <c r="C583" s="439"/>
      <c r="D583" s="434"/>
      <c r="E583" s="434"/>
      <c r="F583" s="434"/>
      <c r="G583" s="434"/>
      <c r="H583" s="434"/>
      <c r="I583" s="417"/>
      <c r="J583" s="414"/>
      <c r="K583" s="414"/>
      <c r="L583" s="414"/>
      <c r="M583" s="414"/>
      <c r="N583" s="414"/>
      <c r="O583" s="414"/>
      <c r="P583" s="414"/>
      <c r="Q583" s="414"/>
      <c r="R583" s="414"/>
      <c r="S583" s="414"/>
      <c r="T583" s="414"/>
      <c r="U583" s="414"/>
      <c r="V583" s="414"/>
      <c r="W583" s="414"/>
      <c r="X583" s="414"/>
      <c r="Y583" s="414"/>
      <c r="Z583" s="414"/>
      <c r="AA583" s="414"/>
      <c r="AB583" s="414"/>
      <c r="AC583" s="414"/>
      <c r="AD583" s="414"/>
      <c r="AE583" s="415"/>
    </row>
    <row r="584" spans="3:31">
      <c r="C584" s="440"/>
      <c r="D584" s="435"/>
      <c r="E584" s="435"/>
      <c r="F584" s="435"/>
      <c r="G584" s="435"/>
      <c r="H584" s="435"/>
      <c r="I584" s="412"/>
      <c r="J584" s="412"/>
      <c r="K584" s="412"/>
      <c r="L584" s="412"/>
      <c r="M584" s="412"/>
      <c r="N584" s="412"/>
      <c r="O584" s="412"/>
      <c r="P584" s="412"/>
      <c r="Q584" s="412"/>
      <c r="R584" s="412"/>
      <c r="S584" s="412"/>
      <c r="T584" s="412"/>
      <c r="U584" s="412"/>
      <c r="V584" s="412"/>
      <c r="W584" s="412"/>
      <c r="X584" s="412"/>
      <c r="Y584" s="412"/>
      <c r="Z584" s="412"/>
      <c r="AA584" s="412"/>
      <c r="AB584" s="412"/>
      <c r="AC584" s="412"/>
      <c r="AD584" s="412"/>
      <c r="AE584" s="413"/>
    </row>
    <row r="585" spans="3:31">
      <c r="C585" s="439"/>
      <c r="D585" s="434"/>
      <c r="E585" s="434"/>
      <c r="F585" s="434"/>
      <c r="G585" s="434"/>
      <c r="H585" s="434"/>
      <c r="I585" s="417"/>
      <c r="J585" s="414"/>
      <c r="K585" s="414"/>
      <c r="L585" s="414"/>
      <c r="M585" s="414"/>
      <c r="N585" s="414"/>
      <c r="O585" s="414"/>
      <c r="P585" s="414"/>
      <c r="Q585" s="414"/>
      <c r="R585" s="414"/>
      <c r="S585" s="414"/>
      <c r="T585" s="414"/>
      <c r="U585" s="414"/>
      <c r="V585" s="414"/>
      <c r="W585" s="414"/>
      <c r="X585" s="414"/>
      <c r="Y585" s="414"/>
      <c r="Z585" s="414"/>
      <c r="AA585" s="414"/>
      <c r="AB585" s="414"/>
      <c r="AC585" s="414"/>
      <c r="AD585" s="414"/>
      <c r="AE585" s="415"/>
    </row>
    <row r="586" spans="3:31">
      <c r="C586" s="440"/>
      <c r="D586" s="435"/>
      <c r="E586" s="435"/>
      <c r="F586" s="435"/>
      <c r="G586" s="435"/>
      <c r="H586" s="435"/>
      <c r="I586" s="412"/>
      <c r="J586" s="412"/>
      <c r="K586" s="412"/>
      <c r="L586" s="412"/>
      <c r="M586" s="412"/>
      <c r="N586" s="412"/>
      <c r="O586" s="412"/>
      <c r="P586" s="412"/>
      <c r="Q586" s="412"/>
      <c r="R586" s="412"/>
      <c r="S586" s="412"/>
      <c r="T586" s="412"/>
      <c r="U586" s="412"/>
      <c r="V586" s="412"/>
      <c r="W586" s="412"/>
      <c r="X586" s="412"/>
      <c r="Y586" s="412"/>
      <c r="Z586" s="412"/>
      <c r="AA586" s="412"/>
      <c r="AB586" s="412"/>
      <c r="AC586" s="412"/>
      <c r="AD586" s="412"/>
      <c r="AE586" s="413"/>
    </row>
    <row r="587" spans="3:31">
      <c r="C587" s="439"/>
      <c r="D587" s="434"/>
      <c r="E587" s="434"/>
      <c r="F587" s="434"/>
      <c r="G587" s="434"/>
      <c r="H587" s="434"/>
      <c r="I587" s="414"/>
      <c r="J587" s="414"/>
      <c r="K587" s="414"/>
      <c r="L587" s="414"/>
      <c r="M587" s="414"/>
      <c r="N587" s="414"/>
      <c r="O587" s="414"/>
      <c r="P587" s="414"/>
      <c r="Q587" s="414"/>
      <c r="R587" s="414"/>
      <c r="S587" s="414"/>
      <c r="T587" s="414"/>
      <c r="U587" s="414"/>
      <c r="V587" s="414"/>
      <c r="W587" s="414"/>
      <c r="X587" s="414"/>
      <c r="Y587" s="414"/>
      <c r="Z587" s="414"/>
      <c r="AA587" s="414"/>
      <c r="AB587" s="414"/>
      <c r="AC587" s="414"/>
      <c r="AD587" s="414"/>
      <c r="AE587" s="415"/>
    </row>
    <row r="588" spans="3:31">
      <c r="C588" s="440"/>
      <c r="D588" s="435"/>
      <c r="E588" s="435"/>
      <c r="F588" s="435"/>
      <c r="G588" s="435"/>
      <c r="H588" s="435"/>
      <c r="I588" s="412"/>
      <c r="J588" s="412"/>
      <c r="K588" s="412"/>
      <c r="L588" s="412"/>
      <c r="M588" s="412"/>
      <c r="N588" s="412"/>
      <c r="O588" s="412"/>
      <c r="P588" s="412"/>
      <c r="Q588" s="412"/>
      <c r="R588" s="412"/>
      <c r="S588" s="412"/>
      <c r="T588" s="412"/>
      <c r="U588" s="412"/>
      <c r="V588" s="412"/>
      <c r="W588" s="412"/>
      <c r="X588" s="412"/>
      <c r="Y588" s="412"/>
      <c r="Z588" s="412"/>
      <c r="AA588" s="412"/>
      <c r="AB588" s="412"/>
      <c r="AC588" s="412"/>
      <c r="AD588" s="412"/>
      <c r="AE588" s="413"/>
    </row>
    <row r="589" spans="3:31">
      <c r="C589" s="439"/>
      <c r="D589" s="434"/>
      <c r="E589" s="434"/>
      <c r="F589" s="434"/>
      <c r="G589" s="434"/>
      <c r="H589" s="434"/>
      <c r="I589" s="414"/>
      <c r="J589" s="414"/>
      <c r="K589" s="414"/>
      <c r="L589" s="414"/>
      <c r="M589" s="414"/>
      <c r="N589" s="414"/>
      <c r="O589" s="414"/>
      <c r="P589" s="414"/>
      <c r="Q589" s="414"/>
      <c r="R589" s="414"/>
      <c r="S589" s="414"/>
      <c r="T589" s="414"/>
      <c r="U589" s="414"/>
      <c r="V589" s="414"/>
      <c r="W589" s="414"/>
      <c r="X589" s="414"/>
      <c r="Y589" s="414"/>
      <c r="Z589" s="414"/>
      <c r="AA589" s="414"/>
      <c r="AB589" s="414"/>
      <c r="AC589" s="414"/>
      <c r="AD589" s="414"/>
      <c r="AE589" s="415"/>
    </row>
    <row r="590" spans="3:31">
      <c r="C590" s="440"/>
      <c r="D590" s="435"/>
      <c r="E590" s="435"/>
      <c r="F590" s="435"/>
      <c r="G590" s="435"/>
      <c r="H590" s="435"/>
      <c r="I590" s="412"/>
      <c r="J590" s="412"/>
      <c r="K590" s="412"/>
      <c r="L590" s="412"/>
      <c r="M590" s="412"/>
      <c r="N590" s="412"/>
      <c r="O590" s="412"/>
      <c r="P590" s="412"/>
      <c r="Q590" s="412"/>
      <c r="R590" s="412"/>
      <c r="S590" s="412"/>
      <c r="T590" s="412"/>
      <c r="U590" s="412"/>
      <c r="V590" s="412"/>
      <c r="W590" s="412"/>
      <c r="X590" s="412"/>
      <c r="Y590" s="412"/>
      <c r="Z590" s="412"/>
      <c r="AA590" s="412"/>
      <c r="AB590" s="412"/>
      <c r="AC590" s="412"/>
      <c r="AD590" s="412"/>
      <c r="AE590" s="413"/>
    </row>
    <row r="591" spans="3:31">
      <c r="C591" s="439"/>
      <c r="D591" s="434"/>
      <c r="E591" s="434"/>
      <c r="F591" s="434"/>
      <c r="G591" s="434"/>
      <c r="H591" s="434"/>
      <c r="I591" s="414"/>
      <c r="J591" s="414"/>
      <c r="K591" s="414"/>
      <c r="L591" s="414"/>
      <c r="M591" s="414"/>
      <c r="N591" s="414"/>
      <c r="O591" s="414"/>
      <c r="P591" s="414"/>
      <c r="Q591" s="414"/>
      <c r="R591" s="414"/>
      <c r="S591" s="414"/>
      <c r="T591" s="414"/>
      <c r="U591" s="414"/>
      <c r="V591" s="414"/>
      <c r="W591" s="414"/>
      <c r="X591" s="414"/>
      <c r="Y591" s="414"/>
      <c r="Z591" s="414"/>
      <c r="AA591" s="414"/>
      <c r="AB591" s="414"/>
      <c r="AC591" s="414"/>
      <c r="AD591" s="414"/>
      <c r="AE591" s="415"/>
    </row>
    <row r="592" spans="3:31">
      <c r="C592" s="440"/>
      <c r="D592" s="435"/>
      <c r="E592" s="435"/>
      <c r="F592" s="435"/>
      <c r="G592" s="435"/>
      <c r="H592" s="435"/>
      <c r="I592" s="412"/>
      <c r="J592" s="412"/>
      <c r="K592" s="412"/>
      <c r="L592" s="412"/>
      <c r="M592" s="412"/>
      <c r="N592" s="412"/>
      <c r="O592" s="412"/>
      <c r="P592" s="412"/>
      <c r="Q592" s="412"/>
      <c r="R592" s="412"/>
      <c r="S592" s="412"/>
      <c r="T592" s="412"/>
      <c r="U592" s="412"/>
      <c r="V592" s="412"/>
      <c r="W592" s="412"/>
      <c r="X592" s="412"/>
      <c r="Y592" s="412"/>
      <c r="Z592" s="412"/>
      <c r="AA592" s="412"/>
      <c r="AB592" s="412"/>
      <c r="AC592" s="412"/>
      <c r="AD592" s="412"/>
      <c r="AE592" s="413"/>
    </row>
    <row r="593" spans="3:31">
      <c r="C593" s="439"/>
      <c r="D593" s="434"/>
      <c r="E593" s="434"/>
      <c r="F593" s="434"/>
      <c r="G593" s="434"/>
      <c r="H593" s="434"/>
      <c r="I593" s="414"/>
      <c r="J593" s="414"/>
      <c r="K593" s="414"/>
      <c r="L593" s="414"/>
      <c r="M593" s="414"/>
      <c r="N593" s="414"/>
      <c r="O593" s="414"/>
      <c r="P593" s="414"/>
      <c r="Q593" s="414"/>
      <c r="R593" s="414"/>
      <c r="S593" s="414"/>
      <c r="T593" s="414"/>
      <c r="U593" s="414"/>
      <c r="V593" s="414"/>
      <c r="W593" s="414"/>
      <c r="X593" s="414"/>
      <c r="Y593" s="414"/>
      <c r="Z593" s="414"/>
      <c r="AA593" s="414"/>
      <c r="AB593" s="414"/>
      <c r="AC593" s="414"/>
      <c r="AD593" s="414"/>
      <c r="AE593" s="415"/>
    </row>
    <row r="594" spans="3:31">
      <c r="C594" s="440"/>
      <c r="D594" s="435"/>
      <c r="E594" s="435"/>
      <c r="F594" s="435"/>
      <c r="G594" s="435"/>
      <c r="H594" s="435"/>
      <c r="I594" s="412"/>
      <c r="J594" s="412"/>
      <c r="K594" s="412"/>
      <c r="L594" s="412"/>
      <c r="M594" s="412"/>
      <c r="N594" s="412"/>
      <c r="O594" s="412"/>
      <c r="P594" s="412"/>
      <c r="Q594" s="412"/>
      <c r="R594" s="412"/>
      <c r="S594" s="412"/>
      <c r="T594" s="412"/>
      <c r="U594" s="412"/>
      <c r="V594" s="412"/>
      <c r="W594" s="412"/>
      <c r="X594" s="412"/>
      <c r="Y594" s="412"/>
      <c r="Z594" s="412"/>
      <c r="AA594" s="412"/>
      <c r="AB594" s="412"/>
      <c r="AC594" s="412"/>
      <c r="AD594" s="412"/>
      <c r="AE594" s="413"/>
    </row>
    <row r="595" spans="3:31">
      <c r="C595" s="439"/>
      <c r="D595" s="434"/>
      <c r="E595" s="434"/>
      <c r="F595" s="434"/>
      <c r="G595" s="434"/>
      <c r="H595" s="434"/>
      <c r="I595" s="414"/>
      <c r="J595" s="414"/>
      <c r="K595" s="414"/>
      <c r="L595" s="414"/>
      <c r="M595" s="414"/>
      <c r="N595" s="414"/>
      <c r="O595" s="414"/>
      <c r="P595" s="414"/>
      <c r="Q595" s="414"/>
      <c r="R595" s="414"/>
      <c r="S595" s="414"/>
      <c r="T595" s="414"/>
      <c r="U595" s="414"/>
      <c r="V595" s="414"/>
      <c r="W595" s="414"/>
      <c r="X595" s="414"/>
      <c r="Y595" s="414"/>
      <c r="Z595" s="414"/>
      <c r="AA595" s="414"/>
      <c r="AB595" s="414"/>
      <c r="AC595" s="414"/>
      <c r="AD595" s="414"/>
      <c r="AE595" s="415"/>
    </row>
    <row r="596" spans="3:31">
      <c r="C596" s="440"/>
      <c r="D596" s="435"/>
      <c r="E596" s="435"/>
      <c r="F596" s="435"/>
      <c r="G596" s="435"/>
      <c r="H596" s="435"/>
      <c r="I596" s="412"/>
      <c r="J596" s="412"/>
      <c r="K596" s="412"/>
      <c r="L596" s="412"/>
      <c r="M596" s="412"/>
      <c r="N596" s="412"/>
      <c r="O596" s="412"/>
      <c r="P596" s="412"/>
      <c r="Q596" s="412"/>
      <c r="R596" s="412"/>
      <c r="S596" s="412"/>
      <c r="T596" s="412"/>
      <c r="U596" s="412"/>
      <c r="V596" s="412"/>
      <c r="W596" s="412"/>
      <c r="X596" s="412"/>
      <c r="Y596" s="412"/>
      <c r="Z596" s="412"/>
      <c r="AA596" s="412"/>
      <c r="AB596" s="412"/>
      <c r="AC596" s="412"/>
      <c r="AD596" s="412"/>
      <c r="AE596" s="413"/>
    </row>
    <row r="597" spans="3:31">
      <c r="C597" s="439"/>
      <c r="D597" s="434"/>
      <c r="E597" s="434"/>
      <c r="F597" s="434"/>
      <c r="G597" s="434"/>
      <c r="H597" s="434"/>
      <c r="I597" s="414"/>
      <c r="J597" s="414"/>
      <c r="K597" s="414"/>
      <c r="L597" s="414"/>
      <c r="M597" s="414"/>
      <c r="N597" s="414"/>
      <c r="O597" s="414"/>
      <c r="P597" s="414"/>
      <c r="Q597" s="414"/>
      <c r="R597" s="414"/>
      <c r="S597" s="414"/>
      <c r="T597" s="414"/>
      <c r="U597" s="414"/>
      <c r="V597" s="414"/>
      <c r="W597" s="414"/>
      <c r="X597" s="414"/>
      <c r="Y597" s="414"/>
      <c r="Z597" s="414"/>
      <c r="AA597" s="414"/>
      <c r="AB597" s="414"/>
      <c r="AC597" s="414"/>
      <c r="AD597" s="414"/>
      <c r="AE597" s="415"/>
    </row>
    <row r="598" spans="3:31">
      <c r="C598" s="440"/>
      <c r="D598" s="435"/>
      <c r="E598" s="435"/>
      <c r="F598" s="435"/>
      <c r="G598" s="435"/>
      <c r="H598" s="435"/>
      <c r="I598" s="412"/>
      <c r="J598" s="412"/>
      <c r="K598" s="412"/>
      <c r="L598" s="412"/>
      <c r="M598" s="412"/>
      <c r="N598" s="412"/>
      <c r="O598" s="412"/>
      <c r="P598" s="412"/>
      <c r="Q598" s="412"/>
      <c r="R598" s="412"/>
      <c r="S598" s="412"/>
      <c r="T598" s="412"/>
      <c r="U598" s="412"/>
      <c r="V598" s="412"/>
      <c r="W598" s="412"/>
      <c r="X598" s="412"/>
      <c r="Y598" s="412"/>
      <c r="Z598" s="412"/>
      <c r="AA598" s="412"/>
      <c r="AB598" s="412"/>
      <c r="AC598" s="412"/>
      <c r="AD598" s="412"/>
      <c r="AE598" s="413"/>
    </row>
    <row r="599" spans="3:31">
      <c r="C599" s="439"/>
      <c r="D599" s="434"/>
      <c r="E599" s="434"/>
      <c r="F599" s="434"/>
      <c r="G599" s="434"/>
      <c r="H599" s="434"/>
      <c r="I599" s="414"/>
      <c r="J599" s="414"/>
      <c r="K599" s="414"/>
      <c r="L599" s="414"/>
      <c r="M599" s="414"/>
      <c r="N599" s="414"/>
      <c r="O599" s="414"/>
      <c r="P599" s="414"/>
      <c r="Q599" s="414"/>
      <c r="R599" s="414"/>
      <c r="S599" s="414"/>
      <c r="T599" s="414"/>
      <c r="U599" s="414"/>
      <c r="V599" s="414"/>
      <c r="W599" s="414"/>
      <c r="X599" s="414"/>
      <c r="Y599" s="414"/>
      <c r="Z599" s="414"/>
      <c r="AA599" s="414"/>
      <c r="AB599" s="414"/>
      <c r="AC599" s="414"/>
      <c r="AD599" s="414"/>
      <c r="AE599" s="415"/>
    </row>
    <row r="600" spans="3:31">
      <c r="C600" s="440"/>
      <c r="D600" s="435"/>
      <c r="E600" s="435"/>
      <c r="F600" s="435"/>
      <c r="G600" s="435"/>
      <c r="H600" s="435"/>
      <c r="I600" s="412"/>
      <c r="J600" s="412"/>
      <c r="K600" s="412"/>
      <c r="L600" s="412"/>
      <c r="M600" s="412"/>
      <c r="N600" s="412"/>
      <c r="O600" s="412"/>
      <c r="P600" s="412"/>
      <c r="Q600" s="412"/>
      <c r="R600" s="412"/>
      <c r="S600" s="412"/>
      <c r="T600" s="412"/>
      <c r="U600" s="412"/>
      <c r="V600" s="412"/>
      <c r="W600" s="412"/>
      <c r="X600" s="412"/>
      <c r="Y600" s="412"/>
      <c r="Z600" s="412"/>
      <c r="AA600" s="412"/>
      <c r="AB600" s="412"/>
      <c r="AC600" s="412"/>
      <c r="AD600" s="412"/>
      <c r="AE600" s="413"/>
    </row>
    <row r="601" spans="3:31">
      <c r="C601" s="439"/>
      <c r="D601" s="434"/>
      <c r="E601" s="434"/>
      <c r="F601" s="434"/>
      <c r="G601" s="434"/>
      <c r="H601" s="436"/>
      <c r="I601" s="417"/>
      <c r="J601" s="414"/>
      <c r="K601" s="414"/>
      <c r="L601" s="414"/>
      <c r="M601" s="414"/>
      <c r="N601" s="414"/>
      <c r="O601" s="414"/>
      <c r="P601" s="414"/>
      <c r="Q601" s="414"/>
      <c r="R601" s="414"/>
      <c r="S601" s="414"/>
      <c r="T601" s="414"/>
      <c r="U601" s="414"/>
      <c r="V601" s="414"/>
      <c r="W601" s="414"/>
      <c r="X601" s="414"/>
      <c r="Y601" s="414"/>
      <c r="Z601" s="414"/>
      <c r="AA601" s="414"/>
      <c r="AB601" s="414"/>
      <c r="AC601" s="414"/>
      <c r="AD601" s="414"/>
      <c r="AE601" s="415"/>
    </row>
    <row r="602" spans="3:31">
      <c r="C602" s="440"/>
      <c r="D602" s="435"/>
      <c r="E602" s="435"/>
      <c r="F602" s="435"/>
      <c r="G602" s="435"/>
      <c r="H602" s="435"/>
      <c r="I602" s="416"/>
      <c r="J602" s="412"/>
      <c r="K602" s="412"/>
      <c r="L602" s="412"/>
      <c r="M602" s="412"/>
      <c r="N602" s="412"/>
      <c r="O602" s="412"/>
      <c r="P602" s="412"/>
      <c r="Q602" s="412"/>
      <c r="R602" s="412"/>
      <c r="S602" s="412"/>
      <c r="T602" s="412"/>
      <c r="U602" s="412"/>
      <c r="V602" s="412"/>
      <c r="W602" s="412"/>
      <c r="X602" s="412"/>
      <c r="Y602" s="412"/>
      <c r="Z602" s="412"/>
      <c r="AA602" s="412"/>
      <c r="AB602" s="412"/>
      <c r="AC602" s="412"/>
      <c r="AD602" s="412"/>
      <c r="AE602" s="413"/>
    </row>
    <row r="603" spans="3:31">
      <c r="C603" s="439"/>
      <c r="D603" s="434"/>
      <c r="E603" s="434"/>
      <c r="F603" s="434"/>
      <c r="G603" s="434"/>
      <c r="H603" s="434"/>
      <c r="I603" s="414"/>
      <c r="J603" s="414"/>
      <c r="K603" s="414"/>
      <c r="L603" s="414"/>
      <c r="M603" s="414"/>
      <c r="N603" s="414"/>
      <c r="O603" s="414"/>
      <c r="P603" s="414"/>
      <c r="Q603" s="414"/>
      <c r="R603" s="414"/>
      <c r="S603" s="414"/>
      <c r="T603" s="414"/>
      <c r="U603" s="414"/>
      <c r="V603" s="414"/>
      <c r="W603" s="414"/>
      <c r="X603" s="414"/>
      <c r="Y603" s="414"/>
      <c r="Z603" s="414"/>
      <c r="AA603" s="414"/>
      <c r="AB603" s="414"/>
      <c r="AC603" s="414"/>
      <c r="AD603" s="414"/>
      <c r="AE603" s="415"/>
    </row>
    <row r="604" spans="3:31">
      <c r="C604" s="440"/>
      <c r="D604" s="435"/>
      <c r="E604" s="435"/>
      <c r="F604" s="435"/>
      <c r="G604" s="435"/>
      <c r="H604" s="435"/>
      <c r="I604" s="416"/>
      <c r="J604" s="412"/>
      <c r="K604" s="412"/>
      <c r="L604" s="412"/>
      <c r="M604" s="412"/>
      <c r="N604" s="412"/>
      <c r="O604" s="412"/>
      <c r="P604" s="412"/>
      <c r="Q604" s="412"/>
      <c r="R604" s="412"/>
      <c r="S604" s="412"/>
      <c r="T604" s="412"/>
      <c r="U604" s="412"/>
      <c r="V604" s="412"/>
      <c r="W604" s="412"/>
      <c r="X604" s="412"/>
      <c r="Y604" s="412"/>
      <c r="Z604" s="412"/>
      <c r="AA604" s="412"/>
      <c r="AB604" s="412"/>
      <c r="AC604" s="412"/>
      <c r="AD604" s="412"/>
      <c r="AE604" s="413"/>
    </row>
    <row r="605" spans="3:31">
      <c r="C605" s="439"/>
      <c r="D605" s="434"/>
      <c r="E605" s="434"/>
      <c r="F605" s="434"/>
      <c r="G605" s="434"/>
      <c r="H605" s="434"/>
      <c r="I605" s="414"/>
      <c r="J605" s="414"/>
      <c r="K605" s="414"/>
      <c r="L605" s="414"/>
      <c r="M605" s="414"/>
      <c r="N605" s="414"/>
      <c r="O605" s="414"/>
      <c r="P605" s="414"/>
      <c r="Q605" s="414"/>
      <c r="R605" s="414"/>
      <c r="S605" s="414"/>
      <c r="T605" s="414"/>
      <c r="U605" s="414"/>
      <c r="V605" s="414"/>
      <c r="W605" s="414"/>
      <c r="X605" s="414"/>
      <c r="Y605" s="414"/>
      <c r="Z605" s="414"/>
      <c r="AA605" s="414"/>
      <c r="AB605" s="414"/>
      <c r="AC605" s="414"/>
      <c r="AD605" s="414"/>
      <c r="AE605" s="415"/>
    </row>
    <row r="606" spans="3:31">
      <c r="C606" s="440"/>
      <c r="D606" s="435"/>
      <c r="E606" s="435"/>
      <c r="F606" s="435"/>
      <c r="G606" s="435"/>
      <c r="H606" s="435"/>
      <c r="I606" s="412"/>
      <c r="J606" s="412"/>
      <c r="K606" s="412"/>
      <c r="L606" s="412"/>
      <c r="M606" s="412"/>
      <c r="N606" s="412"/>
      <c r="O606" s="412"/>
      <c r="P606" s="412"/>
      <c r="Q606" s="412"/>
      <c r="R606" s="412"/>
      <c r="S606" s="412"/>
      <c r="T606" s="412"/>
      <c r="U606" s="412"/>
      <c r="V606" s="412"/>
      <c r="W606" s="412"/>
      <c r="X606" s="412"/>
      <c r="Y606" s="412"/>
      <c r="Z606" s="412"/>
      <c r="AA606" s="412"/>
      <c r="AB606" s="412"/>
      <c r="AC606" s="412"/>
      <c r="AD606" s="412"/>
      <c r="AE606" s="413"/>
    </row>
    <row r="607" spans="3:31">
      <c r="C607" s="439"/>
      <c r="D607" s="434"/>
      <c r="E607" s="434"/>
      <c r="F607" s="434"/>
      <c r="G607" s="434"/>
      <c r="H607" s="434"/>
      <c r="I607" s="414"/>
      <c r="J607" s="414"/>
      <c r="K607" s="414"/>
      <c r="L607" s="414"/>
      <c r="M607" s="414"/>
      <c r="N607" s="414"/>
      <c r="O607" s="414"/>
      <c r="P607" s="414"/>
      <c r="Q607" s="414"/>
      <c r="R607" s="414"/>
      <c r="S607" s="414"/>
      <c r="T607" s="414"/>
      <c r="U607" s="414"/>
      <c r="V607" s="414"/>
      <c r="W607" s="414"/>
      <c r="X607" s="414"/>
      <c r="Y607" s="414"/>
      <c r="Z607" s="414"/>
      <c r="AA607" s="414"/>
      <c r="AB607" s="414"/>
      <c r="AC607" s="414"/>
      <c r="AD607" s="414"/>
      <c r="AE607" s="415"/>
    </row>
    <row r="608" spans="3:31">
      <c r="C608" s="440"/>
      <c r="D608" s="435"/>
      <c r="E608" s="435"/>
      <c r="F608" s="435"/>
      <c r="G608" s="435"/>
      <c r="H608" s="435"/>
      <c r="I608" s="412"/>
      <c r="J608" s="412"/>
      <c r="K608" s="412"/>
      <c r="L608" s="412"/>
      <c r="M608" s="412"/>
      <c r="N608" s="412"/>
      <c r="O608" s="412"/>
      <c r="P608" s="412"/>
      <c r="Q608" s="412"/>
      <c r="R608" s="412"/>
      <c r="S608" s="412"/>
      <c r="T608" s="412"/>
      <c r="U608" s="412"/>
      <c r="V608" s="412"/>
      <c r="W608" s="412"/>
      <c r="X608" s="412"/>
      <c r="Y608" s="412"/>
      <c r="Z608" s="412"/>
      <c r="AA608" s="412"/>
      <c r="AB608" s="412"/>
      <c r="AC608" s="412"/>
      <c r="AD608" s="412"/>
      <c r="AE608" s="413"/>
    </row>
    <row r="609" spans="3:31">
      <c r="C609" s="439"/>
      <c r="D609" s="434"/>
      <c r="E609" s="434"/>
      <c r="F609" s="434"/>
      <c r="G609" s="434"/>
      <c r="H609" s="434"/>
      <c r="I609" s="414"/>
      <c r="J609" s="414"/>
      <c r="K609" s="414"/>
      <c r="L609" s="414"/>
      <c r="M609" s="414"/>
      <c r="N609" s="414"/>
      <c r="O609" s="414"/>
      <c r="P609" s="414"/>
      <c r="Q609" s="414"/>
      <c r="R609" s="414"/>
      <c r="S609" s="414"/>
      <c r="T609" s="414"/>
      <c r="U609" s="414"/>
      <c r="V609" s="414"/>
      <c r="W609" s="414"/>
      <c r="X609" s="414"/>
      <c r="Y609" s="414"/>
      <c r="Z609" s="414"/>
      <c r="AA609" s="414"/>
      <c r="AB609" s="414"/>
      <c r="AC609" s="414"/>
      <c r="AD609" s="414"/>
      <c r="AE609" s="415"/>
    </row>
    <row r="610" spans="3:31">
      <c r="C610" s="440"/>
      <c r="D610" s="435"/>
      <c r="E610" s="435"/>
      <c r="F610" s="435"/>
      <c r="G610" s="435"/>
      <c r="H610" s="435"/>
      <c r="I610" s="412"/>
      <c r="J610" s="412"/>
      <c r="K610" s="412"/>
      <c r="L610" s="412"/>
      <c r="M610" s="412"/>
      <c r="N610" s="412"/>
      <c r="O610" s="412"/>
      <c r="P610" s="412"/>
      <c r="Q610" s="412"/>
      <c r="R610" s="412"/>
      <c r="S610" s="412"/>
      <c r="T610" s="412"/>
      <c r="U610" s="412"/>
      <c r="V610" s="412"/>
      <c r="W610" s="412"/>
      <c r="X610" s="412"/>
      <c r="Y610" s="412"/>
      <c r="Z610" s="412"/>
      <c r="AA610" s="412"/>
      <c r="AB610" s="412"/>
      <c r="AC610" s="412"/>
      <c r="AD610" s="412"/>
      <c r="AE610" s="413"/>
    </row>
    <row r="611" spans="3:31">
      <c r="C611" s="439"/>
      <c r="D611" s="434"/>
      <c r="E611" s="434"/>
      <c r="F611" s="434"/>
      <c r="G611" s="434"/>
      <c r="H611" s="434"/>
      <c r="I611" s="414"/>
      <c r="J611" s="414"/>
      <c r="K611" s="414"/>
      <c r="L611" s="414"/>
      <c r="M611" s="414"/>
      <c r="N611" s="414"/>
      <c r="O611" s="414"/>
      <c r="P611" s="414"/>
      <c r="Q611" s="414"/>
      <c r="R611" s="414"/>
      <c r="S611" s="414"/>
      <c r="T611" s="414"/>
      <c r="U611" s="414"/>
      <c r="V611" s="414"/>
      <c r="W611" s="414"/>
      <c r="X611" s="414"/>
      <c r="Y611" s="414"/>
      <c r="Z611" s="414"/>
      <c r="AA611" s="414"/>
      <c r="AB611" s="414"/>
      <c r="AC611" s="414"/>
      <c r="AD611" s="414"/>
      <c r="AE611" s="415"/>
    </row>
    <row r="612" spans="3:31">
      <c r="C612" s="440"/>
      <c r="D612" s="435"/>
      <c r="E612" s="435"/>
      <c r="F612" s="435"/>
      <c r="G612" s="435"/>
      <c r="H612" s="435"/>
      <c r="I612" s="412"/>
      <c r="J612" s="412"/>
      <c r="K612" s="412"/>
      <c r="L612" s="412"/>
      <c r="M612" s="412"/>
      <c r="N612" s="412"/>
      <c r="O612" s="412"/>
      <c r="P612" s="412"/>
      <c r="Q612" s="412"/>
      <c r="R612" s="412"/>
      <c r="S612" s="412"/>
      <c r="T612" s="412"/>
      <c r="U612" s="412"/>
      <c r="V612" s="412"/>
      <c r="W612" s="412"/>
      <c r="X612" s="412"/>
      <c r="Y612" s="412"/>
      <c r="Z612" s="412"/>
      <c r="AA612" s="412"/>
      <c r="AB612" s="412"/>
      <c r="AC612" s="412"/>
      <c r="AD612" s="412"/>
      <c r="AE612" s="413"/>
    </row>
    <row r="613" spans="3:31">
      <c r="C613" s="439"/>
      <c r="D613" s="434"/>
      <c r="E613" s="434"/>
      <c r="F613" s="434"/>
      <c r="G613" s="434"/>
      <c r="H613" s="434"/>
      <c r="I613" s="414"/>
      <c r="J613" s="414"/>
      <c r="K613" s="414"/>
      <c r="L613" s="414"/>
      <c r="M613" s="414"/>
      <c r="N613" s="414"/>
      <c r="O613" s="414"/>
      <c r="P613" s="414"/>
      <c r="Q613" s="414"/>
      <c r="R613" s="414"/>
      <c r="S613" s="414"/>
      <c r="T613" s="414"/>
      <c r="U613" s="414"/>
      <c r="V613" s="414"/>
      <c r="W613" s="414"/>
      <c r="X613" s="414"/>
      <c r="Y613" s="414"/>
      <c r="Z613" s="414"/>
      <c r="AA613" s="414"/>
      <c r="AB613" s="414"/>
      <c r="AC613" s="414"/>
      <c r="AD613" s="414"/>
      <c r="AE613" s="415"/>
    </row>
    <row r="614" spans="3:31">
      <c r="C614" s="440"/>
      <c r="D614" s="435"/>
      <c r="E614" s="435"/>
      <c r="F614" s="435"/>
      <c r="G614" s="435"/>
      <c r="H614" s="435"/>
      <c r="I614" s="412"/>
      <c r="J614" s="412"/>
      <c r="K614" s="412"/>
      <c r="L614" s="412"/>
      <c r="M614" s="412"/>
      <c r="N614" s="412"/>
      <c r="O614" s="412"/>
      <c r="P614" s="412"/>
      <c r="Q614" s="412"/>
      <c r="R614" s="412"/>
      <c r="S614" s="412"/>
      <c r="T614" s="412"/>
      <c r="U614" s="412"/>
      <c r="V614" s="412"/>
      <c r="W614" s="412"/>
      <c r="X614" s="412"/>
      <c r="Y614" s="412"/>
      <c r="Z614" s="412"/>
      <c r="AA614" s="412"/>
      <c r="AB614" s="412"/>
      <c r="AC614" s="412"/>
      <c r="AD614" s="412"/>
      <c r="AE614" s="413"/>
    </row>
    <row r="615" spans="3:31">
      <c r="C615" s="439"/>
      <c r="D615" s="434"/>
      <c r="E615" s="434"/>
      <c r="F615" s="434"/>
      <c r="G615" s="434"/>
      <c r="H615" s="434"/>
      <c r="I615" s="414"/>
      <c r="J615" s="414"/>
      <c r="K615" s="414"/>
      <c r="L615" s="414"/>
      <c r="M615" s="414"/>
      <c r="N615" s="414"/>
      <c r="O615" s="414"/>
      <c r="P615" s="414"/>
      <c r="Q615" s="414"/>
      <c r="R615" s="414"/>
      <c r="S615" s="414"/>
      <c r="T615" s="414"/>
      <c r="U615" s="414"/>
      <c r="V615" s="414"/>
      <c r="W615" s="414"/>
      <c r="X615" s="414"/>
      <c r="Y615" s="414"/>
      <c r="Z615" s="414"/>
      <c r="AA615" s="414"/>
      <c r="AB615" s="414"/>
      <c r="AC615" s="414"/>
      <c r="AD615" s="414"/>
      <c r="AE615" s="415"/>
    </row>
    <row r="616" spans="3:31">
      <c r="C616" s="440"/>
      <c r="D616" s="435"/>
      <c r="E616" s="435"/>
      <c r="F616" s="435"/>
      <c r="G616" s="435"/>
      <c r="H616" s="435"/>
      <c r="I616" s="412"/>
      <c r="J616" s="412"/>
      <c r="K616" s="412"/>
      <c r="L616" s="412"/>
      <c r="M616" s="412"/>
      <c r="N616" s="412"/>
      <c r="O616" s="412"/>
      <c r="P616" s="412"/>
      <c r="Q616" s="412"/>
      <c r="R616" s="412"/>
      <c r="S616" s="412"/>
      <c r="T616" s="412"/>
      <c r="U616" s="412"/>
      <c r="V616" s="412"/>
      <c r="W616" s="412"/>
      <c r="X616" s="412"/>
      <c r="Y616" s="412"/>
      <c r="Z616" s="412"/>
      <c r="AA616" s="412"/>
      <c r="AB616" s="412"/>
      <c r="AC616" s="412"/>
      <c r="AD616" s="412"/>
      <c r="AE616" s="413"/>
    </row>
    <row r="617" spans="3:31">
      <c r="C617" s="439"/>
      <c r="D617" s="434"/>
      <c r="E617" s="434"/>
      <c r="F617" s="434"/>
      <c r="G617" s="434"/>
      <c r="H617" s="434"/>
      <c r="I617" s="414"/>
      <c r="J617" s="414"/>
      <c r="K617" s="414"/>
      <c r="L617" s="414"/>
      <c r="M617" s="414"/>
      <c r="N617" s="414"/>
      <c r="O617" s="414"/>
      <c r="P617" s="414"/>
      <c r="Q617" s="414"/>
      <c r="R617" s="414"/>
      <c r="S617" s="414"/>
      <c r="T617" s="414"/>
      <c r="U617" s="414"/>
      <c r="V617" s="414"/>
      <c r="W617" s="414"/>
      <c r="X617" s="414"/>
      <c r="Y617" s="414"/>
      <c r="Z617" s="414"/>
      <c r="AA617" s="414"/>
      <c r="AB617" s="414"/>
      <c r="AC617" s="414"/>
      <c r="AD617" s="414"/>
      <c r="AE617" s="415"/>
    </row>
    <row r="618" spans="3:31">
      <c r="C618" s="440"/>
      <c r="D618" s="435"/>
      <c r="E618" s="435"/>
      <c r="F618" s="435"/>
      <c r="G618" s="435"/>
      <c r="H618" s="435"/>
      <c r="I618" s="412"/>
      <c r="J618" s="412"/>
      <c r="K618" s="412"/>
      <c r="L618" s="412"/>
      <c r="M618" s="412"/>
      <c r="N618" s="412"/>
      <c r="O618" s="412"/>
      <c r="P618" s="412"/>
      <c r="Q618" s="412"/>
      <c r="R618" s="412"/>
      <c r="S618" s="412"/>
      <c r="T618" s="412"/>
      <c r="U618" s="412"/>
      <c r="V618" s="412"/>
      <c r="W618" s="412"/>
      <c r="X618" s="412"/>
      <c r="Y618" s="412"/>
      <c r="Z618" s="412"/>
      <c r="AA618" s="412"/>
      <c r="AB618" s="412"/>
      <c r="AC618" s="412"/>
      <c r="AD618" s="412"/>
      <c r="AE618" s="413"/>
    </row>
    <row r="619" spans="3:31">
      <c r="C619" s="439"/>
      <c r="D619" s="434"/>
      <c r="E619" s="434"/>
      <c r="F619" s="434"/>
      <c r="G619" s="434"/>
      <c r="H619" s="434"/>
      <c r="I619" s="414"/>
      <c r="J619" s="414"/>
      <c r="K619" s="414"/>
      <c r="L619" s="414"/>
      <c r="M619" s="414"/>
      <c r="N619" s="414"/>
      <c r="O619" s="414"/>
      <c r="P619" s="414"/>
      <c r="Q619" s="414"/>
      <c r="R619" s="414"/>
      <c r="S619" s="414"/>
      <c r="T619" s="414"/>
      <c r="U619" s="414"/>
      <c r="V619" s="414"/>
      <c r="W619" s="414"/>
      <c r="X619" s="414"/>
      <c r="Y619" s="414"/>
      <c r="Z619" s="414"/>
      <c r="AA619" s="414"/>
      <c r="AB619" s="414"/>
      <c r="AC619" s="414"/>
      <c r="AD619" s="414"/>
      <c r="AE619" s="415"/>
    </row>
    <row r="620" spans="3:31">
      <c r="C620" s="440"/>
      <c r="D620" s="435"/>
      <c r="E620" s="435"/>
      <c r="F620" s="435"/>
      <c r="G620" s="435"/>
      <c r="H620" s="435"/>
      <c r="I620" s="412"/>
      <c r="J620" s="412"/>
      <c r="K620" s="412"/>
      <c r="L620" s="412"/>
      <c r="M620" s="412"/>
      <c r="N620" s="412"/>
      <c r="O620" s="412"/>
      <c r="P620" s="412"/>
      <c r="Q620" s="412"/>
      <c r="R620" s="412"/>
      <c r="S620" s="412"/>
      <c r="T620" s="412"/>
      <c r="U620" s="412"/>
      <c r="V620" s="412"/>
      <c r="W620" s="412"/>
      <c r="X620" s="412"/>
      <c r="Y620" s="412"/>
      <c r="Z620" s="412"/>
      <c r="AA620" s="412"/>
      <c r="AB620" s="412"/>
      <c r="AC620" s="412"/>
      <c r="AD620" s="412"/>
      <c r="AE620" s="413"/>
    </row>
    <row r="621" spans="3:31">
      <c r="C621" s="439"/>
      <c r="D621" s="434"/>
      <c r="E621" s="434"/>
      <c r="F621" s="434"/>
      <c r="G621" s="434"/>
      <c r="H621" s="434"/>
      <c r="I621" s="414"/>
      <c r="J621" s="414"/>
      <c r="K621" s="414"/>
      <c r="L621" s="414"/>
      <c r="M621" s="414"/>
      <c r="N621" s="414"/>
      <c r="O621" s="414"/>
      <c r="P621" s="414"/>
      <c r="Q621" s="414"/>
      <c r="R621" s="414"/>
      <c r="S621" s="414"/>
      <c r="T621" s="414"/>
      <c r="U621" s="414"/>
      <c r="V621" s="414"/>
      <c r="W621" s="414"/>
      <c r="X621" s="414"/>
      <c r="Y621" s="414"/>
      <c r="Z621" s="414"/>
      <c r="AA621" s="414"/>
      <c r="AB621" s="414"/>
      <c r="AC621" s="414"/>
      <c r="AD621" s="414"/>
      <c r="AE621" s="415"/>
    </row>
    <row r="622" spans="3:31">
      <c r="C622" s="440"/>
      <c r="D622" s="435"/>
      <c r="E622" s="435"/>
      <c r="F622" s="435"/>
      <c r="G622" s="435"/>
      <c r="H622" s="435"/>
      <c r="I622" s="412"/>
      <c r="J622" s="412"/>
      <c r="K622" s="412"/>
      <c r="L622" s="412"/>
      <c r="M622" s="412"/>
      <c r="N622" s="412"/>
      <c r="O622" s="412"/>
      <c r="P622" s="412"/>
      <c r="Q622" s="412"/>
      <c r="R622" s="412"/>
      <c r="S622" s="412"/>
      <c r="T622" s="412"/>
      <c r="U622" s="412"/>
      <c r="V622" s="412"/>
      <c r="W622" s="412"/>
      <c r="X622" s="412"/>
      <c r="Y622" s="412"/>
      <c r="Z622" s="412"/>
      <c r="AA622" s="412"/>
      <c r="AB622" s="412"/>
      <c r="AC622" s="412"/>
      <c r="AD622" s="412"/>
      <c r="AE622" s="413"/>
    </row>
    <row r="623" spans="3:31">
      <c r="C623" s="439"/>
      <c r="D623" s="434"/>
      <c r="E623" s="434"/>
      <c r="F623" s="434"/>
      <c r="G623" s="434"/>
      <c r="H623" s="434"/>
      <c r="I623" s="414"/>
      <c r="J623" s="414"/>
      <c r="K623" s="414"/>
      <c r="L623" s="414"/>
      <c r="M623" s="414"/>
      <c r="N623" s="414"/>
      <c r="O623" s="414"/>
      <c r="P623" s="414"/>
      <c r="Q623" s="414"/>
      <c r="R623" s="414"/>
      <c r="S623" s="414"/>
      <c r="T623" s="414"/>
      <c r="U623" s="414"/>
      <c r="V623" s="414"/>
      <c r="W623" s="414"/>
      <c r="X623" s="414"/>
      <c r="Y623" s="414"/>
      <c r="Z623" s="414"/>
      <c r="AA623" s="414"/>
      <c r="AB623" s="414"/>
      <c r="AC623" s="414"/>
      <c r="AD623" s="414"/>
      <c r="AE623" s="415"/>
    </row>
    <row r="624" spans="3:31">
      <c r="C624" s="440"/>
      <c r="D624" s="435"/>
      <c r="E624" s="435"/>
      <c r="F624" s="435"/>
      <c r="G624" s="435"/>
      <c r="H624" s="435"/>
      <c r="I624" s="412"/>
      <c r="J624" s="412"/>
      <c r="K624" s="412"/>
      <c r="L624" s="412"/>
      <c r="M624" s="412"/>
      <c r="N624" s="412"/>
      <c r="O624" s="412"/>
      <c r="P624" s="412"/>
      <c r="Q624" s="412"/>
      <c r="R624" s="412"/>
      <c r="S624" s="412"/>
      <c r="T624" s="412"/>
      <c r="U624" s="412"/>
      <c r="V624" s="412"/>
      <c r="W624" s="412"/>
      <c r="X624" s="412"/>
      <c r="Y624" s="412"/>
      <c r="Z624" s="412"/>
      <c r="AA624" s="412"/>
      <c r="AB624" s="412"/>
      <c r="AC624" s="412"/>
      <c r="AD624" s="412"/>
      <c r="AE624" s="413"/>
    </row>
    <row r="625" spans="3:31">
      <c r="C625" s="439"/>
      <c r="D625" s="434"/>
      <c r="E625" s="434"/>
      <c r="F625" s="434"/>
      <c r="G625" s="434"/>
      <c r="H625" s="434"/>
      <c r="I625" s="414"/>
      <c r="J625" s="414"/>
      <c r="K625" s="414"/>
      <c r="L625" s="414"/>
      <c r="M625" s="414"/>
      <c r="N625" s="414"/>
      <c r="O625" s="414"/>
      <c r="P625" s="414"/>
      <c r="Q625" s="414"/>
      <c r="R625" s="414"/>
      <c r="S625" s="414"/>
      <c r="T625" s="414"/>
      <c r="U625" s="414"/>
      <c r="V625" s="414"/>
      <c r="W625" s="414"/>
      <c r="X625" s="414"/>
      <c r="Y625" s="414"/>
      <c r="Z625" s="414"/>
      <c r="AA625" s="414"/>
      <c r="AB625" s="414"/>
      <c r="AC625" s="414"/>
      <c r="AD625" s="414"/>
      <c r="AE625" s="415"/>
    </row>
    <row r="626" spans="3:31">
      <c r="C626" s="440"/>
      <c r="D626" s="435"/>
      <c r="E626" s="435"/>
      <c r="F626" s="435"/>
      <c r="G626" s="435"/>
      <c r="H626" s="435"/>
      <c r="I626" s="412"/>
      <c r="J626" s="412"/>
      <c r="K626" s="412"/>
      <c r="L626" s="412"/>
      <c r="M626" s="412"/>
      <c r="N626" s="412"/>
      <c r="O626" s="412"/>
      <c r="P626" s="412"/>
      <c r="Q626" s="412"/>
      <c r="R626" s="412"/>
      <c r="S626" s="412"/>
      <c r="T626" s="412"/>
      <c r="U626" s="412"/>
      <c r="V626" s="412"/>
      <c r="W626" s="412"/>
      <c r="X626" s="412"/>
      <c r="Y626" s="412"/>
      <c r="Z626" s="412"/>
      <c r="AA626" s="412"/>
      <c r="AB626" s="412"/>
      <c r="AC626" s="412"/>
      <c r="AD626" s="412"/>
      <c r="AE626" s="413"/>
    </row>
    <row r="627" spans="3:31">
      <c r="C627" s="439"/>
      <c r="D627" s="434"/>
      <c r="E627" s="434"/>
      <c r="F627" s="434"/>
      <c r="G627" s="434"/>
      <c r="H627" s="434"/>
      <c r="I627" s="414"/>
      <c r="J627" s="414"/>
      <c r="K627" s="414"/>
      <c r="L627" s="414"/>
      <c r="M627" s="414"/>
      <c r="N627" s="414"/>
      <c r="O627" s="414"/>
      <c r="P627" s="414"/>
      <c r="Q627" s="414"/>
      <c r="R627" s="414"/>
      <c r="S627" s="414"/>
      <c r="T627" s="414"/>
      <c r="U627" s="414"/>
      <c r="V627" s="414"/>
      <c r="W627" s="414"/>
      <c r="X627" s="414"/>
      <c r="Y627" s="414"/>
      <c r="Z627" s="414"/>
      <c r="AA627" s="414"/>
      <c r="AB627" s="414"/>
      <c r="AC627" s="414"/>
      <c r="AD627" s="414"/>
      <c r="AE627" s="415"/>
    </row>
    <row r="628" spans="3:31">
      <c r="C628" s="440"/>
      <c r="D628" s="435"/>
      <c r="E628" s="435"/>
      <c r="F628" s="435"/>
      <c r="G628" s="435"/>
      <c r="H628" s="435"/>
      <c r="I628" s="412"/>
      <c r="J628" s="412"/>
      <c r="K628" s="412"/>
      <c r="L628" s="412"/>
      <c r="M628" s="412"/>
      <c r="N628" s="412"/>
      <c r="O628" s="412"/>
      <c r="P628" s="412"/>
      <c r="Q628" s="412"/>
      <c r="R628" s="412"/>
      <c r="S628" s="412"/>
      <c r="T628" s="412"/>
      <c r="U628" s="412"/>
      <c r="V628" s="412"/>
      <c r="W628" s="412"/>
      <c r="X628" s="412"/>
      <c r="Y628" s="412"/>
      <c r="Z628" s="412"/>
      <c r="AA628" s="412"/>
      <c r="AB628" s="412"/>
      <c r="AC628" s="412"/>
      <c r="AD628" s="412"/>
      <c r="AE628" s="413"/>
    </row>
    <row r="629" spans="3:31">
      <c r="C629" s="439"/>
      <c r="D629" s="434"/>
      <c r="E629" s="434"/>
      <c r="F629" s="434"/>
      <c r="G629" s="434"/>
      <c r="H629" s="434"/>
      <c r="I629" s="414"/>
      <c r="J629" s="414"/>
      <c r="K629" s="414"/>
      <c r="L629" s="414"/>
      <c r="M629" s="414"/>
      <c r="N629" s="414"/>
      <c r="O629" s="414"/>
      <c r="P629" s="414"/>
      <c r="Q629" s="414"/>
      <c r="R629" s="414"/>
      <c r="S629" s="414"/>
      <c r="T629" s="414"/>
      <c r="U629" s="414"/>
      <c r="V629" s="414"/>
      <c r="W629" s="414"/>
      <c r="X629" s="414"/>
      <c r="Y629" s="414"/>
      <c r="Z629" s="414"/>
      <c r="AA629" s="414"/>
      <c r="AB629" s="414"/>
      <c r="AC629" s="414"/>
      <c r="AD629" s="414"/>
      <c r="AE629" s="415"/>
    </row>
    <row r="630" spans="3:31">
      <c r="C630" s="440"/>
      <c r="D630" s="435"/>
      <c r="E630" s="435"/>
      <c r="F630" s="435"/>
      <c r="G630" s="435"/>
      <c r="H630" s="435"/>
      <c r="I630" s="412"/>
      <c r="J630" s="412"/>
      <c r="K630" s="412"/>
      <c r="L630" s="412"/>
      <c r="M630" s="412"/>
      <c r="N630" s="412"/>
      <c r="O630" s="412"/>
      <c r="P630" s="412"/>
      <c r="Q630" s="412"/>
      <c r="R630" s="412"/>
      <c r="S630" s="412"/>
      <c r="T630" s="412"/>
      <c r="U630" s="412"/>
      <c r="V630" s="412"/>
      <c r="W630" s="412"/>
      <c r="X630" s="412"/>
      <c r="Y630" s="412"/>
      <c r="Z630" s="412"/>
      <c r="AA630" s="412"/>
      <c r="AB630" s="412"/>
      <c r="AC630" s="412"/>
      <c r="AD630" s="412"/>
      <c r="AE630" s="413"/>
    </row>
    <row r="631" spans="3:31">
      <c r="C631" s="439"/>
      <c r="D631" s="434"/>
      <c r="E631" s="434"/>
      <c r="F631" s="434"/>
      <c r="G631" s="434"/>
      <c r="H631" s="434"/>
      <c r="I631" s="414"/>
      <c r="J631" s="414"/>
      <c r="K631" s="414"/>
      <c r="L631" s="414"/>
      <c r="M631" s="414"/>
      <c r="N631" s="414"/>
      <c r="O631" s="414"/>
      <c r="P631" s="414"/>
      <c r="Q631" s="414"/>
      <c r="R631" s="414"/>
      <c r="S631" s="414"/>
      <c r="T631" s="414"/>
      <c r="U631" s="414"/>
      <c r="V631" s="414"/>
      <c r="W631" s="414"/>
      <c r="X631" s="414"/>
      <c r="Y631" s="414"/>
      <c r="Z631" s="414"/>
      <c r="AA631" s="414"/>
      <c r="AB631" s="414"/>
      <c r="AC631" s="414"/>
      <c r="AD631" s="414"/>
      <c r="AE631" s="415"/>
    </row>
    <row r="632" spans="3:31">
      <c r="C632" s="440"/>
      <c r="D632" s="435"/>
      <c r="E632" s="435"/>
      <c r="F632" s="435"/>
      <c r="G632" s="435"/>
      <c r="H632" s="435"/>
      <c r="I632" s="412"/>
      <c r="J632" s="412"/>
      <c r="K632" s="412"/>
      <c r="L632" s="412"/>
      <c r="M632" s="412"/>
      <c r="N632" s="412"/>
      <c r="O632" s="412"/>
      <c r="P632" s="412"/>
      <c r="Q632" s="412"/>
      <c r="R632" s="412"/>
      <c r="S632" s="412"/>
      <c r="T632" s="412"/>
      <c r="U632" s="412"/>
      <c r="V632" s="412"/>
      <c r="W632" s="412"/>
      <c r="X632" s="412"/>
      <c r="Y632" s="412"/>
      <c r="Z632" s="412"/>
      <c r="AA632" s="412"/>
      <c r="AB632" s="412"/>
      <c r="AC632" s="412"/>
      <c r="AD632" s="412"/>
      <c r="AE632" s="413"/>
    </row>
    <row r="633" spans="3:31">
      <c r="C633" s="439"/>
      <c r="D633" s="434"/>
      <c r="E633" s="434"/>
      <c r="F633" s="434"/>
      <c r="G633" s="434"/>
      <c r="H633" s="434"/>
      <c r="I633" s="414"/>
      <c r="J633" s="417"/>
      <c r="K633" s="414"/>
      <c r="L633" s="414"/>
      <c r="M633" s="414"/>
      <c r="N633" s="414"/>
      <c r="O633" s="414"/>
      <c r="P633" s="414"/>
      <c r="Q633" s="414"/>
      <c r="R633" s="414"/>
      <c r="S633" s="414"/>
      <c r="T633" s="414"/>
      <c r="U633" s="414"/>
      <c r="V633" s="414"/>
      <c r="W633" s="414"/>
      <c r="X633" s="414"/>
      <c r="Y633" s="414"/>
      <c r="Z633" s="414"/>
      <c r="AA633" s="414"/>
      <c r="AB633" s="414"/>
      <c r="AC633" s="414"/>
      <c r="AD633" s="414"/>
      <c r="AE633" s="415"/>
    </row>
    <row r="634" spans="3:31">
      <c r="C634" s="440"/>
      <c r="D634" s="435"/>
      <c r="E634" s="435"/>
      <c r="F634" s="435"/>
      <c r="G634" s="435"/>
      <c r="H634" s="435"/>
      <c r="I634" s="412"/>
      <c r="J634" s="412"/>
      <c r="K634" s="412"/>
      <c r="L634" s="412"/>
      <c r="M634" s="412"/>
      <c r="N634" s="412"/>
      <c r="O634" s="412"/>
      <c r="P634" s="412"/>
      <c r="Q634" s="412"/>
      <c r="R634" s="412"/>
      <c r="S634" s="412"/>
      <c r="T634" s="412"/>
      <c r="U634" s="412"/>
      <c r="V634" s="412"/>
      <c r="W634" s="412"/>
      <c r="X634" s="412"/>
      <c r="Y634" s="412"/>
      <c r="Z634" s="412"/>
      <c r="AA634" s="412"/>
      <c r="AB634" s="412"/>
      <c r="AC634" s="412"/>
      <c r="AD634" s="412"/>
      <c r="AE634" s="413"/>
    </row>
    <row r="635" spans="3:31">
      <c r="C635" s="439"/>
      <c r="D635" s="434"/>
      <c r="E635" s="434"/>
      <c r="F635" s="434"/>
      <c r="G635" s="434"/>
      <c r="H635" s="434"/>
      <c r="I635" s="414"/>
      <c r="J635" s="417"/>
      <c r="K635" s="414"/>
      <c r="L635" s="414"/>
      <c r="M635" s="414"/>
      <c r="N635" s="414"/>
      <c r="O635" s="414"/>
      <c r="P635" s="414"/>
      <c r="Q635" s="414"/>
      <c r="R635" s="414"/>
      <c r="S635" s="414"/>
      <c r="T635" s="414"/>
      <c r="U635" s="414"/>
      <c r="V635" s="414"/>
      <c r="W635" s="414"/>
      <c r="X635" s="414"/>
      <c r="Y635" s="414"/>
      <c r="Z635" s="414"/>
      <c r="AA635" s="414"/>
      <c r="AB635" s="414"/>
      <c r="AC635" s="414"/>
      <c r="AD635" s="414"/>
      <c r="AE635" s="415"/>
    </row>
    <row r="636" spans="3:31">
      <c r="C636" s="440"/>
      <c r="D636" s="435"/>
      <c r="E636" s="435"/>
      <c r="F636" s="435"/>
      <c r="G636" s="435"/>
      <c r="H636" s="435"/>
      <c r="I636" s="412"/>
      <c r="J636" s="412"/>
      <c r="K636" s="412"/>
      <c r="L636" s="412"/>
      <c r="M636" s="412"/>
      <c r="N636" s="412"/>
      <c r="O636" s="412"/>
      <c r="P636" s="412"/>
      <c r="Q636" s="412"/>
      <c r="R636" s="412"/>
      <c r="S636" s="412"/>
      <c r="T636" s="412"/>
      <c r="U636" s="412"/>
      <c r="V636" s="412"/>
      <c r="W636" s="412"/>
      <c r="X636" s="412"/>
      <c r="Y636" s="412"/>
      <c r="Z636" s="412"/>
      <c r="AA636" s="412"/>
      <c r="AB636" s="412"/>
      <c r="AC636" s="412"/>
      <c r="AD636" s="412"/>
      <c r="AE636" s="413"/>
    </row>
    <row r="637" spans="3:31" ht="18" thickBot="1">
      <c r="C637" s="441"/>
      <c r="D637" s="437"/>
      <c r="E637" s="437"/>
      <c r="F637" s="437"/>
      <c r="G637" s="437"/>
      <c r="H637" s="437"/>
      <c r="I637" s="418"/>
      <c r="J637" s="420"/>
      <c r="K637" s="418"/>
      <c r="L637" s="418"/>
      <c r="M637" s="418"/>
      <c r="N637" s="418"/>
      <c r="O637" s="418"/>
      <c r="P637" s="418"/>
      <c r="Q637" s="418"/>
      <c r="R637" s="418"/>
      <c r="S637" s="418"/>
      <c r="T637" s="418"/>
      <c r="U637" s="418"/>
      <c r="V637" s="418"/>
      <c r="W637" s="418"/>
      <c r="X637" s="418"/>
      <c r="Y637" s="418"/>
      <c r="Z637" s="418"/>
      <c r="AA637" s="418"/>
      <c r="AB637" s="418"/>
      <c r="AC637" s="418"/>
      <c r="AD637" s="418"/>
      <c r="AE637" s="419"/>
    </row>
    <row r="638" spans="3:31">
      <c r="J638" s="408"/>
    </row>
    <row r="643" spans="10:10">
      <c r="J643" s="408"/>
    </row>
    <row r="645" spans="10:10">
      <c r="J645" s="408"/>
    </row>
    <row r="646" spans="10:10">
      <c r="J646" s="408"/>
    </row>
    <row r="647" spans="10:10">
      <c r="J647" s="408"/>
    </row>
    <row r="648" spans="10:10">
      <c r="J648" s="408"/>
    </row>
    <row r="654" spans="10:10">
      <c r="J654" s="408"/>
    </row>
    <row r="659" spans="10:10">
      <c r="J659" s="408"/>
    </row>
    <row r="758" spans="9:9">
      <c r="I758" s="408"/>
    </row>
    <row r="760" spans="9:9">
      <c r="I760" s="408"/>
    </row>
    <row r="776" spans="8:9">
      <c r="H776" s="438"/>
      <c r="I776" s="408"/>
    </row>
    <row r="777" spans="8:9">
      <c r="I777" s="408"/>
    </row>
    <row r="779" spans="8:9">
      <c r="I779" s="408"/>
    </row>
    <row r="808" spans="10:10">
      <c r="J808" s="408"/>
    </row>
    <row r="810" spans="10:10">
      <c r="J810" s="408"/>
    </row>
    <row r="812" spans="10:10">
      <c r="J812" s="408"/>
    </row>
    <row r="813" spans="10:10">
      <c r="J813" s="408"/>
    </row>
    <row r="818" spans="10:10">
      <c r="J818" s="408"/>
    </row>
    <row r="820" spans="10:10">
      <c r="J820" s="408"/>
    </row>
    <row r="821" spans="10:10">
      <c r="J821" s="408"/>
    </row>
    <row r="822" spans="10:10">
      <c r="J822" s="408"/>
    </row>
    <row r="823" spans="10:10">
      <c r="J823" s="408"/>
    </row>
    <row r="829" spans="10:10">
      <c r="J829" s="408"/>
    </row>
    <row r="834" spans="10:10">
      <c r="J834" s="408"/>
    </row>
  </sheetData>
  <autoFilter ref="C4:AF112"/>
  <phoneticPr fontId="1" type="noConversion"/>
  <hyperlinks>
    <hyperlink ref="A1" location="HOME!A1" display="HOME"/>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통합데이터_시트통합">
                <anchor moveWithCells="1" sizeWithCells="1">
                  <from>
                    <xdr:col>8</xdr:col>
                    <xdr:colOff>502920</xdr:colOff>
                    <xdr:row>0</xdr:row>
                    <xdr:rowOff>45720</xdr:rowOff>
                  </from>
                  <to>
                    <xdr:col>8</xdr:col>
                    <xdr:colOff>1661160</xdr:colOff>
                    <xdr:row>0</xdr:row>
                    <xdr:rowOff>365760</xdr:rowOff>
                  </to>
                </anchor>
              </controlPr>
            </control>
          </mc:Choice>
        </mc:AlternateContent>
        <mc:AlternateContent xmlns:mc="http://schemas.openxmlformats.org/markup-compatibility/2006">
          <mc:Choice Requires="x14">
            <control shapeId="64514" r:id="rId5" name="Button 2">
              <controlPr defaultSize="0" print="0" autoFill="0" autoPict="0" macro="[0]!통합데이터_초기화">
                <anchor moveWithCells="1" sizeWithCells="1">
                  <from>
                    <xdr:col>8</xdr:col>
                    <xdr:colOff>2217420</xdr:colOff>
                    <xdr:row>0</xdr:row>
                    <xdr:rowOff>15240</xdr:rowOff>
                  </from>
                  <to>
                    <xdr:col>9</xdr:col>
                    <xdr:colOff>822960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2_Sheet">
    <tabColor rgb="FFFFC000"/>
  </sheetPr>
  <dimension ref="A1:AK93"/>
  <sheetViews>
    <sheetView showGridLines="0" topLeftCell="B67" zoomScale="80" zoomScaleNormal="80" workbookViewId="0">
      <selection activeCell="G89" sqref="G89"/>
    </sheetView>
  </sheetViews>
  <sheetFormatPr defaultColWidth="12.8984375" defaultRowHeight="17.399999999999999" customHeight="1"/>
  <cols>
    <col min="1" max="1" width="7.8984375" style="65" customWidth="1"/>
    <col min="2" max="2" width="3" style="2" customWidth="1"/>
    <col min="3" max="4" width="12.8984375" style="2"/>
    <col min="5" max="5" width="0" style="2" hidden="1" customWidth="1"/>
    <col min="6" max="6" width="0" style="3" hidden="1" customWidth="1"/>
    <col min="7" max="7" width="17.09765625" style="2" bestFit="1" customWidth="1"/>
    <col min="8" max="17" width="16.19921875" style="2" bestFit="1" customWidth="1"/>
    <col min="18" max="18" width="5.8984375" style="2" bestFit="1" customWidth="1"/>
    <col min="19" max="16384" width="12.8984375" style="2"/>
  </cols>
  <sheetData>
    <row r="1" spans="1:18" ht="30" customHeight="1" thickBot="1">
      <c r="A1" s="70" t="s">
        <v>279</v>
      </c>
      <c r="C1" s="80" t="s">
        <v>283</v>
      </c>
      <c r="D1" s="67"/>
      <c r="E1" s="67"/>
      <c r="F1" s="100"/>
      <c r="G1" s="66"/>
      <c r="H1" s="66"/>
      <c r="I1" s="66"/>
      <c r="J1" s="66"/>
      <c r="K1" s="66"/>
      <c r="L1" s="66"/>
      <c r="M1" s="66"/>
      <c r="N1" s="66"/>
      <c r="O1" s="66"/>
      <c r="P1" s="66"/>
      <c r="Q1" s="66"/>
      <c r="R1" s="66"/>
    </row>
    <row r="2" spans="1:18" ht="17.399999999999999" customHeight="1" thickTop="1" thickBot="1">
      <c r="C2" s="40" t="s">
        <v>244</v>
      </c>
      <c r="H2" s="455"/>
      <c r="I2" s="455"/>
      <c r="J2" s="455"/>
      <c r="K2" s="455"/>
      <c r="L2" s="455"/>
      <c r="M2" s="455"/>
      <c r="N2" s="455"/>
    </row>
    <row r="3" spans="1:18" s="3" customFormat="1" ht="17.399999999999999" customHeight="1">
      <c r="A3" s="65"/>
      <c r="C3" s="474" t="s">
        <v>1</v>
      </c>
      <c r="D3" s="475" t="s">
        <v>179</v>
      </c>
      <c r="E3" s="475"/>
      <c r="F3" s="475"/>
      <c r="G3" s="475" t="s">
        <v>231</v>
      </c>
      <c r="H3" s="475" t="s">
        <v>41</v>
      </c>
      <c r="I3" s="475" t="s">
        <v>232</v>
      </c>
      <c r="J3" s="475" t="s">
        <v>233</v>
      </c>
      <c r="K3" s="475" t="s">
        <v>234</v>
      </c>
      <c r="L3" s="475" t="s">
        <v>235</v>
      </c>
      <c r="M3" s="475" t="s">
        <v>236</v>
      </c>
      <c r="N3" s="475" t="s">
        <v>237</v>
      </c>
      <c r="O3" s="475" t="s">
        <v>238</v>
      </c>
      <c r="P3" s="475" t="s">
        <v>239</v>
      </c>
      <c r="Q3" s="475" t="s">
        <v>240</v>
      </c>
      <c r="R3" s="476" t="s">
        <v>172</v>
      </c>
    </row>
    <row r="4" spans="1:18" ht="17.399999999999999" customHeight="1">
      <c r="C4" s="589" t="s">
        <v>1443</v>
      </c>
      <c r="D4" s="590" t="s">
        <v>1444</v>
      </c>
      <c r="E4" s="590"/>
      <c r="F4" s="590"/>
      <c r="G4" s="598">
        <f>AVERAGE(H4:Q4)</f>
        <v>12</v>
      </c>
      <c r="H4" s="599">
        <f>SUMIFS(BL_인건비!M$5:M$100,BL_인건비!$B$5:$B$100,'1.인건비_요약'!$C4,BL_인건비!$C$5:$C$100,'1.인건비_요약'!$D4)</f>
        <v>12</v>
      </c>
      <c r="I4" s="599">
        <f>SUMIFS(BL_인건비!N$5:N$100,BL_인건비!$B$5:$B$100,'1.인건비_요약'!$C4,BL_인건비!$C$5:$C$100,'1.인건비_요약'!$D4)</f>
        <v>12</v>
      </c>
      <c r="J4" s="599">
        <f>SUMIFS(BL_인건비!O$5:O$100,BL_인건비!$B$5:$B$100,'1.인건비_요약'!$C4,BL_인건비!$C$5:$C$100,'1.인건비_요약'!$D4)</f>
        <v>12</v>
      </c>
      <c r="K4" s="599">
        <f>SUMIFS(BL_인건비!P$5:P$100,BL_인건비!$B$5:$B$100,'1.인건비_요약'!$C4,BL_인건비!$C$5:$C$100,'1.인건비_요약'!$D4)</f>
        <v>12</v>
      </c>
      <c r="L4" s="599">
        <f>SUMIFS(BL_인건비!Q$5:Q$100,BL_인건비!$B$5:$B$100,'1.인건비_요약'!$C4,BL_인건비!$C$5:$C$100,'1.인건비_요약'!$D4)</f>
        <v>12</v>
      </c>
      <c r="M4" s="599">
        <f>SUMIFS(BL_인건비!R$5:R$100,BL_인건비!$B$5:$B$100,'1.인건비_요약'!$C4,BL_인건비!$C$5:$C$100,'1.인건비_요약'!$D4)</f>
        <v>12</v>
      </c>
      <c r="N4" s="599">
        <f>SUMIFS(BL_인건비!S$5:S$100,BL_인건비!$B$5:$B$100,'1.인건비_요약'!$C4,BL_인건비!$C$5:$C$100,'1.인건비_요약'!$D4)</f>
        <v>12</v>
      </c>
      <c r="O4" s="599">
        <f>SUMIFS(BL_인건비!T$5:T$100,BL_인건비!$B$5:$B$100,'1.인건비_요약'!$C4,BL_인건비!$C$5:$C$100,'1.인건비_요약'!$D4)</f>
        <v>12</v>
      </c>
      <c r="P4" s="599">
        <f>SUMIFS(BL_인건비!U$5:U$100,BL_인건비!$B$5:$B$100,'1.인건비_요약'!$C4,BL_인건비!$C$5:$C$100,'1.인건비_요약'!$D4)</f>
        <v>12</v>
      </c>
      <c r="Q4" s="599">
        <f>SUMIFS(BL_인건비!V$5:V$100,BL_인건비!$B$5:$B$100,'1.인건비_요약'!$C4,BL_인건비!$C$5:$C$100,'1.인건비_요약'!$D4)</f>
        <v>12</v>
      </c>
      <c r="R4" s="600">
        <f>SUMIFS(BL_인건비!W$5:W$100,BL_인건비!$B$5:$B$100,'1.인건비_요약'!$C4,BL_인건비!$C$5:$C$100,'1.인건비_요약'!$D4)</f>
        <v>0</v>
      </c>
    </row>
    <row r="5" spans="1:18" ht="17.399999999999999" customHeight="1">
      <c r="C5" s="589" t="s">
        <v>1443</v>
      </c>
      <c r="D5" s="590" t="s">
        <v>1445</v>
      </c>
      <c r="E5" s="590"/>
      <c r="F5" s="590"/>
      <c r="G5" s="598">
        <f t="shared" ref="G5:G13" si="0">AVERAGE(H5:Q5)</f>
        <v>48</v>
      </c>
      <c r="H5" s="599">
        <f>SUMIFS(BL_인건비!M$5:M$100,BL_인건비!$B$5:$B$100,'1.인건비_요약'!$C5,BL_인건비!$C$5:$C$100,'1.인건비_요약'!$D5)</f>
        <v>48</v>
      </c>
      <c r="I5" s="599">
        <f>SUMIFS(BL_인건비!N$5:N$100,BL_인건비!$B$5:$B$100,'1.인건비_요약'!$C5,BL_인건비!$C$5:$C$100,'1.인건비_요약'!$D5)</f>
        <v>48</v>
      </c>
      <c r="J5" s="599">
        <f>SUMIFS(BL_인건비!O$5:O$100,BL_인건비!$B$5:$B$100,'1.인건비_요약'!$C5,BL_인건비!$C$5:$C$100,'1.인건비_요약'!$D5)</f>
        <v>48</v>
      </c>
      <c r="K5" s="599">
        <f>SUMIFS(BL_인건비!P$5:P$100,BL_인건비!$B$5:$B$100,'1.인건비_요약'!$C5,BL_인건비!$C$5:$C$100,'1.인건비_요약'!$D5)</f>
        <v>48</v>
      </c>
      <c r="L5" s="599">
        <f>SUMIFS(BL_인건비!Q$5:Q$100,BL_인건비!$B$5:$B$100,'1.인건비_요약'!$C5,BL_인건비!$C$5:$C$100,'1.인건비_요약'!$D5)</f>
        <v>48</v>
      </c>
      <c r="M5" s="599">
        <f>SUMIFS(BL_인건비!R$5:R$100,BL_인건비!$B$5:$B$100,'1.인건비_요약'!$C5,BL_인건비!$C$5:$C$100,'1.인건비_요약'!$D5)</f>
        <v>48</v>
      </c>
      <c r="N5" s="599">
        <f>SUMIFS(BL_인건비!S$5:S$100,BL_인건비!$B$5:$B$100,'1.인건비_요약'!$C5,BL_인건비!$C$5:$C$100,'1.인건비_요약'!$D5)</f>
        <v>48</v>
      </c>
      <c r="O5" s="599">
        <f>SUMIFS(BL_인건비!T$5:T$100,BL_인건비!$B$5:$B$100,'1.인건비_요약'!$C5,BL_인건비!$C$5:$C$100,'1.인건비_요약'!$D5)</f>
        <v>48</v>
      </c>
      <c r="P5" s="599">
        <f>SUMIFS(BL_인건비!U$5:U$100,BL_인건비!$B$5:$B$100,'1.인건비_요약'!$C5,BL_인건비!$C$5:$C$100,'1.인건비_요약'!$D5)</f>
        <v>48</v>
      </c>
      <c r="Q5" s="599">
        <f>SUMIFS(BL_인건비!V$5:V$100,BL_인건비!$B$5:$B$100,'1.인건비_요약'!$C5,BL_인건비!$C$5:$C$100,'1.인건비_요약'!$D5)</f>
        <v>48</v>
      </c>
      <c r="R5" s="600">
        <f>SUMIFS(BL_인건비!W$5:W$100,BL_인건비!$B$5:$B$100,'1.인건비_요약'!$C5,BL_인건비!$C$5:$C$100,'1.인건비_요약'!$D5)</f>
        <v>0</v>
      </c>
    </row>
    <row r="6" spans="1:18" s="40" customFormat="1" ht="17.399999999999999" customHeight="1">
      <c r="A6" s="553"/>
      <c r="C6" s="591" t="s">
        <v>1514</v>
      </c>
      <c r="D6" s="592"/>
      <c r="E6" s="592"/>
      <c r="F6" s="592"/>
      <c r="G6" s="602">
        <f t="shared" si="0"/>
        <v>60</v>
      </c>
      <c r="H6" s="602">
        <f t="shared" ref="H6:R6" si="1">SUM(H4:H5)</f>
        <v>60</v>
      </c>
      <c r="I6" s="602">
        <f t="shared" si="1"/>
        <v>60</v>
      </c>
      <c r="J6" s="602">
        <f t="shared" si="1"/>
        <v>60</v>
      </c>
      <c r="K6" s="602">
        <f t="shared" si="1"/>
        <v>60</v>
      </c>
      <c r="L6" s="602">
        <f t="shared" si="1"/>
        <v>60</v>
      </c>
      <c r="M6" s="602">
        <f t="shared" si="1"/>
        <v>60</v>
      </c>
      <c r="N6" s="602">
        <f t="shared" si="1"/>
        <v>60</v>
      </c>
      <c r="O6" s="602">
        <f t="shared" si="1"/>
        <v>60</v>
      </c>
      <c r="P6" s="602">
        <f t="shared" si="1"/>
        <v>60</v>
      </c>
      <c r="Q6" s="602">
        <f t="shared" si="1"/>
        <v>60</v>
      </c>
      <c r="R6" s="603">
        <f t="shared" si="1"/>
        <v>0</v>
      </c>
    </row>
    <row r="7" spans="1:18" ht="17.399999999999999" customHeight="1">
      <c r="C7" s="589" t="s">
        <v>1446</v>
      </c>
      <c r="D7" s="590" t="s">
        <v>1444</v>
      </c>
      <c r="E7" s="590"/>
      <c r="F7" s="590"/>
      <c r="G7" s="598">
        <f t="shared" si="0"/>
        <v>7.875</v>
      </c>
      <c r="H7" s="599">
        <f>SUMIFS(BL_인건비!M$5:M$100,BL_인건비!$B$5:$B$100,'1.인건비_요약'!$C7,BL_인건비!$C$5:$C$100,'1.인건비_요약'!$D7)</f>
        <v>6.75</v>
      </c>
      <c r="I7" s="599">
        <f>SUMIFS(BL_인건비!N$5:N$100,BL_인건비!$B$5:$B$100,'1.인건비_요약'!$C7,BL_인건비!$C$5:$C$100,'1.인건비_요약'!$D7)</f>
        <v>8</v>
      </c>
      <c r="J7" s="599">
        <f>SUMIFS(BL_인건비!O$5:O$100,BL_인건비!$B$5:$B$100,'1.인건비_요약'!$C7,BL_인건비!$C$5:$C$100,'1.인건비_요약'!$D7)</f>
        <v>8</v>
      </c>
      <c r="K7" s="599">
        <f>SUMIFS(BL_인건비!P$5:P$100,BL_인건비!$B$5:$B$100,'1.인건비_요약'!$C7,BL_인건비!$C$5:$C$100,'1.인건비_요약'!$D7)</f>
        <v>8</v>
      </c>
      <c r="L7" s="599">
        <f>SUMIFS(BL_인건비!Q$5:Q$100,BL_인건비!$B$5:$B$100,'1.인건비_요약'!$C7,BL_인건비!$C$5:$C$100,'1.인건비_요약'!$D7)</f>
        <v>8</v>
      </c>
      <c r="M7" s="599">
        <f>SUMIFS(BL_인건비!R$5:R$100,BL_인건비!$B$5:$B$100,'1.인건비_요약'!$C7,BL_인건비!$C$5:$C$100,'1.인건비_요약'!$D7)</f>
        <v>8</v>
      </c>
      <c r="N7" s="599">
        <f>SUMIFS(BL_인건비!S$5:S$100,BL_인건비!$B$5:$B$100,'1.인건비_요약'!$C7,BL_인건비!$C$5:$C$100,'1.인건비_요약'!$D7)</f>
        <v>8</v>
      </c>
      <c r="O7" s="599">
        <f>SUMIFS(BL_인건비!T$5:T$100,BL_인건비!$B$5:$B$100,'1.인건비_요약'!$C7,BL_인건비!$C$5:$C$100,'1.인건비_요약'!$D7)</f>
        <v>8</v>
      </c>
      <c r="P7" s="599">
        <f>SUMIFS(BL_인건비!U$5:U$100,BL_인건비!$B$5:$B$100,'1.인건비_요약'!$C7,BL_인건비!$C$5:$C$100,'1.인건비_요약'!$D7)</f>
        <v>8</v>
      </c>
      <c r="Q7" s="599">
        <f>SUMIFS(BL_인건비!V$5:V$100,BL_인건비!$B$5:$B$100,'1.인건비_요약'!$C7,BL_인건비!$C$5:$C$100,'1.인건비_요약'!$D7)</f>
        <v>8</v>
      </c>
      <c r="R7" s="600">
        <f>SUMIFS(BL_인건비!W$5:W$100,BL_인건비!$B$5:$B$100,'1.인건비_요약'!$C7,BL_인건비!$C$5:$C$100,'1.인건비_요약'!$D7)</f>
        <v>0</v>
      </c>
    </row>
    <row r="8" spans="1:18" ht="17.399999999999999" customHeight="1">
      <c r="C8" s="589" t="s">
        <v>1447</v>
      </c>
      <c r="D8" s="590" t="s">
        <v>1445</v>
      </c>
      <c r="E8" s="590"/>
      <c r="F8" s="590"/>
      <c r="G8" s="598">
        <f t="shared" si="0"/>
        <v>42.35</v>
      </c>
      <c r="H8" s="599">
        <f>SUMIFS(BL_인건비!M$5:M$100,BL_인건비!$B$5:$B$100,'1.인건비_요약'!$C8,BL_인건비!$C$5:$C$100,'1.인건비_요약'!$D8)</f>
        <v>27.5</v>
      </c>
      <c r="I8" s="599">
        <f>SUMIFS(BL_인건비!N$5:N$100,BL_인건비!$B$5:$B$100,'1.인건비_요약'!$C8,BL_인건비!$C$5:$C$100,'1.인건비_요약'!$D8)</f>
        <v>44</v>
      </c>
      <c r="J8" s="599">
        <f>SUMIFS(BL_인건비!O$5:O$100,BL_인건비!$B$5:$B$100,'1.인건비_요약'!$C8,BL_인건비!$C$5:$C$100,'1.인건비_요약'!$D8)</f>
        <v>44</v>
      </c>
      <c r="K8" s="599">
        <f>SUMIFS(BL_인건비!P$5:P$100,BL_인건비!$B$5:$B$100,'1.인건비_요약'!$C8,BL_인건비!$C$5:$C$100,'1.인건비_요약'!$D8)</f>
        <v>44</v>
      </c>
      <c r="L8" s="599">
        <f>SUMIFS(BL_인건비!Q$5:Q$100,BL_인건비!$B$5:$B$100,'1.인건비_요약'!$C8,BL_인건비!$C$5:$C$100,'1.인건비_요약'!$D8)</f>
        <v>44</v>
      </c>
      <c r="M8" s="599">
        <f>SUMIFS(BL_인건비!R$5:R$100,BL_인건비!$B$5:$B$100,'1.인건비_요약'!$C8,BL_인건비!$C$5:$C$100,'1.인건비_요약'!$D8)</f>
        <v>44</v>
      </c>
      <c r="N8" s="599">
        <f>SUMIFS(BL_인건비!S$5:S$100,BL_인건비!$B$5:$B$100,'1.인건비_요약'!$C8,BL_인건비!$C$5:$C$100,'1.인건비_요약'!$D8)</f>
        <v>44</v>
      </c>
      <c r="O8" s="599">
        <f>SUMIFS(BL_인건비!T$5:T$100,BL_인건비!$B$5:$B$100,'1.인건비_요약'!$C8,BL_인건비!$C$5:$C$100,'1.인건비_요약'!$D8)</f>
        <v>44</v>
      </c>
      <c r="P8" s="599">
        <f>SUMIFS(BL_인건비!U$5:U$100,BL_인건비!$B$5:$B$100,'1.인건비_요약'!$C8,BL_인건비!$C$5:$C$100,'1.인건비_요약'!$D8)</f>
        <v>44</v>
      </c>
      <c r="Q8" s="599">
        <f>SUMIFS(BL_인건비!V$5:V$100,BL_인건비!$B$5:$B$100,'1.인건비_요약'!$C8,BL_인건비!$C$5:$C$100,'1.인건비_요약'!$D8)</f>
        <v>44</v>
      </c>
      <c r="R8" s="600">
        <f>SUMIFS(BL_인건비!W$5:W$100,BL_인건비!$B$5:$B$100,'1.인건비_요약'!$C8,BL_인건비!$C$5:$C$100,'1.인건비_요약'!$D8)</f>
        <v>0</v>
      </c>
    </row>
    <row r="9" spans="1:18" s="40" customFormat="1" ht="17.399999999999999" customHeight="1">
      <c r="A9" s="553"/>
      <c r="C9" s="591" t="s">
        <v>1515</v>
      </c>
      <c r="D9" s="592"/>
      <c r="E9" s="592"/>
      <c r="F9" s="592"/>
      <c r="G9" s="602">
        <f t="shared" si="0"/>
        <v>50.225000000000001</v>
      </c>
      <c r="H9" s="602">
        <f t="shared" ref="H9" si="2">SUM(H7:H8)</f>
        <v>34.25</v>
      </c>
      <c r="I9" s="602">
        <f t="shared" ref="I9" si="3">SUM(I7:I8)</f>
        <v>52</v>
      </c>
      <c r="J9" s="602">
        <f t="shared" ref="J9" si="4">SUM(J7:J8)</f>
        <v>52</v>
      </c>
      <c r="K9" s="602">
        <f t="shared" ref="K9" si="5">SUM(K7:K8)</f>
        <v>52</v>
      </c>
      <c r="L9" s="602">
        <f t="shared" ref="L9" si="6">SUM(L7:L8)</f>
        <v>52</v>
      </c>
      <c r="M9" s="602">
        <f t="shared" ref="M9" si="7">SUM(M7:M8)</f>
        <v>52</v>
      </c>
      <c r="N9" s="602">
        <f t="shared" ref="N9" si="8">SUM(N7:N8)</f>
        <v>52</v>
      </c>
      <c r="O9" s="602">
        <f t="shared" ref="O9" si="9">SUM(O7:O8)</f>
        <v>52</v>
      </c>
      <c r="P9" s="602">
        <f t="shared" ref="P9" si="10">SUM(P7:P8)</f>
        <v>52</v>
      </c>
      <c r="Q9" s="602">
        <f t="shared" ref="Q9" si="11">SUM(Q7:Q8)</f>
        <v>52</v>
      </c>
      <c r="R9" s="603">
        <f t="shared" ref="R9" si="12">SUM(R7:R8)</f>
        <v>0</v>
      </c>
    </row>
    <row r="10" spans="1:18" ht="17.399999999999999" customHeight="1">
      <c r="C10" s="589" t="s">
        <v>1448</v>
      </c>
      <c r="D10" s="590" t="s">
        <v>1444</v>
      </c>
      <c r="E10" s="590"/>
      <c r="F10" s="590"/>
      <c r="G10" s="598">
        <f t="shared" si="0"/>
        <v>12.9</v>
      </c>
      <c r="H10" s="599">
        <f>SUMIFS(BL_인건비!M$5:M$100,BL_인건비!$B$5:$B$100,'1.인건비_요약'!$C10,BL_인건비!$C$5:$C$100,'1.인건비_요약'!$D10)</f>
        <v>12</v>
      </c>
      <c r="I10" s="599">
        <f>SUMIFS(BL_인건비!N$5:N$100,BL_인건비!$B$5:$B$100,'1.인건비_요약'!$C10,BL_인건비!$C$5:$C$100,'1.인건비_요약'!$D10)</f>
        <v>13</v>
      </c>
      <c r="J10" s="599">
        <f>SUMIFS(BL_인건비!O$5:O$100,BL_인건비!$B$5:$B$100,'1.인건비_요약'!$C10,BL_인건비!$C$5:$C$100,'1.인건비_요약'!$D10)</f>
        <v>13</v>
      </c>
      <c r="K10" s="599">
        <f>SUMIFS(BL_인건비!P$5:P$100,BL_인건비!$B$5:$B$100,'1.인건비_요약'!$C10,BL_인건비!$C$5:$C$100,'1.인건비_요약'!$D10)</f>
        <v>13</v>
      </c>
      <c r="L10" s="599">
        <f>SUMIFS(BL_인건비!Q$5:Q$100,BL_인건비!$B$5:$B$100,'1.인건비_요약'!$C10,BL_인건비!$C$5:$C$100,'1.인건비_요약'!$D10)</f>
        <v>13</v>
      </c>
      <c r="M10" s="599">
        <f>SUMIFS(BL_인건비!R$5:R$100,BL_인건비!$B$5:$B$100,'1.인건비_요약'!$C10,BL_인건비!$C$5:$C$100,'1.인건비_요약'!$D10)</f>
        <v>13</v>
      </c>
      <c r="N10" s="599">
        <f>SUMIFS(BL_인건비!S$5:S$100,BL_인건비!$B$5:$B$100,'1.인건비_요약'!$C10,BL_인건비!$C$5:$C$100,'1.인건비_요약'!$D10)</f>
        <v>13</v>
      </c>
      <c r="O10" s="599">
        <f>SUMIFS(BL_인건비!T$5:T$100,BL_인건비!$B$5:$B$100,'1.인건비_요약'!$C10,BL_인건비!$C$5:$C$100,'1.인건비_요약'!$D10)</f>
        <v>13</v>
      </c>
      <c r="P10" s="599">
        <f>SUMIFS(BL_인건비!U$5:U$100,BL_인건비!$B$5:$B$100,'1.인건비_요약'!$C10,BL_인건비!$C$5:$C$100,'1.인건비_요약'!$D10)</f>
        <v>13</v>
      </c>
      <c r="Q10" s="599">
        <f>SUMIFS(BL_인건비!V$5:V$100,BL_인건비!$B$5:$B$100,'1.인건비_요약'!$C10,BL_인건비!$C$5:$C$100,'1.인건비_요약'!$D10)</f>
        <v>13</v>
      </c>
      <c r="R10" s="600">
        <f>SUMIFS(BL_인건비!W$5:W$100,BL_인건비!$B$5:$B$100,'1.인건비_요약'!$C10,BL_인건비!$C$5:$C$100,'1.인건비_요약'!$D10)</f>
        <v>0</v>
      </c>
    </row>
    <row r="11" spans="1:18" ht="17.399999999999999" customHeight="1">
      <c r="C11" s="589" t="s">
        <v>1448</v>
      </c>
      <c r="D11" s="590" t="s">
        <v>1445</v>
      </c>
      <c r="E11" s="590"/>
      <c r="F11" s="590"/>
      <c r="G11" s="598">
        <f t="shared" si="0"/>
        <v>68</v>
      </c>
      <c r="H11" s="599">
        <f>SUMIFS(BL_인건비!M$5:M$100,BL_인건비!$B$5:$B$100,'1.인건비_요약'!$C11,BL_인건비!$C$5:$C$100,'1.인건비_요약'!$D11)</f>
        <v>68</v>
      </c>
      <c r="I11" s="599">
        <f>SUMIFS(BL_인건비!N$5:N$100,BL_인건비!$B$5:$B$100,'1.인건비_요약'!$C11,BL_인건비!$C$5:$C$100,'1.인건비_요약'!$D11)</f>
        <v>68</v>
      </c>
      <c r="J11" s="599">
        <f>SUMIFS(BL_인건비!O$5:O$100,BL_인건비!$B$5:$B$100,'1.인건비_요약'!$C11,BL_인건비!$C$5:$C$100,'1.인건비_요약'!$D11)</f>
        <v>68</v>
      </c>
      <c r="K11" s="599">
        <f>SUMIFS(BL_인건비!P$5:P$100,BL_인건비!$B$5:$B$100,'1.인건비_요약'!$C11,BL_인건비!$C$5:$C$100,'1.인건비_요약'!$D11)</f>
        <v>68</v>
      </c>
      <c r="L11" s="599">
        <f>SUMIFS(BL_인건비!Q$5:Q$100,BL_인건비!$B$5:$B$100,'1.인건비_요약'!$C11,BL_인건비!$C$5:$C$100,'1.인건비_요약'!$D11)</f>
        <v>68</v>
      </c>
      <c r="M11" s="599">
        <f>SUMIFS(BL_인건비!R$5:R$100,BL_인건비!$B$5:$B$100,'1.인건비_요약'!$C11,BL_인건비!$C$5:$C$100,'1.인건비_요약'!$D11)</f>
        <v>68</v>
      </c>
      <c r="N11" s="599">
        <f>SUMIFS(BL_인건비!S$5:S$100,BL_인건비!$B$5:$B$100,'1.인건비_요약'!$C11,BL_인건비!$C$5:$C$100,'1.인건비_요약'!$D11)</f>
        <v>68</v>
      </c>
      <c r="O11" s="599">
        <f>SUMIFS(BL_인건비!T$5:T$100,BL_인건비!$B$5:$B$100,'1.인건비_요약'!$C11,BL_인건비!$C$5:$C$100,'1.인건비_요약'!$D11)</f>
        <v>68</v>
      </c>
      <c r="P11" s="599">
        <f>SUMIFS(BL_인건비!U$5:U$100,BL_인건비!$B$5:$B$100,'1.인건비_요약'!$C11,BL_인건비!$C$5:$C$100,'1.인건비_요약'!$D11)</f>
        <v>68</v>
      </c>
      <c r="Q11" s="599">
        <f>SUMIFS(BL_인건비!V$5:V$100,BL_인건비!$B$5:$B$100,'1.인건비_요약'!$C11,BL_인건비!$C$5:$C$100,'1.인건비_요약'!$D11)</f>
        <v>68</v>
      </c>
      <c r="R11" s="600">
        <f>SUMIFS(BL_인건비!W$5:W$100,BL_인건비!$B$5:$B$100,'1.인건비_요약'!$C11,BL_인건비!$C$5:$C$100,'1.인건비_요약'!$D11)</f>
        <v>0</v>
      </c>
    </row>
    <row r="12" spans="1:18" s="40" customFormat="1" ht="17.399999999999999" customHeight="1">
      <c r="A12" s="553"/>
      <c r="C12" s="591" t="s">
        <v>1516</v>
      </c>
      <c r="D12" s="592"/>
      <c r="E12" s="592"/>
      <c r="F12" s="592"/>
      <c r="G12" s="602">
        <f t="shared" si="0"/>
        <v>80.900000000000006</v>
      </c>
      <c r="H12" s="602">
        <f t="shared" ref="H12" si="13">SUM(H10:H11)</f>
        <v>80</v>
      </c>
      <c r="I12" s="602">
        <f t="shared" ref="I12" si="14">SUM(I10:I11)</f>
        <v>81</v>
      </c>
      <c r="J12" s="602">
        <f t="shared" ref="J12" si="15">SUM(J10:J11)</f>
        <v>81</v>
      </c>
      <c r="K12" s="602">
        <f t="shared" ref="K12" si="16">SUM(K10:K11)</f>
        <v>81</v>
      </c>
      <c r="L12" s="602">
        <f t="shared" ref="L12" si="17">SUM(L10:L11)</f>
        <v>81</v>
      </c>
      <c r="M12" s="602">
        <f t="shared" ref="M12" si="18">SUM(M10:M11)</f>
        <v>81</v>
      </c>
      <c r="N12" s="602">
        <f t="shared" ref="N12" si="19">SUM(N10:N11)</f>
        <v>81</v>
      </c>
      <c r="O12" s="602">
        <f t="shared" ref="O12" si="20">SUM(O10:O11)</f>
        <v>81</v>
      </c>
      <c r="P12" s="602">
        <f t="shared" ref="P12" si="21">SUM(P10:P11)</f>
        <v>81</v>
      </c>
      <c r="Q12" s="602">
        <f t="shared" ref="Q12" si="22">SUM(Q10:Q11)</f>
        <v>81</v>
      </c>
      <c r="R12" s="603">
        <f t="shared" ref="R12" si="23">SUM(R10:R11)</f>
        <v>0</v>
      </c>
    </row>
    <row r="13" spans="1:18" ht="17.399999999999999" customHeight="1">
      <c r="A13" s="554"/>
      <c r="C13" s="483" t="s">
        <v>1519</v>
      </c>
      <c r="D13" s="484"/>
      <c r="E13" s="484"/>
      <c r="F13" s="593"/>
      <c r="G13" s="605">
        <f t="shared" si="0"/>
        <v>301.35000000000002</v>
      </c>
      <c r="H13" s="605">
        <f t="shared" ref="H13:R13" si="24">SUM(H4:H11)</f>
        <v>268.5</v>
      </c>
      <c r="I13" s="605">
        <f t="shared" si="24"/>
        <v>305</v>
      </c>
      <c r="J13" s="605">
        <f t="shared" si="24"/>
        <v>305</v>
      </c>
      <c r="K13" s="605">
        <f t="shared" si="24"/>
        <v>305</v>
      </c>
      <c r="L13" s="605">
        <f t="shared" si="24"/>
        <v>305</v>
      </c>
      <c r="M13" s="605">
        <f t="shared" si="24"/>
        <v>305</v>
      </c>
      <c r="N13" s="605">
        <f t="shared" si="24"/>
        <v>305</v>
      </c>
      <c r="O13" s="605">
        <f t="shared" si="24"/>
        <v>305</v>
      </c>
      <c r="P13" s="605">
        <f t="shared" si="24"/>
        <v>305</v>
      </c>
      <c r="Q13" s="605">
        <f t="shared" si="24"/>
        <v>305</v>
      </c>
      <c r="R13" s="606">
        <f t="shared" si="24"/>
        <v>0</v>
      </c>
    </row>
    <row r="14" spans="1:18" ht="17.399999999999999" customHeight="1">
      <c r="C14" s="594" t="s">
        <v>1443</v>
      </c>
      <c r="D14" s="595" t="s">
        <v>1507</v>
      </c>
      <c r="E14" s="595"/>
      <c r="F14" s="595"/>
      <c r="G14" s="599">
        <f>SUM(H14:R14)</f>
        <v>0</v>
      </c>
      <c r="H14" s="599">
        <f>SUMIFS(BL_인건비!M$5:M$100,BL_인건비!$B$5:$B$100,'1.인건비_요약'!$C14,BL_인건비!$C$5:$C$100,'1.인건비_요약'!$D14)</f>
        <v>0</v>
      </c>
      <c r="I14" s="599">
        <f>SUMIFS(BL_인건비!N$5:N$100,BL_인건비!$B$5:$B$100,'1.인건비_요약'!$C14,BL_인건비!$C$5:$C$100,'1.인건비_요약'!$D14)</f>
        <v>0</v>
      </c>
      <c r="J14" s="599">
        <f>SUMIFS(BL_인건비!O$5:O$100,BL_인건비!$B$5:$B$100,'1.인건비_요약'!$C14,BL_인건비!$C$5:$C$100,'1.인건비_요약'!$D14)</f>
        <v>0</v>
      </c>
      <c r="K14" s="599">
        <f>SUMIFS(BL_인건비!P$5:P$100,BL_인건비!$B$5:$B$100,'1.인건비_요약'!$C14,BL_인건비!$C$5:$C$100,'1.인건비_요약'!$D14)</f>
        <v>0</v>
      </c>
      <c r="L14" s="599">
        <f>SUMIFS(BL_인건비!Q$5:Q$100,BL_인건비!$B$5:$B$100,'1.인건비_요약'!$C14,BL_인건비!$C$5:$C$100,'1.인건비_요약'!$D14)</f>
        <v>0</v>
      </c>
      <c r="M14" s="599">
        <f>SUMIFS(BL_인건비!R$5:R$100,BL_인건비!$B$5:$B$100,'1.인건비_요약'!$C14,BL_인건비!$C$5:$C$100,'1.인건비_요약'!$D14)</f>
        <v>0</v>
      </c>
      <c r="N14" s="599">
        <f>SUMIFS(BL_인건비!S$5:S$100,BL_인건비!$B$5:$B$100,'1.인건비_요약'!$C14,BL_인건비!$C$5:$C$100,'1.인건비_요약'!$D14)</f>
        <v>0</v>
      </c>
      <c r="O14" s="599">
        <f>SUMIFS(BL_인건비!T$5:T$100,BL_인건비!$B$5:$B$100,'1.인건비_요약'!$C14,BL_인건비!$C$5:$C$100,'1.인건비_요약'!$D14)</f>
        <v>0</v>
      </c>
      <c r="P14" s="599">
        <f>SUMIFS(BL_인건비!U$5:U$100,BL_인건비!$B$5:$B$100,'1.인건비_요약'!$C14,BL_인건비!$C$5:$C$100,'1.인건비_요약'!$D14)</f>
        <v>0</v>
      </c>
      <c r="Q14" s="599">
        <f>SUMIFS(BL_인건비!V$5:V$100,BL_인건비!$B$5:$B$100,'1.인건비_요약'!$C14,BL_인건비!$C$5:$C$100,'1.인건비_요약'!$D14)</f>
        <v>0</v>
      </c>
      <c r="R14" s="600">
        <f>SUMIFS(BL_인건비!W$5:W$100,BL_인건비!$B$5:$B$100,'1.인건비_요약'!$C14,BL_인건비!$C$5:$C$100,'1.인건비_요약'!$D14)</f>
        <v>0</v>
      </c>
    </row>
    <row r="15" spans="1:18" ht="17.399999999999999" customHeight="1">
      <c r="C15" s="594" t="s">
        <v>1446</v>
      </c>
      <c r="D15" s="595" t="s">
        <v>1507</v>
      </c>
      <c r="E15" s="595"/>
      <c r="F15" s="595"/>
      <c r="G15" s="599">
        <f>SUM(H15:R15)</f>
        <v>10</v>
      </c>
      <c r="H15" s="599">
        <f>SUMIFS(BL_인건비!M$5:M$100,BL_인건비!$B$5:$B$100,'1.인건비_요약'!$C15,BL_인건비!$C$5:$C$100,'1.인건비_요약'!$D15)</f>
        <v>1</v>
      </c>
      <c r="I15" s="599">
        <f>SUMIFS(BL_인건비!N$5:N$100,BL_인건비!$B$5:$B$100,'1.인건비_요약'!$C15,BL_인건비!$C$5:$C$100,'1.인건비_요약'!$D15)</f>
        <v>1</v>
      </c>
      <c r="J15" s="599">
        <f>SUMIFS(BL_인건비!O$5:O$100,BL_인건비!$B$5:$B$100,'1.인건비_요약'!$C15,BL_인건비!$C$5:$C$100,'1.인건비_요약'!$D15)</f>
        <v>1</v>
      </c>
      <c r="K15" s="599">
        <f>SUMIFS(BL_인건비!P$5:P$100,BL_인건비!$B$5:$B$100,'1.인건비_요약'!$C15,BL_인건비!$C$5:$C$100,'1.인건비_요약'!$D15)</f>
        <v>1</v>
      </c>
      <c r="L15" s="599">
        <f>SUMIFS(BL_인건비!Q$5:Q$100,BL_인건비!$B$5:$B$100,'1.인건비_요약'!$C15,BL_인건비!$C$5:$C$100,'1.인건비_요약'!$D15)</f>
        <v>1</v>
      </c>
      <c r="M15" s="599">
        <f>SUMIFS(BL_인건비!R$5:R$100,BL_인건비!$B$5:$B$100,'1.인건비_요약'!$C15,BL_인건비!$C$5:$C$100,'1.인건비_요약'!$D15)</f>
        <v>1</v>
      </c>
      <c r="N15" s="599">
        <f>SUMIFS(BL_인건비!S$5:S$100,BL_인건비!$B$5:$B$100,'1.인건비_요약'!$C15,BL_인건비!$C$5:$C$100,'1.인건비_요약'!$D15)</f>
        <v>1</v>
      </c>
      <c r="O15" s="599">
        <f>SUMIFS(BL_인건비!T$5:T$100,BL_인건비!$B$5:$B$100,'1.인건비_요약'!$C15,BL_인건비!$C$5:$C$100,'1.인건비_요약'!$D15)</f>
        <v>1</v>
      </c>
      <c r="P15" s="599">
        <f>SUMIFS(BL_인건비!U$5:U$100,BL_인건비!$B$5:$B$100,'1.인건비_요약'!$C15,BL_인건비!$C$5:$C$100,'1.인건비_요약'!$D15)</f>
        <v>1</v>
      </c>
      <c r="Q15" s="599">
        <f>SUMIFS(BL_인건비!V$5:V$100,BL_인건비!$B$5:$B$100,'1.인건비_요약'!$C15,BL_인건비!$C$5:$C$100,'1.인건비_요약'!$D15)</f>
        <v>1</v>
      </c>
      <c r="R15" s="600">
        <f>SUMIFS(BL_인건비!W$5:W$100,BL_인건비!$B$5:$B$100,'1.인건비_요약'!$C15,BL_인건비!$C$5:$C$100,'1.인건비_요약'!$D15)</f>
        <v>0</v>
      </c>
    </row>
    <row r="16" spans="1:18" ht="17.399999999999999" customHeight="1" thickBot="1">
      <c r="C16" s="596" t="s">
        <v>1508</v>
      </c>
      <c r="D16" s="597" t="s">
        <v>1509</v>
      </c>
      <c r="E16" s="597"/>
      <c r="F16" s="597"/>
      <c r="G16" s="622">
        <f>SUM(H16:R16)</f>
        <v>10</v>
      </c>
      <c r="H16" s="622">
        <f>SUMIFS(BL_인건비!M$5:M$100,BL_인건비!$B$5:$B$100,'1.인건비_요약'!$C16,BL_인건비!$C$5:$C$100,'1.인건비_요약'!$D16)</f>
        <v>1</v>
      </c>
      <c r="I16" s="622">
        <f>SUMIFS(BL_인건비!N$5:N$100,BL_인건비!$B$5:$B$100,'1.인건비_요약'!$C16,BL_인건비!$C$5:$C$100,'1.인건비_요약'!$D16)</f>
        <v>1</v>
      </c>
      <c r="J16" s="622">
        <f>SUMIFS(BL_인건비!O$5:O$100,BL_인건비!$B$5:$B$100,'1.인건비_요약'!$C16,BL_인건비!$C$5:$C$100,'1.인건비_요약'!$D16)</f>
        <v>1</v>
      </c>
      <c r="K16" s="622">
        <f>SUMIFS(BL_인건비!P$5:P$100,BL_인건비!$B$5:$B$100,'1.인건비_요약'!$C16,BL_인건비!$C$5:$C$100,'1.인건비_요약'!$D16)</f>
        <v>1</v>
      </c>
      <c r="L16" s="622">
        <f>SUMIFS(BL_인건비!Q$5:Q$100,BL_인건비!$B$5:$B$100,'1.인건비_요약'!$C16,BL_인건비!$C$5:$C$100,'1.인건비_요약'!$D16)</f>
        <v>1</v>
      </c>
      <c r="M16" s="622">
        <f>SUMIFS(BL_인건비!R$5:R$100,BL_인건비!$B$5:$B$100,'1.인건비_요약'!$C16,BL_인건비!$C$5:$C$100,'1.인건비_요약'!$D16)</f>
        <v>1</v>
      </c>
      <c r="N16" s="622">
        <f>SUMIFS(BL_인건비!S$5:S$100,BL_인건비!$B$5:$B$100,'1.인건비_요약'!$C16,BL_인건비!$C$5:$C$100,'1.인건비_요약'!$D16)</f>
        <v>1</v>
      </c>
      <c r="O16" s="622">
        <f>SUMIFS(BL_인건비!T$5:T$100,BL_인건비!$B$5:$B$100,'1.인건비_요약'!$C16,BL_인건비!$C$5:$C$100,'1.인건비_요약'!$D16)</f>
        <v>1</v>
      </c>
      <c r="P16" s="622">
        <f>SUMIFS(BL_인건비!U$5:U$100,BL_인건비!$B$5:$B$100,'1.인건비_요약'!$C16,BL_인건비!$C$5:$C$100,'1.인건비_요약'!$D16)</f>
        <v>1</v>
      </c>
      <c r="Q16" s="622">
        <f>SUMIFS(BL_인건비!V$5:V$100,BL_인건비!$B$5:$B$100,'1.인건비_요약'!$C16,BL_인건비!$C$5:$C$100,'1.인건비_요약'!$D16)</f>
        <v>1</v>
      </c>
      <c r="R16" s="623">
        <f>SUMIFS(BL_인건비!W$5:W$100,BL_인건비!$B$5:$B$100,'1.인건비_요약'!$C16,BL_인건비!$C$5:$C$100,'1.인건비_요약'!$D16)</f>
        <v>0</v>
      </c>
    </row>
    <row r="17" spans="1:18" s="24" customFormat="1" ht="8.4" customHeight="1" thickBot="1">
      <c r="A17" s="65"/>
      <c r="F17" s="543"/>
      <c r="G17" s="552"/>
      <c r="H17" s="552"/>
      <c r="I17" s="552"/>
      <c r="J17" s="552"/>
      <c r="K17" s="552"/>
      <c r="L17" s="552"/>
      <c r="M17" s="552"/>
      <c r="N17" s="552"/>
      <c r="O17" s="552"/>
      <c r="P17" s="552"/>
      <c r="Q17" s="552"/>
      <c r="R17" s="552"/>
    </row>
    <row r="18" spans="1:18" ht="17.399999999999999" customHeight="1">
      <c r="C18" s="474" t="s">
        <v>1</v>
      </c>
      <c r="D18" s="475" t="s">
        <v>179</v>
      </c>
      <c r="E18" s="475"/>
      <c r="F18" s="475"/>
      <c r="G18" s="475" t="s">
        <v>231</v>
      </c>
      <c r="H18" s="475" t="s">
        <v>41</v>
      </c>
      <c r="I18" s="475" t="s">
        <v>232</v>
      </c>
      <c r="J18" s="475" t="s">
        <v>233</v>
      </c>
      <c r="K18" s="475" t="s">
        <v>234</v>
      </c>
      <c r="L18" s="475" t="s">
        <v>235</v>
      </c>
      <c r="M18" s="475" t="s">
        <v>236</v>
      </c>
      <c r="N18" s="475" t="s">
        <v>237</v>
      </c>
      <c r="O18" s="475" t="s">
        <v>238</v>
      </c>
      <c r="P18" s="475" t="s">
        <v>239</v>
      </c>
      <c r="Q18" s="475" t="s">
        <v>240</v>
      </c>
      <c r="R18" s="476" t="s">
        <v>172</v>
      </c>
    </row>
    <row r="19" spans="1:18" ht="17.399999999999999" customHeight="1">
      <c r="C19" s="589" t="s">
        <v>1443</v>
      </c>
      <c r="D19" s="590" t="s">
        <v>1444</v>
      </c>
      <c r="E19" s="590"/>
      <c r="F19" s="590"/>
      <c r="G19" s="598">
        <f>SUM(H19:R19)</f>
        <v>4668166497.2207022</v>
      </c>
      <c r="H19" s="599">
        <f>SUMIFS(BL_인건비!AY$5:AY$100,BL_인건비!$B$5:$B$100,'1.인건비_요약'!$C19,BL_인건비!$C$5:$C$100,'1.인건비_요약'!$D19)</f>
        <v>416080941.18880993</v>
      </c>
      <c r="I19" s="599">
        <f>SUMIFS(BL_인건비!AZ$5:AZ$100,BL_인건비!$B$5:$B$100,'1.인건비_요약'!$C19,BL_인건비!$C$5:$C$100,'1.인건비_요약'!$D19)</f>
        <v>426612266.03181404</v>
      </c>
      <c r="J19" s="599">
        <f>SUMIFS(BL_인건비!BA$5:BA$100,BL_인건비!$B$5:$B$100,'1.인건비_요약'!$C19,BL_인건비!$C$5:$C$100,'1.인건비_요약'!$D19)</f>
        <v>437410146.71040142</v>
      </c>
      <c r="K19" s="599">
        <f>SUMIFS(BL_인건비!BB$5:BB$100,BL_인건비!$B$5:$B$100,'1.인건비_요약'!$C19,BL_인건비!$C$5:$C$100,'1.인건비_요약'!$D19)</f>
        <v>448481329.95535314</v>
      </c>
      <c r="L19" s="599">
        <f>SUMIFS(BL_인건비!BC$5:BC$100,BL_인건비!$B$5:$B$100,'1.인건비_요약'!$C19,BL_인건비!$C$5:$C$100,'1.인건비_요약'!$D19)</f>
        <v>459832733.26233381</v>
      </c>
      <c r="M19" s="599">
        <f>SUMIFS(BL_인건비!BD$5:BD$100,BL_인건비!$B$5:$B$100,'1.인건비_요약'!$C19,BL_인건비!$C$5:$C$100,'1.인건비_요약'!$D19)</f>
        <v>471471449.21408081</v>
      </c>
      <c r="N19" s="599">
        <f>SUMIFS(BL_인건비!BE$5:BE$100,BL_인건비!$B$5:$B$100,'1.인건비_요약'!$C19,BL_인건비!$C$5:$C$100,'1.인건비_요약'!$D19)</f>
        <v>483404749.91199058</v>
      </c>
      <c r="O19" s="599">
        <f>SUMIFS(BL_인건비!BF$5:BF$100,BL_인건비!$B$5:$B$100,'1.인건비_요약'!$C19,BL_인건비!$C$5:$C$100,'1.인건비_요약'!$D19)</f>
        <v>495640091.51987308</v>
      </c>
      <c r="P19" s="599">
        <f>SUMIFS(BL_인건비!BG$5:BG$100,BL_인건비!$B$5:$B$100,'1.인건비_요약'!$C19,BL_인건비!$C$5:$C$100,'1.인건비_요약'!$D19)</f>
        <v>508185118.92271042</v>
      </c>
      <c r="Q19" s="599">
        <f>SUMIFS(BL_인건비!BH$5:BH$100,BL_인건비!$B$5:$B$100,'1.인건비_요약'!$C19,BL_인건비!$C$5:$C$100,'1.인건비_요약'!$D19)</f>
        <v>521047670.50333464</v>
      </c>
      <c r="R19" s="600">
        <f>SUMIFS(BL_인건비!BI$5:BI$100,BL_인건비!$B$5:$B$100,'1.인건비_요약'!$C19,BL_인건비!$C$5:$C$100,'1.인건비_요약'!$D19)</f>
        <v>0</v>
      </c>
    </row>
    <row r="20" spans="1:18" ht="17.399999999999999" customHeight="1">
      <c r="C20" s="589" t="s">
        <v>1443</v>
      </c>
      <c r="D20" s="590" t="s">
        <v>1445</v>
      </c>
      <c r="E20" s="590"/>
      <c r="F20" s="590"/>
      <c r="G20" s="598">
        <f t="shared" ref="G20:G26" si="25">SUM(H20:R20)</f>
        <v>16040387404.979502</v>
      </c>
      <c r="H20" s="599">
        <f>SUMIFS(BL_인건비!AY$5:AY$100,BL_인건비!$B$5:$B$100,'1.인건비_요약'!$C20,BL_인건비!$C$5:$C$100,'1.인건비_요약'!$D20)</f>
        <v>1429704680.085978</v>
      </c>
      <c r="I20" s="599">
        <f>SUMIFS(BL_인건비!AZ$5:AZ$100,BL_인건비!$B$5:$B$100,'1.인건비_요약'!$C20,BL_인건비!$C$5:$C$100,'1.인건비_요약'!$D20)</f>
        <v>1465891592.1145108</v>
      </c>
      <c r="J20" s="599">
        <f>SUMIFS(BL_인건비!BA$5:BA$100,BL_인건비!$B$5:$B$100,'1.인건비_요약'!$C20,BL_인건비!$C$5:$C$100,'1.인건비_요약'!$D20)</f>
        <v>1502994422.3885388</v>
      </c>
      <c r="K20" s="599">
        <f>SUMIFS(BL_인건비!BB$5:BB$100,BL_인건비!$B$5:$B$100,'1.인건비_요약'!$C20,BL_인건비!$C$5:$C$100,'1.인건비_요약'!$D20)</f>
        <v>1541036353.4949536</v>
      </c>
      <c r="L20" s="599">
        <f>SUMIFS(BL_인건비!BC$5:BC$100,BL_인건비!$B$5:$B$100,'1.인건비_요약'!$C20,BL_인건비!$C$5:$C$100,'1.인건비_요약'!$D20)</f>
        <v>1580041154.7895398</v>
      </c>
      <c r="M20" s="599">
        <f>SUMIFS(BL_인건비!BD$5:BD$100,BL_인건비!$B$5:$B$100,'1.인건비_요약'!$C20,BL_인건비!$C$5:$C$100,'1.인건비_요약'!$D20)</f>
        <v>1620033197.2485409</v>
      </c>
      <c r="N20" s="599">
        <f>SUMIFS(BL_인건비!BE$5:BE$100,BL_인건비!$B$5:$B$100,'1.인건비_요약'!$C20,BL_인건비!$C$5:$C$100,'1.인건비_요약'!$D20)</f>
        <v>1661037468.6961312</v>
      </c>
      <c r="O20" s="599">
        <f>SUMIFS(BL_인건비!BF$5:BF$100,BL_인건비!$B$5:$B$100,'1.인건비_요약'!$C20,BL_인건비!$C$5:$C$100,'1.인건비_요약'!$D20)</f>
        <v>1703079589.4173064</v>
      </c>
      <c r="P20" s="599">
        <f>SUMIFS(BL_인건비!BG$5:BG$100,BL_인건비!$B$5:$B$100,'1.인건비_요약'!$C20,BL_인건비!$C$5:$C$100,'1.인건비_요약'!$D20)</f>
        <v>1746185828.1659462</v>
      </c>
      <c r="Q20" s="599">
        <f>SUMIFS(BL_인건비!BH$5:BH$100,BL_인건비!$B$5:$B$100,'1.인건비_요약'!$C20,BL_인건비!$C$5:$C$100,'1.인건비_요약'!$D20)</f>
        <v>1790383118.5780559</v>
      </c>
      <c r="R20" s="600">
        <f>SUMIFS(BL_인건비!BI$5:BI$100,BL_인건비!$B$5:$B$100,'1.인건비_요약'!$C20,BL_인건비!$C$5:$C$100,'1.인건비_요약'!$D20)</f>
        <v>0</v>
      </c>
    </row>
    <row r="21" spans="1:18" s="40" customFormat="1" ht="17.399999999999999" customHeight="1">
      <c r="A21" s="553"/>
      <c r="C21" s="591" t="s">
        <v>1514</v>
      </c>
      <c r="D21" s="592"/>
      <c r="E21" s="592"/>
      <c r="F21" s="592"/>
      <c r="G21" s="601">
        <f>SUM(G19:G20)</f>
        <v>20708553902.200203</v>
      </c>
      <c r="H21" s="602">
        <f t="shared" ref="H21" si="26">SUM(H19:H20)</f>
        <v>1845785621.2747879</v>
      </c>
      <c r="I21" s="602">
        <f t="shared" ref="I21" si="27">SUM(I19:I20)</f>
        <v>1892503858.1463249</v>
      </c>
      <c r="J21" s="602">
        <f t="shared" ref="J21" si="28">SUM(J19:J20)</f>
        <v>1940404569.0989404</v>
      </c>
      <c r="K21" s="602">
        <f t="shared" ref="K21" si="29">SUM(K19:K20)</f>
        <v>1989517683.4503069</v>
      </c>
      <c r="L21" s="602">
        <f t="shared" ref="L21" si="30">SUM(L19:L20)</f>
        <v>2039873888.0518737</v>
      </c>
      <c r="M21" s="602">
        <f t="shared" ref="M21" si="31">SUM(M19:M20)</f>
        <v>2091504646.4626217</v>
      </c>
      <c r="N21" s="602">
        <f t="shared" ref="N21" si="32">SUM(N19:N20)</f>
        <v>2144442218.6081219</v>
      </c>
      <c r="O21" s="602">
        <f t="shared" ref="O21" si="33">SUM(O19:O20)</f>
        <v>2198719680.9371796</v>
      </c>
      <c r="P21" s="602">
        <f t="shared" ref="P21" si="34">SUM(P19:P20)</f>
        <v>2254370947.0886564</v>
      </c>
      <c r="Q21" s="602">
        <f t="shared" ref="Q21" si="35">SUM(Q19:Q20)</f>
        <v>2311430789.0813904</v>
      </c>
      <c r="R21" s="603">
        <f t="shared" ref="R21" si="36">SUM(R19:R20)</f>
        <v>0</v>
      </c>
    </row>
    <row r="22" spans="1:18" ht="17.399999999999999" customHeight="1">
      <c r="C22" s="589" t="s">
        <v>1446</v>
      </c>
      <c r="D22" s="590" t="s">
        <v>1444</v>
      </c>
      <c r="E22" s="590"/>
      <c r="F22" s="590"/>
      <c r="G22" s="598">
        <f t="shared" si="25"/>
        <v>4414211371.2811556</v>
      </c>
      <c r="H22" s="599">
        <f>SUMIFS(BL_인건비!AY$5:AY$100,BL_인건비!$B$5:$B$100,'1.인건비_요약'!$C22,BL_인건비!$C$5:$C$100,'1.인건비_요약'!$D22)</f>
        <v>337416308.91388512</v>
      </c>
      <c r="I22" s="599">
        <f>SUMIFS(BL_인건비!AZ$5:AZ$100,BL_인건비!$B$5:$B$100,'1.인건비_요약'!$C22,BL_인건비!$C$5:$C$100,'1.인건비_요약'!$D22)</f>
        <v>409025349.27516097</v>
      </c>
      <c r="J22" s="599">
        <f>SUMIFS(BL_인건비!BA$5:BA$100,BL_인건비!$B$5:$B$100,'1.인건비_요약'!$C22,BL_인건비!$C$5:$C$100,'1.인건비_요약'!$D22)</f>
        <v>419378091.72458059</v>
      </c>
      <c r="K22" s="599">
        <f>SUMIFS(BL_인건비!BB$5:BB$100,BL_인건비!$B$5:$B$100,'1.인건비_요약'!$C22,BL_인건비!$C$5:$C$100,'1.인건비_요약'!$D22)</f>
        <v>429992869.95347953</v>
      </c>
      <c r="L22" s="599">
        <f>SUMIFS(BL_인건비!BC$5:BC$100,BL_인건비!$B$5:$B$100,'1.인건비_요약'!$C22,BL_인건비!$C$5:$C$100,'1.인건비_요약'!$D22)</f>
        <v>440876316.28658336</v>
      </c>
      <c r="M22" s="599">
        <f>SUMIFS(BL_인건비!BD$5:BD$100,BL_인건비!$B$5:$B$100,'1.인건비_요약'!$C22,BL_인건비!$C$5:$C$100,'1.인건비_요약'!$D22)</f>
        <v>452035230.91779709</v>
      </c>
      <c r="N22" s="599">
        <f>SUMIFS(BL_인건비!BE$5:BE$100,BL_인건비!$B$5:$B$100,'1.인건비_요약'!$C22,BL_인건비!$C$5:$C$100,'1.인건비_요약'!$D22)</f>
        <v>463476586.15910196</v>
      </c>
      <c r="O22" s="599">
        <f>SUMIFS(BL_인건비!BF$5:BF$100,BL_인건비!$B$5:$B$100,'1.인건비_요약'!$C22,BL_인건비!$C$5:$C$100,'1.인건비_요약'!$D22)</f>
        <v>475207530.79699439</v>
      </c>
      <c r="P22" s="599">
        <f>SUMIFS(BL_인건비!BG$5:BG$100,BL_인건비!$B$5:$B$100,'1.인건비_요약'!$C22,BL_인건비!$C$5:$C$100,'1.인건비_요약'!$D22)</f>
        <v>487235394.55918974</v>
      </c>
      <c r="Q22" s="599">
        <f>SUMIFS(BL_인건비!BH$5:BH$100,BL_인건비!$B$5:$B$100,'1.인건비_요약'!$C22,BL_인건비!$C$5:$C$100,'1.인건비_요약'!$D22)</f>
        <v>499567692.69438273</v>
      </c>
      <c r="R22" s="600">
        <f>SUMIFS(BL_인건비!BI$5:BI$100,BL_인건비!$B$5:$B$100,'1.인건비_요약'!$C22,BL_인건비!$C$5:$C$100,'1.인건비_요약'!$D22)</f>
        <v>0</v>
      </c>
    </row>
    <row r="23" spans="1:18" ht="17.399999999999999" customHeight="1">
      <c r="C23" s="589" t="s">
        <v>1447</v>
      </c>
      <c r="D23" s="590" t="s">
        <v>1445</v>
      </c>
      <c r="E23" s="590"/>
      <c r="F23" s="590"/>
      <c r="G23" s="598">
        <f t="shared" si="25"/>
        <v>19113840134.678719</v>
      </c>
      <c r="H23" s="599">
        <f>SUMIFS(BL_인건비!AY$5:AY$100,BL_인건비!$B$5:$B$100,'1.인건비_요약'!$C23,BL_인건비!$C$5:$C$100,'1.인건비_요약'!$D23)</f>
        <v>948824035.59650326</v>
      </c>
      <c r="I23" s="599">
        <f>SUMIFS(BL_인건비!AZ$5:AZ$100,BL_인건비!$B$5:$B$100,'1.인건비_요약'!$C23,BL_인건비!$C$5:$C$100,'1.인건비_요약'!$D23)</f>
        <v>1822498296.0516243</v>
      </c>
      <c r="J23" s="599">
        <f>SUMIFS(BL_인건비!BA$5:BA$100,BL_인건비!$B$5:$B$100,'1.인건비_요약'!$C23,BL_인건비!$C$5:$C$100,'1.인건비_요약'!$D23)</f>
        <v>1868627113.0233958</v>
      </c>
      <c r="K23" s="599">
        <f>SUMIFS(BL_인건비!BB$5:BB$100,BL_인건비!$B$5:$B$100,'1.인건비_요약'!$C23,BL_인건비!$C$5:$C$100,'1.인건비_요약'!$D23)</f>
        <v>1915923485.4106238</v>
      </c>
      <c r="L23" s="599">
        <f>SUMIFS(BL_인건비!BC$5:BC$100,BL_인건비!$B$5:$B$100,'1.인건비_요약'!$C23,BL_인건비!$C$5:$C$100,'1.인건비_요약'!$D23)</f>
        <v>1964416964.928216</v>
      </c>
      <c r="M23" s="599">
        <f>SUMIFS(BL_인건비!BD$5:BD$100,BL_인건비!$B$5:$B$100,'1.인건비_요약'!$C23,BL_인건비!$C$5:$C$100,'1.인건비_요약'!$D23)</f>
        <v>2014137851.2674425</v>
      </c>
      <c r="N23" s="599">
        <f>SUMIFS(BL_인건비!BE$5:BE$100,BL_인건비!$B$5:$B$100,'1.인건비_요약'!$C23,BL_인건비!$C$5:$C$100,'1.인건비_요약'!$D23)</f>
        <v>2065117211.0277882</v>
      </c>
      <c r="O23" s="599">
        <f>SUMIFS(BL_인건비!BF$5:BF$100,BL_인건비!$B$5:$B$100,'1.인건비_요약'!$C23,BL_인건비!$C$5:$C$100,'1.인건비_요약'!$D23)</f>
        <v>2117386897.1279817</v>
      </c>
      <c r="P23" s="599">
        <f>SUMIFS(BL_인건비!BG$5:BG$100,BL_인건비!$B$5:$B$100,'1.인건비_요약'!$C23,BL_인건비!$C$5:$C$100,'1.인건비_요약'!$D23)</f>
        <v>2170979568.7083325</v>
      </c>
      <c r="Q23" s="599">
        <f>SUMIFS(BL_인건비!BH$5:BH$100,BL_인건비!$B$5:$B$100,'1.인건비_요약'!$C23,BL_인건비!$C$5:$C$100,'1.인건비_요약'!$D23)</f>
        <v>2225928711.5368128</v>
      </c>
      <c r="R23" s="600">
        <f>SUMIFS(BL_인건비!BI$5:BI$100,BL_인건비!$B$5:$B$100,'1.인건비_요약'!$C23,BL_인건비!$C$5:$C$100,'1.인건비_요약'!$D23)</f>
        <v>0</v>
      </c>
    </row>
    <row r="24" spans="1:18" s="40" customFormat="1" ht="17.399999999999999" customHeight="1">
      <c r="A24" s="553"/>
      <c r="C24" s="591" t="s">
        <v>1515</v>
      </c>
      <c r="D24" s="592"/>
      <c r="E24" s="592"/>
      <c r="F24" s="592"/>
      <c r="G24" s="601">
        <f>SUM(G22:G23)</f>
        <v>23528051505.959873</v>
      </c>
      <c r="H24" s="602">
        <f t="shared" ref="H24" si="37">SUM(H22:H23)</f>
        <v>1286240344.5103884</v>
      </c>
      <c r="I24" s="602">
        <f t="shared" ref="I24" si="38">SUM(I22:I23)</f>
        <v>2231523645.3267851</v>
      </c>
      <c r="J24" s="602">
        <f t="shared" ref="J24" si="39">SUM(J22:J23)</f>
        <v>2288005204.7479763</v>
      </c>
      <c r="K24" s="602">
        <f t="shared" ref="K24" si="40">SUM(K22:K23)</f>
        <v>2345916355.3641033</v>
      </c>
      <c r="L24" s="602">
        <f t="shared" ref="L24" si="41">SUM(L22:L23)</f>
        <v>2405293281.2147994</v>
      </c>
      <c r="M24" s="602">
        <f t="shared" ref="M24" si="42">SUM(M22:M23)</f>
        <v>2466173082.1852398</v>
      </c>
      <c r="N24" s="602">
        <f t="shared" ref="N24" si="43">SUM(N22:N23)</f>
        <v>2528593797.1868901</v>
      </c>
      <c r="O24" s="602">
        <f t="shared" ref="O24" si="44">SUM(O22:O23)</f>
        <v>2592594427.9249759</v>
      </c>
      <c r="P24" s="602">
        <f t="shared" ref="P24" si="45">SUM(P22:P23)</f>
        <v>2658214963.2675223</v>
      </c>
      <c r="Q24" s="602">
        <f t="shared" ref="Q24" si="46">SUM(Q22:Q23)</f>
        <v>2725496404.2311954</v>
      </c>
      <c r="R24" s="603">
        <f t="shared" ref="R24" si="47">SUM(R22:R23)</f>
        <v>0</v>
      </c>
    </row>
    <row r="25" spans="1:18" ht="17.399999999999999" customHeight="1">
      <c r="C25" s="589" t="s">
        <v>1448</v>
      </c>
      <c r="D25" s="590" t="s">
        <v>1444</v>
      </c>
      <c r="E25" s="590"/>
      <c r="F25" s="590"/>
      <c r="G25" s="598">
        <f t="shared" si="25"/>
        <v>4683519280.6120958</v>
      </c>
      <c r="H25" s="599">
        <f>SUMIFS(BL_인건비!AY$5:AY$100,BL_인건비!$B$5:$B$100,'1.인건비_요약'!$C25,BL_인건비!$C$5:$C$100,'1.인건비_요약'!$D25)</f>
        <v>297152846.90266377</v>
      </c>
      <c r="I25" s="599">
        <f>SUMIFS(BL_인건비!AZ$5:AZ$100,BL_인건비!$B$5:$B$100,'1.인건비_요약'!$C25,BL_인건비!$C$5:$C$100,'1.인건비_요약'!$D25)</f>
        <v>440084682.98012573</v>
      </c>
      <c r="J25" s="599">
        <f>SUMIFS(BL_인건비!BA$5:BA$100,BL_인건비!$B$5:$B$100,'1.인건비_요약'!$C25,BL_인건비!$C$5:$C$100,'1.인건비_요약'!$D25)</f>
        <v>451223560.77071208</v>
      </c>
      <c r="K25" s="599">
        <f>SUMIFS(BL_인건비!BB$5:BB$100,BL_인건비!$B$5:$B$100,'1.인건비_요약'!$C25,BL_인건비!$C$5:$C$100,'1.인건비_요약'!$D25)</f>
        <v>462644372.02372444</v>
      </c>
      <c r="L25" s="599">
        <f>SUMIFS(BL_인건비!BC$5:BC$100,BL_인건비!$B$5:$B$100,'1.인건비_요약'!$C25,BL_인건비!$C$5:$C$100,'1.인건비_요약'!$D25)</f>
        <v>474354252.68936801</v>
      </c>
      <c r="M25" s="599">
        <f>SUMIFS(BL_인건비!BD$5:BD$100,BL_인건비!$B$5:$B$100,'1.인건비_요약'!$C25,BL_인건비!$C$5:$C$100,'1.인건비_요약'!$D25)</f>
        <v>486360519.33416837</v>
      </c>
      <c r="N25" s="599">
        <f>SUMIFS(BL_인건비!BE$5:BE$100,BL_인건비!$B$5:$B$100,'1.인건비_요약'!$C25,BL_인건비!$C$5:$C$100,'1.인건비_요약'!$D25)</f>
        <v>498670673.71251023</v>
      </c>
      <c r="O25" s="599">
        <f>SUMIFS(BL_인건비!BF$5:BF$100,BL_인건비!$B$5:$B$100,'1.인건비_요약'!$C25,BL_인건비!$C$5:$C$100,'1.인건비_요약'!$D25)</f>
        <v>511292407.45388657</v>
      </c>
      <c r="P25" s="599">
        <f>SUMIFS(BL_인건비!BG$5:BG$100,BL_인건비!$B$5:$B$100,'1.인건비_요약'!$C25,BL_인건비!$C$5:$C$100,'1.인건비_요약'!$D25)</f>
        <v>524233606.86877406</v>
      </c>
      <c r="Q25" s="599">
        <f>SUMIFS(BL_인건비!BH$5:BH$100,BL_인건비!$B$5:$B$100,'1.인건비_요약'!$C25,BL_인건비!$C$5:$C$100,'1.인건비_요약'!$D25)</f>
        <v>537502357.87616336</v>
      </c>
      <c r="R25" s="600">
        <f>SUMIFS(BL_인건비!BI$5:BI$100,BL_인건비!$B$5:$B$100,'1.인건비_요약'!$C25,BL_인건비!$C$5:$C$100,'1.인건비_요약'!$D25)</f>
        <v>0</v>
      </c>
    </row>
    <row r="26" spans="1:18" ht="17.399999999999999" customHeight="1">
      <c r="C26" s="589" t="s">
        <v>1448</v>
      </c>
      <c r="D26" s="590" t="s">
        <v>1445</v>
      </c>
      <c r="E26" s="590"/>
      <c r="F26" s="590"/>
      <c r="G26" s="598">
        <f t="shared" si="25"/>
        <v>24627936708.774689</v>
      </c>
      <c r="H26" s="599">
        <f>SUMIFS(BL_인건비!AY$5:AY$100,BL_인건비!$B$5:$B$100,'1.인건비_요약'!$C26,BL_인건비!$C$5:$C$100,'1.인건비_요약'!$D26)</f>
        <v>1683866132.4484291</v>
      </c>
      <c r="I26" s="599">
        <f>SUMIFS(BL_인건비!AZ$5:AZ$100,BL_인건비!$B$5:$B$100,'1.인건비_요약'!$C26,BL_인건비!$C$5:$C$100,'1.인건비_요약'!$D26)</f>
        <v>2301981418.6652722</v>
      </c>
      <c r="J26" s="599">
        <f>SUMIFS(BL_인건비!BA$5:BA$100,BL_인건비!$B$5:$B$100,'1.인건비_요약'!$C26,BL_인건비!$C$5:$C$100,'1.인건비_요약'!$D26)</f>
        <v>2360246317.8775711</v>
      </c>
      <c r="K26" s="599">
        <f>SUMIFS(BL_인건비!BB$5:BB$100,BL_인건비!$B$5:$B$100,'1.인건비_요약'!$C26,BL_인건비!$C$5:$C$100,'1.인건비_요약'!$D26)</f>
        <v>2419985945.9702501</v>
      </c>
      <c r="L26" s="599">
        <f>SUMIFS(BL_인건비!BC$5:BC$100,BL_인건비!$B$5:$B$100,'1.인건비_요약'!$C26,BL_인건비!$C$5:$C$100,'1.인건비_요약'!$D26)</f>
        <v>2481237629.4520783</v>
      </c>
      <c r="M26" s="599">
        <f>SUMIFS(BL_인건비!BD$5:BD$100,BL_인건비!$B$5:$B$100,'1.인건비_요약'!$C26,BL_인건비!$C$5:$C$100,'1.인건비_요약'!$D26)</f>
        <v>2544039639.5941124</v>
      </c>
      <c r="N26" s="599">
        <f>SUMIFS(BL_인건비!BE$5:BE$100,BL_인건비!$B$5:$B$100,'1.인건비_요약'!$C26,BL_인건비!$C$5:$C$100,'1.인건비_요약'!$D26)</f>
        <v>2608431216.3423605</v>
      </c>
      <c r="O26" s="599">
        <f>SUMIFS(BL_인건비!BF$5:BF$100,BL_인건비!$B$5:$B$100,'1.인건비_요약'!$C26,BL_인건비!$C$5:$C$100,'1.인건비_요약'!$D26)</f>
        <v>2674452592.8357148</v>
      </c>
      <c r="P26" s="599">
        <f>SUMIFS(BL_인건비!BG$5:BG$100,BL_인건비!$B$5:$B$100,'1.인건비_요약'!$C26,BL_인건비!$C$5:$C$100,'1.인건비_요약'!$D26)</f>
        <v>2742145020.5443583</v>
      </c>
      <c r="Q26" s="599">
        <f>SUMIFS(BL_인건비!BH$5:BH$100,BL_인건비!$B$5:$B$100,'1.인건비_요약'!$C26,BL_인건비!$C$5:$C$100,'1.인건비_요약'!$D26)</f>
        <v>2811550795.0445461</v>
      </c>
      <c r="R26" s="600">
        <f>SUMIFS(BL_인건비!BI$5:BI$100,BL_인건비!$B$5:$B$100,'1.인건비_요약'!$C26,BL_인건비!$C$5:$C$100,'1.인건비_요약'!$D26)</f>
        <v>0</v>
      </c>
    </row>
    <row r="27" spans="1:18" s="40" customFormat="1" ht="17.399999999999999" customHeight="1">
      <c r="A27" s="553"/>
      <c r="C27" s="591" t="s">
        <v>1516</v>
      </c>
      <c r="D27" s="592"/>
      <c r="E27" s="592"/>
      <c r="F27" s="592"/>
      <c r="G27" s="601">
        <f>SUM(G25:G26)</f>
        <v>29311455989.386784</v>
      </c>
      <c r="H27" s="602">
        <f t="shared" ref="H27" si="48">SUM(H25:H26)</f>
        <v>1981018979.3510928</v>
      </c>
      <c r="I27" s="602">
        <f t="shared" ref="I27" si="49">SUM(I25:I26)</f>
        <v>2742066101.6453981</v>
      </c>
      <c r="J27" s="602">
        <f t="shared" ref="J27" si="50">SUM(J25:J26)</f>
        <v>2811469878.648283</v>
      </c>
      <c r="K27" s="602">
        <f t="shared" ref="K27" si="51">SUM(K25:K26)</f>
        <v>2882630317.9939747</v>
      </c>
      <c r="L27" s="602">
        <f t="shared" ref="L27" si="52">SUM(L25:L26)</f>
        <v>2955591882.1414461</v>
      </c>
      <c r="M27" s="602">
        <f t="shared" ref="M27" si="53">SUM(M25:M26)</f>
        <v>3030400158.9282808</v>
      </c>
      <c r="N27" s="602">
        <f t="shared" ref="N27" si="54">SUM(N25:N26)</f>
        <v>3107101890.0548706</v>
      </c>
      <c r="O27" s="602">
        <f t="shared" ref="O27" si="55">SUM(O25:O26)</f>
        <v>3185745000.2896013</v>
      </c>
      <c r="P27" s="602">
        <f t="shared" ref="P27" si="56">SUM(P25:P26)</f>
        <v>3266378627.4131322</v>
      </c>
      <c r="Q27" s="602">
        <f t="shared" ref="Q27" si="57">SUM(Q25:Q26)</f>
        <v>3349053152.9207096</v>
      </c>
      <c r="R27" s="603">
        <f t="shared" ref="R27" si="58">SUM(R25:R26)</f>
        <v>0</v>
      </c>
    </row>
    <row r="28" spans="1:18" ht="17.399999999999999" customHeight="1">
      <c r="C28" s="604" t="s">
        <v>1519</v>
      </c>
      <c r="D28" s="484"/>
      <c r="E28" s="484"/>
      <c r="F28" s="593"/>
      <c r="G28" s="605">
        <f>SUM(G27,G24,G21)</f>
        <v>73548061397.54686</v>
      </c>
      <c r="H28" s="605">
        <f t="shared" ref="H28:R28" si="59">SUM(H27,H24,H21)</f>
        <v>5113044945.1362686</v>
      </c>
      <c r="I28" s="605">
        <f t="shared" si="59"/>
        <v>6866093605.1185083</v>
      </c>
      <c r="J28" s="605">
        <f t="shared" si="59"/>
        <v>7039879652.4951992</v>
      </c>
      <c r="K28" s="605">
        <f t="shared" si="59"/>
        <v>7218064356.8083849</v>
      </c>
      <c r="L28" s="605">
        <f t="shared" si="59"/>
        <v>7400759051.4081192</v>
      </c>
      <c r="M28" s="605">
        <f t="shared" si="59"/>
        <v>7588077887.5761423</v>
      </c>
      <c r="N28" s="605">
        <f t="shared" si="59"/>
        <v>7780137905.8498821</v>
      </c>
      <c r="O28" s="605">
        <f t="shared" si="59"/>
        <v>7977059109.1517563</v>
      </c>
      <c r="P28" s="605">
        <f t="shared" si="59"/>
        <v>8178964537.769311</v>
      </c>
      <c r="Q28" s="605">
        <f t="shared" si="59"/>
        <v>8385980346.2332954</v>
      </c>
      <c r="R28" s="606">
        <f t="shared" si="59"/>
        <v>0</v>
      </c>
    </row>
    <row r="29" spans="1:18" ht="17.399999999999999" customHeight="1">
      <c r="C29" s="607" t="s">
        <v>1443</v>
      </c>
      <c r="D29" s="608" t="s">
        <v>1507</v>
      </c>
      <c r="E29" s="608"/>
      <c r="F29" s="608"/>
      <c r="G29" s="609">
        <f>SUM(H29:R29)</f>
        <v>0</v>
      </c>
      <c r="H29" s="609">
        <f>SUMIFS(BL_인건비!AY$5:AY$100,BL_인건비!$B$5:$B$100,'1.인건비_요약'!$C29,BL_인건비!$C$5:$C$100,'1.인건비_요약'!$D29)</f>
        <v>0</v>
      </c>
      <c r="I29" s="609">
        <f>SUMIFS(BL_인건비!AZ$5:AZ$100,BL_인건비!$B$5:$B$100,'1.인건비_요약'!$C29,BL_인건비!$C$5:$C$100,'1.인건비_요약'!$D29)</f>
        <v>0</v>
      </c>
      <c r="J29" s="609">
        <f>SUMIFS(BL_인건비!BA$5:BA$100,BL_인건비!$B$5:$B$100,'1.인건비_요약'!$C29,BL_인건비!$C$5:$C$100,'1.인건비_요약'!$D29)</f>
        <v>0</v>
      </c>
      <c r="K29" s="609">
        <f>SUMIFS(BL_인건비!BB$5:BB$100,BL_인건비!$B$5:$B$100,'1.인건비_요약'!$C29,BL_인건비!$C$5:$C$100,'1.인건비_요약'!$D29)</f>
        <v>0</v>
      </c>
      <c r="L29" s="609">
        <f>SUMIFS(BL_인건비!BC$5:BC$100,BL_인건비!$B$5:$B$100,'1.인건비_요약'!$C29,BL_인건비!$C$5:$C$100,'1.인건비_요약'!$D29)</f>
        <v>0</v>
      </c>
      <c r="M29" s="609">
        <f>SUMIFS(BL_인건비!BD$5:BD$100,BL_인건비!$B$5:$B$100,'1.인건비_요약'!$C29,BL_인건비!$C$5:$C$100,'1.인건비_요약'!$D29)</f>
        <v>0</v>
      </c>
      <c r="N29" s="609">
        <f>SUMIFS(BL_인건비!BE$5:BE$100,BL_인건비!$B$5:$B$100,'1.인건비_요약'!$C29,BL_인건비!$C$5:$C$100,'1.인건비_요약'!$D29)</f>
        <v>0</v>
      </c>
      <c r="O29" s="609">
        <f>SUMIFS(BL_인건비!BF$5:BF$100,BL_인건비!$B$5:$B$100,'1.인건비_요약'!$C29,BL_인건비!$C$5:$C$100,'1.인건비_요약'!$D29)</f>
        <v>0</v>
      </c>
      <c r="P29" s="609">
        <f>SUMIFS(BL_인건비!BG$5:BG$100,BL_인건비!$B$5:$B$100,'1.인건비_요약'!$C29,BL_인건비!$C$5:$C$100,'1.인건비_요약'!$D29)</f>
        <v>0</v>
      </c>
      <c r="Q29" s="609">
        <f>SUMIFS(BL_인건비!BH$5:BH$100,BL_인건비!$B$5:$B$100,'1.인건비_요약'!$C29,BL_인건비!$C$5:$C$100,'1.인건비_요약'!$D29)</f>
        <v>0</v>
      </c>
      <c r="R29" s="610">
        <f>SUMIFS(BL_인건비!BI$5:BI$100,BL_인건비!$B$5:$B$100,'1.인건비_요약'!$C29,BL_인건비!$C$5:$C$100,'1.인건비_요약'!$D29)</f>
        <v>0</v>
      </c>
    </row>
    <row r="30" spans="1:18" ht="17.399999999999999" customHeight="1">
      <c r="C30" s="607" t="s">
        <v>1446</v>
      </c>
      <c r="D30" s="608" t="s">
        <v>1507</v>
      </c>
      <c r="E30" s="608"/>
      <c r="F30" s="608"/>
      <c r="G30" s="611">
        <f>SUM(H30:R30)</f>
        <v>1751872500</v>
      </c>
      <c r="H30" s="609">
        <f>SUMIFS(BL_인건비!AY$5:AY$100,BL_인건비!$B$5:$B$100,'1.인건비_요약'!$C30,BL_인건비!$C$5:$C$100,'1.인건비_요약'!$D30)</f>
        <v>124582500</v>
      </c>
      <c r="I30" s="609">
        <f>SUMIFS(BL_인건비!AZ$5:AZ$100,BL_인건비!$B$5:$B$100,'1.인건비_요약'!$C30,BL_인건비!$C$5:$C$100,'1.인건비_요약'!$D30)</f>
        <v>180810000</v>
      </c>
      <c r="J30" s="609">
        <f>SUMIFS(BL_인건비!BA$5:BA$100,BL_인건비!$B$5:$B$100,'1.인건비_요약'!$C30,BL_인건비!$C$5:$C$100,'1.인건비_요약'!$D30)</f>
        <v>180810000</v>
      </c>
      <c r="K30" s="609">
        <f>SUMIFS(BL_인건비!BB$5:BB$100,BL_인건비!$B$5:$B$100,'1.인건비_요약'!$C30,BL_인건비!$C$5:$C$100,'1.인건비_요약'!$D30)</f>
        <v>180810000</v>
      </c>
      <c r="L30" s="609">
        <f>SUMIFS(BL_인건비!BC$5:BC$100,BL_인건비!$B$5:$B$100,'1.인건비_요약'!$C30,BL_인건비!$C$5:$C$100,'1.인건비_요약'!$D30)</f>
        <v>180810000</v>
      </c>
      <c r="M30" s="609">
        <f>SUMIFS(BL_인건비!BD$5:BD$100,BL_인건비!$B$5:$B$100,'1.인건비_요약'!$C30,BL_인건비!$C$5:$C$100,'1.인건비_요약'!$D30)</f>
        <v>180810000</v>
      </c>
      <c r="N30" s="609">
        <f>SUMIFS(BL_인건비!BE$5:BE$100,BL_인건비!$B$5:$B$100,'1.인건비_요약'!$C30,BL_인건비!$C$5:$C$100,'1.인건비_요약'!$D30)</f>
        <v>180810000</v>
      </c>
      <c r="O30" s="609">
        <f>SUMIFS(BL_인건비!BF$5:BF$100,BL_인건비!$B$5:$B$100,'1.인건비_요약'!$C30,BL_인건비!$C$5:$C$100,'1.인건비_요약'!$D30)</f>
        <v>180810000</v>
      </c>
      <c r="P30" s="609">
        <f>SUMIFS(BL_인건비!BG$5:BG$100,BL_인건비!$B$5:$B$100,'1.인건비_요약'!$C30,BL_인건비!$C$5:$C$100,'1.인건비_요약'!$D30)</f>
        <v>180810000</v>
      </c>
      <c r="Q30" s="609">
        <f>SUMIFS(BL_인건비!BH$5:BH$100,BL_인건비!$B$5:$B$100,'1.인건비_요약'!$C30,BL_인건비!$C$5:$C$100,'1.인건비_요약'!$D30)</f>
        <v>180810000</v>
      </c>
      <c r="R30" s="610">
        <f>SUMIFS(BL_인건비!BI$5:BI$100,BL_인건비!$B$5:$B$100,'1.인건비_요약'!$C30,BL_인건비!$C$5:$C$100,'1.인건비_요약'!$D30)</f>
        <v>0</v>
      </c>
    </row>
    <row r="31" spans="1:18" ht="17.399999999999999" customHeight="1" thickBot="1">
      <c r="C31" s="612" t="s">
        <v>1508</v>
      </c>
      <c r="D31" s="613" t="s">
        <v>1509</v>
      </c>
      <c r="E31" s="613"/>
      <c r="F31" s="613"/>
      <c r="G31" s="614">
        <f>SUM(H31:R31)</f>
        <v>2136645000</v>
      </c>
      <c r="H31" s="615">
        <f>SUMIFS(BL_인건비!AY$5:AY$100,BL_인건비!$B$5:$B$100,'1.인건비_요약'!$C31,BL_인건비!$C$5:$C$100,'1.인건비_요약'!$D31)</f>
        <v>168682500</v>
      </c>
      <c r="I31" s="615">
        <f>SUMIFS(BL_인건비!AZ$5:AZ$100,BL_인건비!$B$5:$B$100,'1.인건비_요약'!$C31,BL_인건비!$C$5:$C$100,'1.인건비_요약'!$D31)</f>
        <v>224910000</v>
      </c>
      <c r="J31" s="615">
        <f>SUMIFS(BL_인건비!BA$5:BA$100,BL_인건비!$B$5:$B$100,'1.인건비_요약'!$C31,BL_인건비!$C$5:$C$100,'1.인건비_요약'!$D31)</f>
        <v>224910000</v>
      </c>
      <c r="K31" s="615">
        <f>SUMIFS(BL_인건비!BB$5:BB$100,BL_인건비!$B$5:$B$100,'1.인건비_요약'!$C31,BL_인건비!$C$5:$C$100,'1.인건비_요약'!$D31)</f>
        <v>224910000</v>
      </c>
      <c r="L31" s="615">
        <f>SUMIFS(BL_인건비!BC$5:BC$100,BL_인건비!$B$5:$B$100,'1.인건비_요약'!$C31,BL_인건비!$C$5:$C$100,'1.인건비_요약'!$D31)</f>
        <v>224910000</v>
      </c>
      <c r="M31" s="615">
        <f>SUMIFS(BL_인건비!BD$5:BD$100,BL_인건비!$B$5:$B$100,'1.인건비_요약'!$C31,BL_인건비!$C$5:$C$100,'1.인건비_요약'!$D31)</f>
        <v>224910000</v>
      </c>
      <c r="N31" s="615">
        <f>SUMIFS(BL_인건비!BE$5:BE$100,BL_인건비!$B$5:$B$100,'1.인건비_요약'!$C31,BL_인건비!$C$5:$C$100,'1.인건비_요약'!$D31)</f>
        <v>224910000</v>
      </c>
      <c r="O31" s="615">
        <f>SUMIFS(BL_인건비!BF$5:BF$100,BL_인건비!$B$5:$B$100,'1.인건비_요약'!$C31,BL_인건비!$C$5:$C$100,'1.인건비_요약'!$D31)</f>
        <v>224910000</v>
      </c>
      <c r="P31" s="615">
        <f>SUMIFS(BL_인건비!BG$5:BG$100,BL_인건비!$B$5:$B$100,'1.인건비_요약'!$C31,BL_인건비!$C$5:$C$100,'1.인건비_요약'!$D31)</f>
        <v>224910000</v>
      </c>
      <c r="Q31" s="615">
        <f>SUMIFS(BL_인건비!BH$5:BH$100,BL_인건비!$B$5:$B$100,'1.인건비_요약'!$C31,BL_인건비!$C$5:$C$100,'1.인건비_요약'!$D31)</f>
        <v>168682500</v>
      </c>
      <c r="R31" s="616">
        <f>SUMIFS(BL_인건비!BI$5:BI$100,BL_인건비!$B$5:$B$100,'1.인건비_요약'!$C31,BL_인건비!$C$5:$C$100,'1.인건비_요약'!$D31)</f>
        <v>0</v>
      </c>
    </row>
    <row r="33" spans="1:37" ht="17.399999999999999" customHeight="1" thickBot="1">
      <c r="C33" s="40" t="s">
        <v>1485</v>
      </c>
      <c r="H33" s="546"/>
      <c r="I33" s="546"/>
      <c r="J33" s="546"/>
      <c r="K33" s="546"/>
      <c r="L33" s="546"/>
      <c r="M33" s="546"/>
      <c r="N33" s="546"/>
      <c r="O33" s="546"/>
      <c r="P33" s="546"/>
      <c r="Q33" s="546"/>
      <c r="R33" s="546"/>
      <c r="S33" s="547"/>
    </row>
    <row r="34" spans="1:37" ht="17.399999999999999" customHeight="1">
      <c r="C34" s="474" t="s">
        <v>1</v>
      </c>
      <c r="D34" s="475" t="s">
        <v>179</v>
      </c>
      <c r="E34" s="475"/>
      <c r="F34" s="475"/>
      <c r="G34" s="475" t="s">
        <v>231</v>
      </c>
      <c r="H34" s="475" t="s">
        <v>41</v>
      </c>
      <c r="I34" s="475" t="s">
        <v>232</v>
      </c>
      <c r="J34" s="475" t="s">
        <v>233</v>
      </c>
      <c r="K34" s="475" t="s">
        <v>234</v>
      </c>
      <c r="L34" s="475" t="s">
        <v>235</v>
      </c>
      <c r="M34" s="475" t="s">
        <v>236</v>
      </c>
      <c r="N34" s="475" t="s">
        <v>237</v>
      </c>
      <c r="O34" s="475" t="s">
        <v>238</v>
      </c>
      <c r="P34" s="475" t="s">
        <v>239</v>
      </c>
      <c r="Q34" s="475" t="s">
        <v>240</v>
      </c>
      <c r="R34" s="476" t="s">
        <v>172</v>
      </c>
      <c r="V34" s="2" t="s">
        <v>1531</v>
      </c>
    </row>
    <row r="35" spans="1:37" ht="17.399999999999999" customHeight="1">
      <c r="C35" s="589" t="s">
        <v>1443</v>
      </c>
      <c r="D35" s="590" t="s">
        <v>1444</v>
      </c>
      <c r="E35" s="590"/>
      <c r="F35" s="590"/>
      <c r="G35" s="598">
        <f>AVERAGE(H35:Q35)</f>
        <v>10</v>
      </c>
      <c r="H35" s="599">
        <f>SUMIFS(CS_인건비!M$5:M$100,CS_인건비!$B$5:$B$100,'1.인건비_요약'!$C35,CS_인건비!$C$5:$C$100,'1.인건비_요약'!$D35)</f>
        <v>10</v>
      </c>
      <c r="I35" s="599">
        <f>SUMIFS(CS_인건비!N$5:N$100,CS_인건비!$B$5:$B$100,'1.인건비_요약'!$C35,CS_인건비!$C$5:$C$100,'1.인건비_요약'!$D35)</f>
        <v>10</v>
      </c>
      <c r="J35" s="599">
        <f>SUMIFS(CS_인건비!O$5:O$100,CS_인건비!$B$5:$B$100,'1.인건비_요약'!$C35,CS_인건비!$C$5:$C$100,'1.인건비_요약'!$D35)</f>
        <v>10</v>
      </c>
      <c r="K35" s="599">
        <f>SUMIFS(CS_인건비!P$5:P$100,CS_인건비!$B$5:$B$100,'1.인건비_요약'!$C35,CS_인건비!$C$5:$C$100,'1.인건비_요약'!$D35)</f>
        <v>10</v>
      </c>
      <c r="L35" s="599">
        <f>SUMIFS(CS_인건비!Q$5:Q$100,CS_인건비!$B$5:$B$100,'1.인건비_요약'!$C35,CS_인건비!$C$5:$C$100,'1.인건비_요약'!$D35)</f>
        <v>10</v>
      </c>
      <c r="M35" s="599">
        <f>SUMIFS(CS_인건비!R$5:R$100,CS_인건비!$B$5:$B$100,'1.인건비_요약'!$C35,CS_인건비!$C$5:$C$100,'1.인건비_요약'!$D35)</f>
        <v>10</v>
      </c>
      <c r="N35" s="599">
        <f>SUMIFS(CS_인건비!S$5:S$100,CS_인건비!$B$5:$B$100,'1.인건비_요약'!$C35,CS_인건비!$C$5:$C$100,'1.인건비_요약'!$D35)</f>
        <v>10</v>
      </c>
      <c r="O35" s="599">
        <f>SUMIFS(CS_인건비!T$5:T$100,CS_인건비!$B$5:$B$100,'1.인건비_요약'!$C35,CS_인건비!$C$5:$C$100,'1.인건비_요약'!$D35)</f>
        <v>10</v>
      </c>
      <c r="P35" s="599">
        <f>SUMIFS(CS_인건비!U$5:U$100,CS_인건비!$B$5:$B$100,'1.인건비_요약'!$C35,CS_인건비!$C$5:$C$100,'1.인건비_요약'!$D35)</f>
        <v>10</v>
      </c>
      <c r="Q35" s="599">
        <f>SUMIFS(CS_인건비!V$5:V$100,CS_인건비!$B$5:$B$100,'1.인건비_요약'!$C35,CS_인건비!$C$5:$C$100,'1.인건비_요약'!$D35)</f>
        <v>10</v>
      </c>
      <c r="R35" s="600">
        <f>SUMIFS(CS_인건비!W$5:W$100,CS_인건비!$B$5:$B$100,'1.인건비_요약'!$C35,CS_인건비!$C$5:$C$100,'1.인건비_요약'!$D35)</f>
        <v>0</v>
      </c>
      <c r="V35" s="79" t="s">
        <v>1532</v>
      </c>
      <c r="W35" s="79"/>
      <c r="X35" s="79"/>
      <c r="Y35" s="79"/>
      <c r="Z35" s="79" t="s">
        <v>1533</v>
      </c>
      <c r="AA35" s="79" t="s">
        <v>1534</v>
      </c>
      <c r="AB35" s="79" t="s">
        <v>232</v>
      </c>
      <c r="AC35" s="79" t="s">
        <v>233</v>
      </c>
      <c r="AD35" s="79" t="s">
        <v>234</v>
      </c>
      <c r="AE35" s="79" t="s">
        <v>235</v>
      </c>
      <c r="AF35" s="79" t="s">
        <v>236</v>
      </c>
      <c r="AG35" s="79" t="s">
        <v>237</v>
      </c>
      <c r="AH35" s="79" t="s">
        <v>238</v>
      </c>
      <c r="AI35" s="79" t="s">
        <v>239</v>
      </c>
      <c r="AJ35" s="79" t="s">
        <v>240</v>
      </c>
      <c r="AK35" s="79" t="s">
        <v>172</v>
      </c>
    </row>
    <row r="36" spans="1:37" ht="17.399999999999999" customHeight="1">
      <c r="C36" s="589" t="s">
        <v>1443</v>
      </c>
      <c r="D36" s="590" t="s">
        <v>1445</v>
      </c>
      <c r="E36" s="590"/>
      <c r="F36" s="590"/>
      <c r="G36" s="598">
        <f t="shared" ref="G36:G44" si="60">AVERAGE(H36:Q36)</f>
        <v>47</v>
      </c>
      <c r="H36" s="599">
        <f>SUMIFS(CS_인건비!M$5:M$100,CS_인건비!$B$5:$B$100,'1.인건비_요약'!$C36,CS_인건비!$C$5:$C$100,'1.인건비_요약'!$D36)</f>
        <v>47</v>
      </c>
      <c r="I36" s="599">
        <f>SUMIFS(CS_인건비!N$5:N$100,CS_인건비!$B$5:$B$100,'1.인건비_요약'!$C36,CS_인건비!$C$5:$C$100,'1.인건비_요약'!$D36)</f>
        <v>47</v>
      </c>
      <c r="J36" s="599">
        <f>SUMIFS(CS_인건비!O$5:O$100,CS_인건비!$B$5:$B$100,'1.인건비_요약'!$C36,CS_인건비!$C$5:$C$100,'1.인건비_요약'!$D36)</f>
        <v>47</v>
      </c>
      <c r="K36" s="599">
        <f>SUMIFS(CS_인건비!P$5:P$100,CS_인건비!$B$5:$B$100,'1.인건비_요약'!$C36,CS_인건비!$C$5:$C$100,'1.인건비_요약'!$D36)</f>
        <v>47</v>
      </c>
      <c r="L36" s="599">
        <f>SUMIFS(CS_인건비!Q$5:Q$100,CS_인건비!$B$5:$B$100,'1.인건비_요약'!$C36,CS_인건비!$C$5:$C$100,'1.인건비_요약'!$D36)</f>
        <v>47</v>
      </c>
      <c r="M36" s="599">
        <f>SUMIFS(CS_인건비!R$5:R$100,CS_인건비!$B$5:$B$100,'1.인건비_요약'!$C36,CS_인건비!$C$5:$C$100,'1.인건비_요약'!$D36)</f>
        <v>47</v>
      </c>
      <c r="N36" s="599">
        <f>SUMIFS(CS_인건비!S$5:S$100,CS_인건비!$B$5:$B$100,'1.인건비_요약'!$C36,CS_인건비!$C$5:$C$100,'1.인건비_요약'!$D36)</f>
        <v>47</v>
      </c>
      <c r="O36" s="599">
        <f>SUMIFS(CS_인건비!T$5:T$100,CS_인건비!$B$5:$B$100,'1.인건비_요약'!$C36,CS_인건비!$C$5:$C$100,'1.인건비_요약'!$D36)</f>
        <v>47</v>
      </c>
      <c r="P36" s="599">
        <f>SUMIFS(CS_인건비!U$5:U$100,CS_인건비!$B$5:$B$100,'1.인건비_요약'!$C36,CS_인건비!$C$5:$C$100,'1.인건비_요약'!$D36)</f>
        <v>47</v>
      </c>
      <c r="Q36" s="599">
        <f>SUMIFS(CS_인건비!V$5:V$100,CS_인건비!$B$5:$B$100,'1.인건비_요약'!$C36,CS_인건비!$C$5:$C$100,'1.인건비_요약'!$D36)</f>
        <v>47</v>
      </c>
      <c r="R36" s="600">
        <f>SUMIFS(CS_인건비!W$5:W$100,CS_인건비!$B$5:$B$100,'1.인건비_요약'!$C36,CS_인건비!$C$5:$C$100,'1.인건비_요약'!$D36)</f>
        <v>0</v>
      </c>
      <c r="V36" s="15" t="s">
        <v>1535</v>
      </c>
      <c r="W36" s="101"/>
      <c r="X36" s="15"/>
      <c r="Y36" s="15"/>
      <c r="Z36" s="15"/>
      <c r="AA36" s="15">
        <v>0</v>
      </c>
      <c r="AB36" s="15">
        <v>3.3299999999999996E-2</v>
      </c>
      <c r="AC36" s="15">
        <v>3.3299999999999996E-2</v>
      </c>
      <c r="AD36" s="15">
        <v>3.3299999999999996E-2</v>
      </c>
      <c r="AE36" s="15">
        <v>3.3299999999999996E-2</v>
      </c>
      <c r="AF36" s="15">
        <v>3.3299999999999996E-2</v>
      </c>
      <c r="AG36" s="15">
        <v>3.3299999999999996E-2</v>
      </c>
      <c r="AH36" s="15">
        <v>3.3299999999999996E-2</v>
      </c>
      <c r="AI36" s="15">
        <v>3.3299999999999996E-2</v>
      </c>
      <c r="AJ36" s="15">
        <v>3.3299999999999996E-2</v>
      </c>
      <c r="AK36" s="15">
        <v>3.3299999999999996E-2</v>
      </c>
    </row>
    <row r="37" spans="1:37" s="40" customFormat="1" ht="17.399999999999999" customHeight="1">
      <c r="A37" s="553"/>
      <c r="C37" s="591" t="s">
        <v>1517</v>
      </c>
      <c r="D37" s="592"/>
      <c r="E37" s="592"/>
      <c r="F37" s="592"/>
      <c r="G37" s="602">
        <f t="shared" si="60"/>
        <v>57</v>
      </c>
      <c r="H37" s="602">
        <f t="shared" ref="H37:R37" si="61">SUM(H35:H36)</f>
        <v>57</v>
      </c>
      <c r="I37" s="602">
        <f t="shared" si="61"/>
        <v>57</v>
      </c>
      <c r="J37" s="602">
        <f t="shared" si="61"/>
        <v>57</v>
      </c>
      <c r="K37" s="602">
        <f t="shared" si="61"/>
        <v>57</v>
      </c>
      <c r="L37" s="602">
        <f t="shared" si="61"/>
        <v>57</v>
      </c>
      <c r="M37" s="602">
        <f t="shared" si="61"/>
        <v>57</v>
      </c>
      <c r="N37" s="602">
        <f t="shared" si="61"/>
        <v>57</v>
      </c>
      <c r="O37" s="602">
        <f t="shared" si="61"/>
        <v>57</v>
      </c>
      <c r="P37" s="602">
        <f t="shared" si="61"/>
        <v>57</v>
      </c>
      <c r="Q37" s="602">
        <f t="shared" si="61"/>
        <v>57</v>
      </c>
      <c r="R37" s="603">
        <f t="shared" si="61"/>
        <v>0</v>
      </c>
      <c r="V37" s="15" t="s">
        <v>1536</v>
      </c>
      <c r="W37" s="101"/>
      <c r="X37" s="15"/>
      <c r="Y37" s="15"/>
      <c r="Z37" s="15"/>
      <c r="AA37" s="15">
        <v>0</v>
      </c>
      <c r="AB37" s="15">
        <v>3.5000000000000003E-2</v>
      </c>
      <c r="AC37" s="15">
        <v>3.5000000000000003E-2</v>
      </c>
      <c r="AD37" s="15">
        <v>3.5000000000000003E-2</v>
      </c>
      <c r="AE37" s="15">
        <v>3.5000000000000003E-2</v>
      </c>
      <c r="AF37" s="15">
        <v>3.5000000000000003E-2</v>
      </c>
      <c r="AG37" s="15">
        <v>3.5000000000000003E-2</v>
      </c>
      <c r="AH37" s="15">
        <v>3.5000000000000003E-2</v>
      </c>
      <c r="AI37" s="15">
        <v>3.5000000000000003E-2</v>
      </c>
      <c r="AJ37" s="15">
        <v>3.5000000000000003E-2</v>
      </c>
      <c r="AK37" s="15">
        <v>3.5000000000000003E-2</v>
      </c>
    </row>
    <row r="38" spans="1:37" ht="17.399999999999999" customHeight="1">
      <c r="C38" s="589" t="s">
        <v>1446</v>
      </c>
      <c r="D38" s="590" t="s">
        <v>1444</v>
      </c>
      <c r="E38" s="590"/>
      <c r="F38" s="590"/>
      <c r="G38" s="598">
        <f t="shared" si="60"/>
        <v>7.1749999999999998</v>
      </c>
      <c r="H38" s="599">
        <f>SUMIFS(CS_인건비!M$5:M$100,CS_인건비!$B$5:$B$100,'1.인건비_요약'!$C38,CS_인건비!$C$5:$C$100,'1.인건비_요약'!$D38)</f>
        <v>8.75</v>
      </c>
      <c r="I38" s="599">
        <f>SUMIFS(CS_인건비!N$5:N$100,CS_인건비!$B$5:$B$100,'1.인건비_요약'!$C38,CS_인건비!$C$5:$C$100,'1.인건비_요약'!$D38)</f>
        <v>7</v>
      </c>
      <c r="J38" s="599">
        <f>SUMIFS(CS_인건비!O$5:O$100,CS_인건비!$B$5:$B$100,'1.인건비_요약'!$C38,CS_인건비!$C$5:$C$100,'1.인건비_요약'!$D38)</f>
        <v>7</v>
      </c>
      <c r="K38" s="599">
        <f>SUMIFS(CS_인건비!P$5:P$100,CS_인건비!$B$5:$B$100,'1.인건비_요약'!$C38,CS_인건비!$C$5:$C$100,'1.인건비_요약'!$D38)</f>
        <v>7</v>
      </c>
      <c r="L38" s="599">
        <f>SUMIFS(CS_인건비!Q$5:Q$100,CS_인건비!$B$5:$B$100,'1.인건비_요약'!$C38,CS_인건비!$C$5:$C$100,'1.인건비_요약'!$D38)</f>
        <v>7</v>
      </c>
      <c r="M38" s="599">
        <f>SUMIFS(CS_인건비!R$5:R$100,CS_인건비!$B$5:$B$100,'1.인건비_요약'!$C38,CS_인건비!$C$5:$C$100,'1.인건비_요약'!$D38)</f>
        <v>7</v>
      </c>
      <c r="N38" s="599">
        <f>SUMIFS(CS_인건비!S$5:S$100,CS_인건비!$B$5:$B$100,'1.인건비_요약'!$C38,CS_인건비!$C$5:$C$100,'1.인건비_요약'!$D38)</f>
        <v>7</v>
      </c>
      <c r="O38" s="599">
        <f>SUMIFS(CS_인건비!T$5:T$100,CS_인건비!$B$5:$B$100,'1.인건비_요약'!$C38,CS_인건비!$C$5:$C$100,'1.인건비_요약'!$D38)</f>
        <v>7</v>
      </c>
      <c r="P38" s="599">
        <f>SUMIFS(CS_인건비!U$5:U$100,CS_인건비!$B$5:$B$100,'1.인건비_요약'!$C38,CS_인건비!$C$5:$C$100,'1.인건비_요약'!$D38)</f>
        <v>7</v>
      </c>
      <c r="Q38" s="599">
        <f>SUMIFS(CS_인건비!V$5:V$100,CS_인건비!$B$5:$B$100,'1.인건비_요약'!$C38,CS_인건비!$C$5:$C$100,'1.인건비_요약'!$D38)</f>
        <v>7</v>
      </c>
      <c r="R38" s="600">
        <f>SUMIFS(CS_인건비!W$5:W$100,CS_인건비!$B$5:$B$100,'1.인건비_요약'!$C38,CS_인건비!$C$5:$C$100,'1.인건비_요약'!$D38)</f>
        <v>0</v>
      </c>
      <c r="V38" s="15" t="s">
        <v>1537</v>
      </c>
      <c r="W38" s="101"/>
      <c r="X38" s="15"/>
      <c r="Y38" s="15"/>
      <c r="Z38" s="15"/>
      <c r="AA38" s="15">
        <v>0</v>
      </c>
      <c r="AB38" s="15">
        <v>0</v>
      </c>
      <c r="AC38" s="15">
        <v>0</v>
      </c>
      <c r="AD38" s="15">
        <v>8.5106382978723402E-2</v>
      </c>
      <c r="AE38" s="15">
        <v>8.5106382978723416E-2</v>
      </c>
      <c r="AF38" s="15">
        <v>8.5106382978723416E-2</v>
      </c>
      <c r="AG38" s="15">
        <v>8.5106382978723416E-2</v>
      </c>
      <c r="AH38" s="15">
        <v>8.5106382978723416E-2</v>
      </c>
      <c r="AI38" s="15">
        <v>8.5106382978723416E-2</v>
      </c>
      <c r="AJ38" s="15">
        <v>8.5106382978723416E-2</v>
      </c>
      <c r="AK38" s="15">
        <v>8.5106382978723416E-2</v>
      </c>
    </row>
    <row r="39" spans="1:37" ht="17.399999999999999" customHeight="1">
      <c r="C39" s="589" t="s">
        <v>1447</v>
      </c>
      <c r="D39" s="590" t="s">
        <v>1445</v>
      </c>
      <c r="E39" s="590"/>
      <c r="F39" s="590"/>
      <c r="G39" s="598">
        <f t="shared" si="60"/>
        <v>38.549999999999997</v>
      </c>
      <c r="H39" s="599">
        <f>SUMIFS(CS_인건비!M$5:M$100,CS_인건비!$B$5:$B$100,'1.인건비_요약'!$C39,CS_인건비!$C$5:$C$100,'1.인건비_요약'!$D39)</f>
        <v>25.5</v>
      </c>
      <c r="I39" s="599">
        <f>SUMIFS(CS_인건비!N$5:N$100,CS_인건비!$B$5:$B$100,'1.인건비_요약'!$C39,CS_인건비!$C$5:$C$100,'1.인건비_요약'!$D39)</f>
        <v>40</v>
      </c>
      <c r="J39" s="599">
        <f>SUMIFS(CS_인건비!O$5:O$100,CS_인건비!$B$5:$B$100,'1.인건비_요약'!$C39,CS_인건비!$C$5:$C$100,'1.인건비_요약'!$D39)</f>
        <v>40</v>
      </c>
      <c r="K39" s="599">
        <f>SUMIFS(CS_인건비!P$5:P$100,CS_인건비!$B$5:$B$100,'1.인건비_요약'!$C39,CS_인건비!$C$5:$C$100,'1.인건비_요약'!$D39)</f>
        <v>40</v>
      </c>
      <c r="L39" s="599">
        <f>SUMIFS(CS_인건비!Q$5:Q$100,CS_인건비!$B$5:$B$100,'1.인건비_요약'!$C39,CS_인건비!$C$5:$C$100,'1.인건비_요약'!$D39)</f>
        <v>40</v>
      </c>
      <c r="M39" s="599">
        <f>SUMIFS(CS_인건비!R$5:R$100,CS_인건비!$B$5:$B$100,'1.인건비_요약'!$C39,CS_인건비!$C$5:$C$100,'1.인건비_요약'!$D39)</f>
        <v>40</v>
      </c>
      <c r="N39" s="599">
        <f>SUMIFS(CS_인건비!S$5:S$100,CS_인건비!$B$5:$B$100,'1.인건비_요약'!$C39,CS_인건비!$C$5:$C$100,'1.인건비_요약'!$D39)</f>
        <v>40</v>
      </c>
      <c r="O39" s="599">
        <f>SUMIFS(CS_인건비!T$5:T$100,CS_인건비!$B$5:$B$100,'1.인건비_요약'!$C39,CS_인건비!$C$5:$C$100,'1.인건비_요약'!$D39)</f>
        <v>40</v>
      </c>
      <c r="P39" s="599">
        <f>SUMIFS(CS_인건비!U$5:U$100,CS_인건비!$B$5:$B$100,'1.인건비_요약'!$C39,CS_인건비!$C$5:$C$100,'1.인건비_요약'!$D39)</f>
        <v>40</v>
      </c>
      <c r="Q39" s="599">
        <f>SUMIFS(CS_인건비!V$5:V$100,CS_인건비!$B$5:$B$100,'1.인건비_요약'!$C39,CS_인건비!$C$5:$C$100,'1.인건비_요약'!$D39)</f>
        <v>40</v>
      </c>
      <c r="R39" s="600">
        <f>SUMIFS(CS_인건비!W$5:W$100,CS_인건비!$B$5:$B$100,'1.인건비_요약'!$C39,CS_인건비!$C$5:$C$100,'1.인건비_요약'!$D39)</f>
        <v>0</v>
      </c>
      <c r="V39" s="15"/>
      <c r="W39" s="101"/>
      <c r="X39" s="15"/>
      <c r="Y39" s="15"/>
      <c r="Z39" s="15"/>
      <c r="AA39" s="545">
        <f>SUM(AA36:AA38)</f>
        <v>0</v>
      </c>
      <c r="AB39" s="545">
        <f t="shared" ref="AB39:AK39" si="62">SUM(AB36:AB38)</f>
        <v>6.83E-2</v>
      </c>
      <c r="AC39" s="545">
        <f t="shared" si="62"/>
        <v>6.83E-2</v>
      </c>
      <c r="AD39" s="545">
        <f t="shared" si="62"/>
        <v>0.15340638297872339</v>
      </c>
      <c r="AE39" s="545">
        <f t="shared" si="62"/>
        <v>0.15340638297872342</v>
      </c>
      <c r="AF39" s="545">
        <f t="shared" si="62"/>
        <v>0.15340638297872342</v>
      </c>
      <c r="AG39" s="545">
        <f t="shared" si="62"/>
        <v>0.15340638297872342</v>
      </c>
      <c r="AH39" s="545">
        <f t="shared" si="62"/>
        <v>0.15340638297872342</v>
      </c>
      <c r="AI39" s="545">
        <f t="shared" si="62"/>
        <v>0.15340638297872342</v>
      </c>
      <c r="AJ39" s="545">
        <f t="shared" si="62"/>
        <v>0.15340638297872342</v>
      </c>
      <c r="AK39" s="545">
        <f t="shared" si="62"/>
        <v>0.15340638297872342</v>
      </c>
    </row>
    <row r="40" spans="1:37" s="40" customFormat="1" ht="17.399999999999999" customHeight="1">
      <c r="A40" s="553"/>
      <c r="C40" s="591" t="s">
        <v>1515</v>
      </c>
      <c r="D40" s="592"/>
      <c r="E40" s="592"/>
      <c r="F40" s="592"/>
      <c r="G40" s="602">
        <f t="shared" si="60"/>
        <v>45.725000000000001</v>
      </c>
      <c r="H40" s="602">
        <f t="shared" ref="H40" si="63">SUM(H38:H39)</f>
        <v>34.25</v>
      </c>
      <c r="I40" s="602">
        <f t="shared" ref="I40" si="64">SUM(I38:I39)</f>
        <v>47</v>
      </c>
      <c r="J40" s="602">
        <f t="shared" ref="J40" si="65">SUM(J38:J39)</f>
        <v>47</v>
      </c>
      <c r="K40" s="602">
        <f t="shared" ref="K40" si="66">SUM(K38:K39)</f>
        <v>47</v>
      </c>
      <c r="L40" s="602">
        <f t="shared" ref="L40" si="67">SUM(L38:L39)</f>
        <v>47</v>
      </c>
      <c r="M40" s="602">
        <f t="shared" ref="M40" si="68">SUM(M38:M39)</f>
        <v>47</v>
      </c>
      <c r="N40" s="602">
        <f t="shared" ref="N40" si="69">SUM(N38:N39)</f>
        <v>47</v>
      </c>
      <c r="O40" s="602">
        <f t="shared" ref="O40" si="70">SUM(O38:O39)</f>
        <v>47</v>
      </c>
      <c r="P40" s="602">
        <f t="shared" ref="P40" si="71">SUM(P38:P39)</f>
        <v>47</v>
      </c>
      <c r="Q40" s="602">
        <f t="shared" ref="Q40" si="72">SUM(Q38:Q39)</f>
        <v>47</v>
      </c>
      <c r="R40" s="603">
        <f t="shared" ref="R40" si="73">SUM(R38:R39)</f>
        <v>0</v>
      </c>
      <c r="V40" s="2"/>
      <c r="W40" s="2"/>
      <c r="X40" s="2"/>
      <c r="Y40" s="2"/>
      <c r="Z40" s="2"/>
      <c r="AA40" s="2"/>
      <c r="AB40" s="2"/>
      <c r="AC40" s="2"/>
      <c r="AD40" s="2"/>
      <c r="AE40" s="2"/>
      <c r="AF40" s="2"/>
      <c r="AG40" s="2"/>
      <c r="AH40" s="2"/>
      <c r="AI40" s="2"/>
      <c r="AJ40" s="2"/>
      <c r="AK40" s="2"/>
    </row>
    <row r="41" spans="1:37" ht="17.399999999999999" customHeight="1">
      <c r="C41" s="589" t="s">
        <v>1448</v>
      </c>
      <c r="D41" s="590" t="s">
        <v>1444</v>
      </c>
      <c r="E41" s="590"/>
      <c r="F41" s="590"/>
      <c r="G41" s="598">
        <f t="shared" si="60"/>
        <v>10.826972010178135</v>
      </c>
      <c r="H41" s="599">
        <f>SUMIFS(CS_인건비!M$5:M$100,CS_인건비!$B$5:$B$100,'1.인건비_요약'!$C41,CS_인건비!$C$5:$C$100,'1.인건비_요약'!$D41)</f>
        <v>10.826972010178126</v>
      </c>
      <c r="I41" s="599">
        <f>SUMIFS(CS_인건비!N$5:N$100,CS_인건비!$B$5:$B$100,'1.인건비_요약'!$C41,CS_인건비!$C$5:$C$100,'1.인건비_요약'!$D41)</f>
        <v>10.826972010178126</v>
      </c>
      <c r="J41" s="599">
        <f>SUMIFS(CS_인건비!O$5:O$100,CS_인건비!$B$5:$B$100,'1.인건비_요약'!$C41,CS_인건비!$C$5:$C$100,'1.인건비_요약'!$D41)</f>
        <v>10.826972010178133</v>
      </c>
      <c r="K41" s="599">
        <f>SUMIFS(CS_인건비!P$5:P$100,CS_인건비!$B$5:$B$100,'1.인건비_요약'!$C41,CS_인건비!$C$5:$C$100,'1.인건비_요약'!$D41)</f>
        <v>10.826972010178133</v>
      </c>
      <c r="L41" s="599">
        <f>SUMIFS(CS_인건비!Q$5:Q$100,CS_인건비!$B$5:$B$100,'1.인건비_요약'!$C41,CS_인건비!$C$5:$C$100,'1.인건비_요약'!$D41)</f>
        <v>10.826972010178133</v>
      </c>
      <c r="M41" s="599">
        <f>SUMIFS(CS_인건비!R$5:R$100,CS_인건비!$B$5:$B$100,'1.인건비_요약'!$C41,CS_인건비!$C$5:$C$100,'1.인건비_요약'!$D41)</f>
        <v>10.826972010178133</v>
      </c>
      <c r="N41" s="599">
        <f>SUMIFS(CS_인건비!S$5:S$100,CS_인건비!$B$5:$B$100,'1.인건비_요약'!$C41,CS_인건비!$C$5:$C$100,'1.인건비_요약'!$D41)</f>
        <v>10.826972010178133</v>
      </c>
      <c r="O41" s="599">
        <f>SUMIFS(CS_인건비!T$5:T$100,CS_인건비!$B$5:$B$100,'1.인건비_요약'!$C41,CS_인건비!$C$5:$C$100,'1.인건비_요약'!$D41)</f>
        <v>10.826972010178133</v>
      </c>
      <c r="P41" s="599">
        <f>SUMIFS(CS_인건비!U$5:U$100,CS_인건비!$B$5:$B$100,'1.인건비_요약'!$C41,CS_인건비!$C$5:$C$100,'1.인건비_요약'!$D41)</f>
        <v>10.826972010178133</v>
      </c>
      <c r="Q41" s="599">
        <f>SUMIFS(CS_인건비!V$5:V$100,CS_인건비!$B$5:$B$100,'1.인건비_요약'!$C41,CS_인건비!$C$5:$C$100,'1.인건비_요약'!$D41)</f>
        <v>10.826972010178133</v>
      </c>
      <c r="R41" s="600">
        <f>SUMIFS(CS_인건비!W$5:W$100,CS_인건비!$B$5:$B$100,'1.인건비_요약'!$C41,CS_인건비!$C$5:$C$100,'1.인건비_요약'!$D41)</f>
        <v>0</v>
      </c>
      <c r="V41" s="2" t="s">
        <v>1488</v>
      </c>
    </row>
    <row r="42" spans="1:37" ht="17.399999999999999" customHeight="1">
      <c r="C42" s="589" t="s">
        <v>1448</v>
      </c>
      <c r="D42" s="590" t="s">
        <v>1445</v>
      </c>
      <c r="E42" s="590"/>
      <c r="F42" s="590"/>
      <c r="G42" s="598">
        <f t="shared" si="60"/>
        <v>63.17302798982189</v>
      </c>
      <c r="H42" s="599">
        <f>SUMIFS(CS_인건비!M$5:M$100,CS_인건비!$B$5:$B$100,'1.인건비_요약'!$C42,CS_인건비!$C$5:$C$100,'1.인건비_요약'!$D42)</f>
        <v>63.173027989821939</v>
      </c>
      <c r="I42" s="599">
        <f>SUMIFS(CS_인건비!N$5:N$100,CS_인건비!$B$5:$B$100,'1.인건비_요약'!$C42,CS_인건비!$C$5:$C$100,'1.인건비_요약'!$D42)</f>
        <v>63.173027989821939</v>
      </c>
      <c r="J42" s="599">
        <f>SUMIFS(CS_인건비!O$5:O$100,CS_인건비!$B$5:$B$100,'1.인건비_요약'!$C42,CS_인건비!$C$5:$C$100,'1.인건비_요약'!$D42)</f>
        <v>63.173027989821882</v>
      </c>
      <c r="K42" s="599">
        <f>SUMIFS(CS_인건비!P$5:P$100,CS_인건비!$B$5:$B$100,'1.인건비_요약'!$C42,CS_인건비!$C$5:$C$100,'1.인건비_요약'!$D42)</f>
        <v>63.173027989821882</v>
      </c>
      <c r="L42" s="599">
        <f>SUMIFS(CS_인건비!Q$5:Q$100,CS_인건비!$B$5:$B$100,'1.인건비_요약'!$C42,CS_인건비!$C$5:$C$100,'1.인건비_요약'!$D42)</f>
        <v>63.173027989821882</v>
      </c>
      <c r="M42" s="599">
        <f>SUMIFS(CS_인건비!R$5:R$100,CS_인건비!$B$5:$B$100,'1.인건비_요약'!$C42,CS_인건비!$C$5:$C$100,'1.인건비_요약'!$D42)</f>
        <v>63.173027989821882</v>
      </c>
      <c r="N42" s="599">
        <f>SUMIFS(CS_인건비!S$5:S$100,CS_인건비!$B$5:$B$100,'1.인건비_요약'!$C42,CS_인건비!$C$5:$C$100,'1.인건비_요약'!$D42)</f>
        <v>63.173027989821882</v>
      </c>
      <c r="O42" s="599">
        <f>SUMIFS(CS_인건비!T$5:T$100,CS_인건비!$B$5:$B$100,'1.인건비_요약'!$C42,CS_인건비!$C$5:$C$100,'1.인건비_요약'!$D42)</f>
        <v>63.173027989821882</v>
      </c>
      <c r="P42" s="599">
        <f>SUMIFS(CS_인건비!U$5:U$100,CS_인건비!$B$5:$B$100,'1.인건비_요약'!$C42,CS_인건비!$C$5:$C$100,'1.인건비_요약'!$D42)</f>
        <v>63.173027989821882</v>
      </c>
      <c r="Q42" s="599">
        <f>SUMIFS(CS_인건비!V$5:V$100,CS_인건비!$B$5:$B$100,'1.인건비_요약'!$C42,CS_인건비!$C$5:$C$100,'1.인건비_요약'!$D42)</f>
        <v>63.173027989821882</v>
      </c>
      <c r="R42" s="600">
        <f>SUMIFS(CS_인건비!W$5:W$100,CS_인건비!$B$5:$B$100,'1.인건비_요약'!$C42,CS_인건비!$C$5:$C$100,'1.인건비_요약'!$D42)</f>
        <v>0</v>
      </c>
      <c r="V42" s="79" t="s">
        <v>1526</v>
      </c>
      <c r="W42" s="79"/>
      <c r="X42" s="79"/>
      <c r="Y42" s="79"/>
      <c r="Z42" s="79" t="s">
        <v>1525</v>
      </c>
      <c r="AA42" s="79" t="s">
        <v>41</v>
      </c>
      <c r="AB42" s="79" t="s">
        <v>232</v>
      </c>
      <c r="AC42" s="79" t="s">
        <v>233</v>
      </c>
      <c r="AD42" s="79" t="s">
        <v>234</v>
      </c>
      <c r="AE42" s="79" t="s">
        <v>235</v>
      </c>
      <c r="AF42" s="79" t="s">
        <v>236</v>
      </c>
      <c r="AG42" s="79" t="s">
        <v>237</v>
      </c>
      <c r="AH42" s="79" t="s">
        <v>238</v>
      </c>
      <c r="AI42" s="79" t="s">
        <v>239</v>
      </c>
      <c r="AJ42" s="79" t="s">
        <v>240</v>
      </c>
      <c r="AK42" s="79" t="s">
        <v>172</v>
      </c>
    </row>
    <row r="43" spans="1:37" s="40" customFormat="1" ht="17.399999999999999" customHeight="1">
      <c r="A43" s="553"/>
      <c r="C43" s="591" t="s">
        <v>1518</v>
      </c>
      <c r="D43" s="592"/>
      <c r="E43" s="592"/>
      <c r="F43" s="592"/>
      <c r="G43" s="602">
        <f t="shared" si="60"/>
        <v>74.000000000000028</v>
      </c>
      <c r="H43" s="602">
        <f t="shared" ref="H43" si="74">SUM(H41:H42)</f>
        <v>74.000000000000071</v>
      </c>
      <c r="I43" s="602">
        <f t="shared" ref="I43" si="75">SUM(I41:I42)</f>
        <v>74.000000000000071</v>
      </c>
      <c r="J43" s="602">
        <f t="shared" ref="J43" si="76">SUM(J41:J42)</f>
        <v>74.000000000000014</v>
      </c>
      <c r="K43" s="602">
        <f t="shared" ref="K43" si="77">SUM(K41:K42)</f>
        <v>74.000000000000014</v>
      </c>
      <c r="L43" s="602">
        <f t="shared" ref="L43" si="78">SUM(L41:L42)</f>
        <v>74.000000000000014</v>
      </c>
      <c r="M43" s="602">
        <f t="shared" ref="M43" si="79">SUM(M41:M42)</f>
        <v>74.000000000000014</v>
      </c>
      <c r="N43" s="602">
        <f t="shared" ref="N43" si="80">SUM(N41:N42)</f>
        <v>74.000000000000014</v>
      </c>
      <c r="O43" s="602">
        <f t="shared" ref="O43" si="81">SUM(O41:O42)</f>
        <v>74.000000000000014</v>
      </c>
      <c r="P43" s="602">
        <f t="shared" ref="P43" si="82">SUM(P41:P42)</f>
        <v>74.000000000000014</v>
      </c>
      <c r="Q43" s="602">
        <f t="shared" ref="Q43" si="83">SUM(Q41:Q42)</f>
        <v>74.000000000000014</v>
      </c>
      <c r="R43" s="603">
        <f t="shared" ref="R43" si="84">SUM(R41:R42)</f>
        <v>0</v>
      </c>
      <c r="V43" s="15" t="s">
        <v>223</v>
      </c>
      <c r="W43" s="101"/>
      <c r="X43" s="15"/>
      <c r="Y43" s="15"/>
      <c r="Z43" s="15"/>
      <c r="AA43" s="15">
        <v>0</v>
      </c>
      <c r="AB43" s="15">
        <v>3.3299999999999996E-2</v>
      </c>
      <c r="AC43" s="15">
        <v>3.3299999999999996E-2</v>
      </c>
      <c r="AD43" s="15">
        <v>3.3299999999999996E-2</v>
      </c>
      <c r="AE43" s="15">
        <v>3.3299999999999996E-2</v>
      </c>
      <c r="AF43" s="15">
        <v>3.3299999999999996E-2</v>
      </c>
      <c r="AG43" s="15">
        <v>3.3299999999999996E-2</v>
      </c>
      <c r="AH43" s="15">
        <v>3.3299999999999996E-2</v>
      </c>
      <c r="AI43" s="15">
        <v>3.3299999999999996E-2</v>
      </c>
      <c r="AJ43" s="15">
        <v>3.3299999999999996E-2</v>
      </c>
      <c r="AK43" s="15">
        <v>3.3299999999999996E-2</v>
      </c>
    </row>
    <row r="44" spans="1:37" ht="17.399999999999999" customHeight="1">
      <c r="C44" s="604" t="s">
        <v>1519</v>
      </c>
      <c r="D44" s="484"/>
      <c r="E44" s="484"/>
      <c r="F44" s="593"/>
      <c r="G44" s="605">
        <f t="shared" si="60"/>
        <v>176.72499999999999</v>
      </c>
      <c r="H44" s="605">
        <f t="shared" ref="H44:R44" si="85">SUM(H43,H40,H37)</f>
        <v>165.25000000000006</v>
      </c>
      <c r="I44" s="605">
        <f t="shared" si="85"/>
        <v>178.00000000000006</v>
      </c>
      <c r="J44" s="605">
        <f t="shared" si="85"/>
        <v>178</v>
      </c>
      <c r="K44" s="605">
        <f t="shared" si="85"/>
        <v>178</v>
      </c>
      <c r="L44" s="605">
        <f t="shared" si="85"/>
        <v>178</v>
      </c>
      <c r="M44" s="605">
        <f t="shared" si="85"/>
        <v>178</v>
      </c>
      <c r="N44" s="605">
        <f t="shared" si="85"/>
        <v>178</v>
      </c>
      <c r="O44" s="605">
        <f t="shared" si="85"/>
        <v>178</v>
      </c>
      <c r="P44" s="605">
        <f t="shared" si="85"/>
        <v>178</v>
      </c>
      <c r="Q44" s="605">
        <f t="shared" si="85"/>
        <v>178</v>
      </c>
      <c r="R44" s="606">
        <f t="shared" si="85"/>
        <v>0</v>
      </c>
      <c r="V44" s="15" t="s">
        <v>1530</v>
      </c>
      <c r="W44" s="101"/>
      <c r="X44" s="15"/>
      <c r="Y44" s="15"/>
      <c r="Z44" s="15"/>
      <c r="AA44" s="15">
        <v>0</v>
      </c>
      <c r="AB44" s="15">
        <v>3.5000000000000003E-2</v>
      </c>
      <c r="AC44" s="15">
        <v>3.5000000000000003E-2</v>
      </c>
      <c r="AD44" s="15">
        <v>3.5000000000000003E-2</v>
      </c>
      <c r="AE44" s="15">
        <v>3.5000000000000003E-2</v>
      </c>
      <c r="AF44" s="15">
        <v>3.5000000000000003E-2</v>
      </c>
      <c r="AG44" s="15">
        <v>3.5000000000000003E-2</v>
      </c>
      <c r="AH44" s="15">
        <v>3.5000000000000003E-2</v>
      </c>
      <c r="AI44" s="15">
        <v>3.5000000000000003E-2</v>
      </c>
      <c r="AJ44" s="15">
        <v>3.5000000000000003E-2</v>
      </c>
      <c r="AK44" s="15">
        <v>3.5000000000000003E-2</v>
      </c>
    </row>
    <row r="45" spans="1:37" ht="17.399999999999999" customHeight="1">
      <c r="C45" s="607" t="s">
        <v>157</v>
      </c>
      <c r="D45" s="608" t="s">
        <v>1510</v>
      </c>
      <c r="E45" s="608"/>
      <c r="F45" s="608"/>
      <c r="G45" s="609">
        <f>SUM(H45:R45)</f>
        <v>0</v>
      </c>
      <c r="H45" s="609">
        <f>SUMIFS(CS_인건비!M$5:M$100,CS_인건비!$B$5:$B$100,'1.인건비_요약'!$C45,CS_인건비!$C$5:$C$100,'1.인건비_요약'!$D45)</f>
        <v>0</v>
      </c>
      <c r="I45" s="609">
        <f>SUMIFS(CS_인건비!N$5:N$100,CS_인건비!$B$5:$B$100,'1.인건비_요약'!$C45,CS_인건비!$C$5:$C$100,'1.인건비_요약'!$D45)</f>
        <v>0</v>
      </c>
      <c r="J45" s="609">
        <f>SUMIFS(CS_인건비!O$5:O$100,CS_인건비!$B$5:$B$100,'1.인건비_요약'!$C45,CS_인건비!$C$5:$C$100,'1.인건비_요약'!$D45)</f>
        <v>0</v>
      </c>
      <c r="K45" s="609">
        <f>SUMIFS(CS_인건비!P$5:P$100,CS_인건비!$B$5:$B$100,'1.인건비_요약'!$C45,CS_인건비!$C$5:$C$100,'1.인건비_요약'!$D45)</f>
        <v>0</v>
      </c>
      <c r="L45" s="609">
        <f>SUMIFS(CS_인건비!Q$5:Q$100,CS_인건비!$B$5:$B$100,'1.인건비_요약'!$C45,CS_인건비!$C$5:$C$100,'1.인건비_요약'!$D45)</f>
        <v>0</v>
      </c>
      <c r="M45" s="609">
        <f>SUMIFS(CS_인건비!R$5:R$100,CS_인건비!$B$5:$B$100,'1.인건비_요약'!$C45,CS_인건비!$C$5:$C$100,'1.인건비_요약'!$D45)</f>
        <v>0</v>
      </c>
      <c r="N45" s="609">
        <f>SUMIFS(CS_인건비!S$5:S$100,CS_인건비!$B$5:$B$100,'1.인건비_요약'!$C45,CS_인건비!$C$5:$C$100,'1.인건비_요약'!$D45)</f>
        <v>0</v>
      </c>
      <c r="O45" s="609">
        <f>SUMIFS(CS_인건비!T$5:T$100,CS_인건비!$B$5:$B$100,'1.인건비_요약'!$C45,CS_인건비!$C$5:$C$100,'1.인건비_요약'!$D45)</f>
        <v>0</v>
      </c>
      <c r="P45" s="609">
        <f>SUMIFS(CS_인건비!U$5:U$100,CS_인건비!$B$5:$B$100,'1.인건비_요약'!$C45,CS_인건비!$C$5:$C$100,'1.인건비_요약'!$D45)</f>
        <v>0</v>
      </c>
      <c r="Q45" s="609">
        <f>SUMIFS(CS_인건비!V$5:V$100,CS_인건비!$B$5:$B$100,'1.인건비_요약'!$C45,CS_인건비!$C$5:$C$100,'1.인건비_요약'!$D45)</f>
        <v>0</v>
      </c>
      <c r="R45" s="610">
        <f>SUMIFS(CS_인건비!W$5:W$100,CS_인건비!$B$5:$B$100,'1.인건비_요약'!$C45,CS_인건비!$C$5:$C$100,'1.인건비_요약'!$D45)</f>
        <v>0</v>
      </c>
      <c r="V45" s="15" t="s">
        <v>1487</v>
      </c>
      <c r="W45" s="101"/>
      <c r="X45" s="15"/>
      <c r="Y45" s="15"/>
      <c r="Z45" s="15"/>
      <c r="AA45" s="15">
        <v>0</v>
      </c>
      <c r="AB45" s="15">
        <v>0</v>
      </c>
      <c r="AC45" s="15">
        <v>0</v>
      </c>
      <c r="AD45" s="15">
        <v>2.5000000000000001E-2</v>
      </c>
      <c r="AE45" s="15">
        <v>2.5000000000000001E-2</v>
      </c>
      <c r="AF45" s="15">
        <v>2.5000000000000001E-2</v>
      </c>
      <c r="AG45" s="15">
        <v>2.5000000000000001E-2</v>
      </c>
      <c r="AH45" s="15">
        <v>2.5000000000000001E-2</v>
      </c>
      <c r="AI45" s="15">
        <v>2.5000000000000001E-2</v>
      </c>
      <c r="AJ45" s="15">
        <v>2.5000000000000001E-2</v>
      </c>
      <c r="AK45" s="15">
        <v>2.5000000000000001E-2</v>
      </c>
    </row>
    <row r="46" spans="1:37" ht="17.399999999999999" customHeight="1">
      <c r="C46" s="607" t="s">
        <v>193</v>
      </c>
      <c r="D46" s="608" t="s">
        <v>1510</v>
      </c>
      <c r="E46" s="608"/>
      <c r="F46" s="608"/>
      <c r="G46" s="609">
        <f>SUM(H46:R46)</f>
        <v>10</v>
      </c>
      <c r="H46" s="609">
        <f>SUMIFS(CS_인건비!M$5:M$100,CS_인건비!$B$5:$B$100,'1.인건비_요약'!$C46,CS_인건비!$C$5:$C$100,'1.인건비_요약'!$D46)</f>
        <v>1</v>
      </c>
      <c r="I46" s="609">
        <f>SUMIFS(CS_인건비!N$5:N$100,CS_인건비!$B$5:$B$100,'1.인건비_요약'!$C46,CS_인건비!$C$5:$C$100,'1.인건비_요약'!$D46)</f>
        <v>1</v>
      </c>
      <c r="J46" s="609">
        <f>SUMIFS(CS_인건비!O$5:O$100,CS_인건비!$B$5:$B$100,'1.인건비_요약'!$C46,CS_인건비!$C$5:$C$100,'1.인건비_요약'!$D46)</f>
        <v>1</v>
      </c>
      <c r="K46" s="609">
        <f>SUMIFS(CS_인건비!P$5:P$100,CS_인건비!$B$5:$B$100,'1.인건비_요약'!$C46,CS_인건비!$C$5:$C$100,'1.인건비_요약'!$D46)</f>
        <v>1</v>
      </c>
      <c r="L46" s="609">
        <f>SUMIFS(CS_인건비!Q$5:Q$100,CS_인건비!$B$5:$B$100,'1.인건비_요약'!$C46,CS_인건비!$C$5:$C$100,'1.인건비_요약'!$D46)</f>
        <v>1</v>
      </c>
      <c r="M46" s="609">
        <f>SUMIFS(CS_인건비!R$5:R$100,CS_인건비!$B$5:$B$100,'1.인건비_요약'!$C46,CS_인건비!$C$5:$C$100,'1.인건비_요약'!$D46)</f>
        <v>1</v>
      </c>
      <c r="N46" s="609">
        <f>SUMIFS(CS_인건비!S$5:S$100,CS_인건비!$B$5:$B$100,'1.인건비_요약'!$C46,CS_인건비!$C$5:$C$100,'1.인건비_요약'!$D46)</f>
        <v>1</v>
      </c>
      <c r="O46" s="609">
        <f>SUMIFS(CS_인건비!T$5:T$100,CS_인건비!$B$5:$B$100,'1.인건비_요약'!$C46,CS_인건비!$C$5:$C$100,'1.인건비_요약'!$D46)</f>
        <v>1</v>
      </c>
      <c r="P46" s="609">
        <f>SUMIFS(CS_인건비!U$5:U$100,CS_인건비!$B$5:$B$100,'1.인건비_요약'!$C46,CS_인건비!$C$5:$C$100,'1.인건비_요약'!$D46)</f>
        <v>1</v>
      </c>
      <c r="Q46" s="609">
        <f>SUMIFS(CS_인건비!V$5:V$100,CS_인건비!$B$5:$B$100,'1.인건비_요약'!$C46,CS_인건비!$C$5:$C$100,'1.인건비_요약'!$D46)</f>
        <v>1</v>
      </c>
      <c r="R46" s="610">
        <f>SUMIFS(CS_인건비!W$5:W$100,CS_인건비!$B$5:$B$100,'1.인건비_요약'!$C46,CS_인건비!$C$5:$C$100,'1.인건비_요약'!$D46)</f>
        <v>0</v>
      </c>
      <c r="V46" s="15"/>
      <c r="W46" s="101"/>
      <c r="X46" s="15"/>
      <c r="Y46" s="15"/>
      <c r="Z46" s="15"/>
      <c r="AA46" s="545">
        <f>SUM(AA43:AA45)</f>
        <v>0</v>
      </c>
      <c r="AB46" s="545">
        <f t="shared" ref="AB46:AK46" si="86">SUM(AB43:AB45)</f>
        <v>6.83E-2</v>
      </c>
      <c r="AC46" s="545">
        <f t="shared" si="86"/>
        <v>6.83E-2</v>
      </c>
      <c r="AD46" s="545">
        <f t="shared" si="86"/>
        <v>9.3299999999999994E-2</v>
      </c>
      <c r="AE46" s="545">
        <f t="shared" si="86"/>
        <v>9.3299999999999994E-2</v>
      </c>
      <c r="AF46" s="545">
        <f t="shared" si="86"/>
        <v>9.3299999999999994E-2</v>
      </c>
      <c r="AG46" s="545">
        <f t="shared" si="86"/>
        <v>9.3299999999999994E-2</v>
      </c>
      <c r="AH46" s="545">
        <f t="shared" si="86"/>
        <v>9.3299999999999994E-2</v>
      </c>
      <c r="AI46" s="545">
        <f t="shared" si="86"/>
        <v>9.3299999999999994E-2</v>
      </c>
      <c r="AJ46" s="545">
        <f t="shared" si="86"/>
        <v>9.3299999999999994E-2</v>
      </c>
      <c r="AK46" s="545">
        <f t="shared" si="86"/>
        <v>9.3299999999999994E-2</v>
      </c>
    </row>
    <row r="47" spans="1:37" ht="17.399999999999999" customHeight="1" thickBot="1">
      <c r="C47" s="612" t="s">
        <v>195</v>
      </c>
      <c r="D47" s="613" t="s">
        <v>1510</v>
      </c>
      <c r="E47" s="613"/>
      <c r="F47" s="613"/>
      <c r="G47" s="615">
        <f>SUM(H47:R47)</f>
        <v>10</v>
      </c>
      <c r="H47" s="615">
        <f>SUMIFS(CS_인건비!M$5:M$100,CS_인건비!$B$5:$B$100,'1.인건비_요약'!$C47,CS_인건비!$C$5:$C$100,'1.인건비_요약'!$D47)</f>
        <v>1</v>
      </c>
      <c r="I47" s="615">
        <f>SUMIFS(CS_인건비!N$5:N$100,CS_인건비!$B$5:$B$100,'1.인건비_요약'!$C47,CS_인건비!$C$5:$C$100,'1.인건비_요약'!$D47)</f>
        <v>1</v>
      </c>
      <c r="J47" s="615">
        <f>SUMIFS(CS_인건비!O$5:O$100,CS_인건비!$B$5:$B$100,'1.인건비_요약'!$C47,CS_인건비!$C$5:$C$100,'1.인건비_요약'!$D47)</f>
        <v>1</v>
      </c>
      <c r="K47" s="615">
        <f>SUMIFS(CS_인건비!P$5:P$100,CS_인건비!$B$5:$B$100,'1.인건비_요약'!$C47,CS_인건비!$C$5:$C$100,'1.인건비_요약'!$D47)</f>
        <v>1</v>
      </c>
      <c r="L47" s="615">
        <f>SUMIFS(CS_인건비!Q$5:Q$100,CS_인건비!$B$5:$B$100,'1.인건비_요약'!$C47,CS_인건비!$C$5:$C$100,'1.인건비_요약'!$D47)</f>
        <v>1</v>
      </c>
      <c r="M47" s="615">
        <f>SUMIFS(CS_인건비!R$5:R$100,CS_인건비!$B$5:$B$100,'1.인건비_요약'!$C47,CS_인건비!$C$5:$C$100,'1.인건비_요약'!$D47)</f>
        <v>1</v>
      </c>
      <c r="N47" s="615">
        <f>SUMIFS(CS_인건비!S$5:S$100,CS_인건비!$B$5:$B$100,'1.인건비_요약'!$C47,CS_인건비!$C$5:$C$100,'1.인건비_요약'!$D47)</f>
        <v>1</v>
      </c>
      <c r="O47" s="615">
        <f>SUMIFS(CS_인건비!T$5:T$100,CS_인건비!$B$5:$B$100,'1.인건비_요약'!$C47,CS_인건비!$C$5:$C$100,'1.인건비_요약'!$D47)</f>
        <v>1</v>
      </c>
      <c r="P47" s="615">
        <f>SUMIFS(CS_인건비!U$5:U$100,CS_인건비!$B$5:$B$100,'1.인건비_요약'!$C47,CS_인건비!$C$5:$C$100,'1.인건비_요약'!$D47)</f>
        <v>1</v>
      </c>
      <c r="Q47" s="615">
        <f>SUMIFS(CS_인건비!V$5:V$100,CS_인건비!$B$5:$B$100,'1.인건비_요약'!$C47,CS_인건비!$C$5:$C$100,'1.인건비_요약'!$D47)</f>
        <v>1</v>
      </c>
      <c r="R47" s="616">
        <f>SUMIFS(CS_인건비!W$5:W$100,CS_인건비!$B$5:$B$100,'1.인건비_요약'!$C47,CS_인건비!$C$5:$C$100,'1.인건비_요약'!$D47)</f>
        <v>0</v>
      </c>
    </row>
    <row r="48" spans="1:37" ht="8.4" customHeight="1" thickBot="1">
      <c r="C48" s="24"/>
      <c r="D48" s="24"/>
      <c r="E48" s="24"/>
      <c r="F48" s="543"/>
      <c r="G48" s="552"/>
      <c r="H48" s="552"/>
      <c r="I48" s="552"/>
      <c r="J48" s="552"/>
      <c r="K48" s="552"/>
      <c r="L48" s="552"/>
      <c r="M48" s="552"/>
      <c r="N48" s="552"/>
      <c r="O48" s="552"/>
      <c r="P48" s="552"/>
      <c r="Q48" s="552"/>
      <c r="R48" s="552"/>
      <c r="V48" s="2" t="s">
        <v>1489</v>
      </c>
    </row>
    <row r="49" spans="1:37" ht="17.399999999999999" customHeight="1">
      <c r="C49" s="474" t="s">
        <v>1</v>
      </c>
      <c r="D49" s="475" t="s">
        <v>179</v>
      </c>
      <c r="E49" s="475"/>
      <c r="F49" s="475"/>
      <c r="G49" s="475" t="s">
        <v>231</v>
      </c>
      <c r="H49" s="475" t="s">
        <v>41</v>
      </c>
      <c r="I49" s="475" t="s">
        <v>232</v>
      </c>
      <c r="J49" s="475" t="s">
        <v>233</v>
      </c>
      <c r="K49" s="475" t="s">
        <v>234</v>
      </c>
      <c r="L49" s="475" t="s">
        <v>235</v>
      </c>
      <c r="M49" s="475" t="s">
        <v>236</v>
      </c>
      <c r="N49" s="475" t="s">
        <v>237</v>
      </c>
      <c r="O49" s="475" t="s">
        <v>238</v>
      </c>
      <c r="P49" s="475" t="s">
        <v>239</v>
      </c>
      <c r="Q49" s="475" t="s">
        <v>240</v>
      </c>
      <c r="R49" s="476" t="s">
        <v>172</v>
      </c>
      <c r="V49" s="79" t="s">
        <v>197</v>
      </c>
      <c r="W49" s="79"/>
      <c r="X49" s="79"/>
      <c r="Y49" s="79"/>
      <c r="Z49" s="79" t="s">
        <v>1525</v>
      </c>
      <c r="AA49" s="79" t="s">
        <v>41</v>
      </c>
      <c r="AB49" s="79" t="s">
        <v>232</v>
      </c>
      <c r="AC49" s="79" t="s">
        <v>233</v>
      </c>
      <c r="AD49" s="79" t="s">
        <v>234</v>
      </c>
      <c r="AE49" s="79" t="s">
        <v>235</v>
      </c>
      <c r="AF49" s="79" t="s">
        <v>236</v>
      </c>
      <c r="AG49" s="79" t="s">
        <v>237</v>
      </c>
      <c r="AH49" s="79" t="s">
        <v>238</v>
      </c>
      <c r="AI49" s="79" t="s">
        <v>239</v>
      </c>
      <c r="AJ49" s="79" t="s">
        <v>240</v>
      </c>
      <c r="AK49" s="79" t="s">
        <v>172</v>
      </c>
    </row>
    <row r="50" spans="1:37" ht="17.399999999999999" customHeight="1">
      <c r="C50" s="589" t="s">
        <v>1443</v>
      </c>
      <c r="D50" s="590" t="s">
        <v>1444</v>
      </c>
      <c r="E50" s="590"/>
      <c r="F50" s="590"/>
      <c r="G50" s="599">
        <f>SUM(H50:R50)</f>
        <v>3941217358.9708376</v>
      </c>
      <c r="H50" s="599">
        <f>SUMIFS(CS_인건비!AY$5:AY$100,CS_인건비!$B$5:$B$100,'1.인건비_요약'!$C50,CS_인건비!$C$5:$C$100,'1.인건비_요약'!$D50)</f>
        <v>351286833.73367089</v>
      </c>
      <c r="I50" s="599">
        <f>SUMIFS(CS_인건비!AZ$5:AZ$100,CS_인건비!$B$5:$B$100,'1.인건비_요약'!$C50,CS_인건비!$C$5:$C$100,'1.인건비_요약'!$D50)</f>
        <v>360178170.47346377</v>
      </c>
      <c r="J50" s="599">
        <f>SUMIFS(CS_인건비!BA$5:BA$100,CS_인건비!$B$5:$B$100,'1.인건비_요약'!$C50,CS_인건비!$C$5:$C$100,'1.인건비_요약'!$D50)</f>
        <v>369294553.70355672</v>
      </c>
      <c r="K50" s="599">
        <f>SUMIFS(CS_인건비!BB$5:BB$100,CS_인건비!$B$5:$B$100,'1.인건비_요약'!$C50,CS_인건비!$C$5:$C$100,'1.인건비_요약'!$D50)</f>
        <v>378641679.52165449</v>
      </c>
      <c r="L50" s="599">
        <f>SUMIFS(CS_인건비!BC$5:BC$100,CS_인건비!$B$5:$B$100,'1.인건비_요약'!$C50,CS_인건비!$C$5:$C$100,'1.인건비_요약'!$D50)</f>
        <v>388225388.19802392</v>
      </c>
      <c r="M50" s="599">
        <f>SUMIFS(CS_인건비!BD$5:BD$100,CS_인건비!$B$5:$B$100,'1.인건비_요약'!$C50,CS_인건비!$C$5:$C$100,'1.인건비_요약'!$D50)</f>
        <v>398051667.82461101</v>
      </c>
      <c r="N50" s="599">
        <f>SUMIFS(CS_인건비!BE$5:BE$100,CS_인건비!$B$5:$B$100,'1.인건비_요약'!$C50,CS_인건비!$C$5:$C$100,'1.인건비_요약'!$D50)</f>
        <v>408126658.05651945</v>
      </c>
      <c r="O50" s="599">
        <f>SUMIFS(CS_인건비!BF$5:BF$100,CS_인건비!$B$5:$B$100,'1.인건비_요약'!$C50,CS_인건비!$C$5:$C$100,'1.인건비_요약'!$D50)</f>
        <v>418456653.94819003</v>
      </c>
      <c r="P50" s="599">
        <f>SUMIFS(CS_인건비!BG$5:BG$100,CS_인건비!$B$5:$B$100,'1.인건비_요약'!$C50,CS_인건비!$C$5:$C$100,'1.인건비_요약'!$D50)</f>
        <v>429048109.88667566</v>
      </c>
      <c r="Q50" s="599">
        <f>SUMIFS(CS_인건비!BH$5:BH$100,CS_인건비!$B$5:$B$100,'1.인건비_요약'!$C50,CS_인건비!$C$5:$C$100,'1.인건비_요약'!$D50)</f>
        <v>439907643.62447095</v>
      </c>
      <c r="R50" s="600">
        <f>SUMIFS(CS_인건비!BI$5:BI$100,CS_인건비!$B$5:$B$100,'1.인건비_요약'!$C50,CS_인건비!$C$5:$C$100,'1.인건비_요약'!$D50)</f>
        <v>0</v>
      </c>
      <c r="V50" s="15" t="s">
        <v>1530</v>
      </c>
      <c r="W50" s="101"/>
      <c r="X50" s="15"/>
      <c r="Y50" s="15"/>
      <c r="Z50" s="15"/>
      <c r="AA50" s="545">
        <v>0</v>
      </c>
      <c r="AB50" s="545">
        <v>3.5000000000000003E-2</v>
      </c>
      <c r="AC50" s="545">
        <v>3.5000000000000003E-2</v>
      </c>
      <c r="AD50" s="545">
        <v>3.5000000000000003E-2</v>
      </c>
      <c r="AE50" s="545">
        <v>3.5000000000000003E-2</v>
      </c>
      <c r="AF50" s="545">
        <v>3.5000000000000003E-2</v>
      </c>
      <c r="AG50" s="545">
        <v>3.5000000000000003E-2</v>
      </c>
      <c r="AH50" s="545">
        <v>3.5000000000000003E-2</v>
      </c>
      <c r="AI50" s="545">
        <v>3.5000000000000003E-2</v>
      </c>
      <c r="AJ50" s="545">
        <v>3.5000000000000003E-2</v>
      </c>
      <c r="AK50" s="545">
        <v>3.5000000000000003E-2</v>
      </c>
    </row>
    <row r="51" spans="1:37" ht="17.399999999999999" customHeight="1">
      <c r="C51" s="589" t="s">
        <v>1443</v>
      </c>
      <c r="D51" s="590" t="s">
        <v>1445</v>
      </c>
      <c r="E51" s="590"/>
      <c r="F51" s="590"/>
      <c r="G51" s="599">
        <f t="shared" ref="G51:G57" si="87">SUM(H51:R51)</f>
        <v>15713430862.020605</v>
      </c>
      <c r="H51" s="599">
        <f>SUMIFS(CS_인건비!AY$5:AY$100,CS_인건비!$B$5:$B$100,'1.인건비_요약'!$C51,CS_인건비!$C$5:$C$100,'1.인건비_요약'!$D51)</f>
        <v>1400562534.8340526</v>
      </c>
      <c r="I51" s="599">
        <f>SUMIFS(CS_인건비!AZ$5:AZ$100,CS_인건비!$B$5:$B$100,'1.인건비_요약'!$C51,CS_인건비!$C$5:$C$100,'1.인건비_요약'!$D51)</f>
        <v>1436011837.018229</v>
      </c>
      <c r="J51" s="599">
        <f>SUMIFS(CS_인건비!BA$5:BA$100,CS_인건비!$B$5:$B$100,'1.인건비_요약'!$C51,CS_인건비!$C$5:$C$100,'1.인건비_요약'!$D51)</f>
        <v>1472358387.9821563</v>
      </c>
      <c r="K51" s="599">
        <f>SUMIFS(CS_인건비!BB$5:BB$100,CS_인건비!$B$5:$B$100,'1.인건비_요약'!$C51,CS_인건비!$C$5:$C$100,'1.인건비_요약'!$D51)</f>
        <v>1509624897.774359</v>
      </c>
      <c r="L51" s="599">
        <f>SUMIFS(CS_인건비!BC$5:BC$100,CS_인건비!$B$5:$B$100,'1.인건비_요약'!$C51,CS_인건비!$C$5:$C$100,'1.인건비_요약'!$D51)</f>
        <v>1547834651.2519507</v>
      </c>
      <c r="M51" s="599">
        <f>SUMIFS(CS_인건비!BD$5:BD$100,CS_인건비!$B$5:$B$100,'1.인건비_요약'!$C51,CS_인건비!$C$5:$C$100,'1.인건비_요약'!$D51)</f>
        <v>1587011522.6294727</v>
      </c>
      <c r="N51" s="599">
        <f>SUMIFS(CS_인건비!BE$5:BE$100,CS_인건비!$B$5:$B$100,'1.인건비_요약'!$C51,CS_인건비!$C$5:$C$100,'1.인건비_요약'!$D51)</f>
        <v>1627179990.3959818</v>
      </c>
      <c r="O51" s="599">
        <f>SUMIFS(CS_인건비!BF$5:BF$100,CS_인건비!$B$5:$B$100,'1.인건비_요약'!$C51,CS_인건비!$C$5:$C$100,'1.인건비_요약'!$D51)</f>
        <v>1668365152.6096964</v>
      </c>
      <c r="P51" s="599">
        <f>SUMIFS(CS_인건비!BG$5:BG$100,CS_인건비!$B$5:$B$100,'1.인건비_요약'!$C51,CS_인건비!$C$5:$C$100,'1.인건비_요약'!$D51)</f>
        <v>1710592742.5797639</v>
      </c>
      <c r="Q51" s="599">
        <f>SUMIFS(CS_인건비!BH$5:BH$100,CS_인건비!$B$5:$B$100,'1.인건비_요약'!$C51,CS_인건비!$C$5:$C$100,'1.인건비_요약'!$D51)</f>
        <v>1753889144.944942</v>
      </c>
      <c r="R51" s="600">
        <f>SUMIFS(CS_인건비!BI$5:BI$100,CS_인건비!$B$5:$B$100,'1.인건비_요약'!$C51,CS_인건비!$C$5:$C$100,'1.인건비_요약'!$D51)</f>
        <v>0</v>
      </c>
      <c r="V51" s="24"/>
      <c r="W51" s="543"/>
      <c r="X51" s="24"/>
      <c r="Y51" s="24"/>
      <c r="Z51" s="24"/>
      <c r="AA51" s="24"/>
      <c r="AB51" s="24"/>
      <c r="AC51" s="24"/>
      <c r="AD51" s="24"/>
      <c r="AE51" s="24"/>
      <c r="AF51" s="24"/>
      <c r="AG51" s="24"/>
      <c r="AH51" s="24"/>
      <c r="AI51" s="24"/>
      <c r="AJ51" s="24"/>
      <c r="AK51" s="24"/>
    </row>
    <row r="52" spans="1:37" s="40" customFormat="1" ht="17.399999999999999" customHeight="1">
      <c r="A52" s="553"/>
      <c r="C52" s="591" t="s">
        <v>1517</v>
      </c>
      <c r="D52" s="592"/>
      <c r="E52" s="592"/>
      <c r="F52" s="592"/>
      <c r="G52" s="601">
        <f>SUM(G50:G51)</f>
        <v>19654648220.991444</v>
      </c>
      <c r="H52" s="602">
        <f t="shared" ref="H52:R52" si="88">SUM(H50:H51)</f>
        <v>1751849368.5677235</v>
      </c>
      <c r="I52" s="602">
        <f t="shared" si="88"/>
        <v>1796190007.4916928</v>
      </c>
      <c r="J52" s="602">
        <f t="shared" si="88"/>
        <v>1841652941.6857131</v>
      </c>
      <c r="K52" s="602">
        <f t="shared" si="88"/>
        <v>1888266577.2960134</v>
      </c>
      <c r="L52" s="602">
        <f t="shared" si="88"/>
        <v>1936060039.4499745</v>
      </c>
      <c r="M52" s="602">
        <f t="shared" si="88"/>
        <v>1985063190.4540837</v>
      </c>
      <c r="N52" s="602">
        <f t="shared" si="88"/>
        <v>2035306648.4525013</v>
      </c>
      <c r="O52" s="602">
        <f t="shared" si="88"/>
        <v>2086821806.5578864</v>
      </c>
      <c r="P52" s="602">
        <f t="shared" si="88"/>
        <v>2139640852.4664395</v>
      </c>
      <c r="Q52" s="602">
        <f t="shared" si="88"/>
        <v>2193796788.5694132</v>
      </c>
      <c r="R52" s="603">
        <f t="shared" si="88"/>
        <v>0</v>
      </c>
      <c r="V52" s="24"/>
      <c r="W52" s="543"/>
      <c r="X52" s="24"/>
      <c r="Y52" s="24"/>
      <c r="Z52" s="24"/>
      <c r="AA52" s="24"/>
      <c r="AB52" s="24"/>
      <c r="AC52" s="24"/>
      <c r="AD52" s="24"/>
      <c r="AE52" s="24"/>
      <c r="AF52" s="24"/>
      <c r="AG52" s="24"/>
      <c r="AH52" s="24"/>
      <c r="AI52" s="24"/>
      <c r="AJ52" s="24"/>
      <c r="AK52" s="24"/>
    </row>
    <row r="53" spans="1:37" ht="17.399999999999999" customHeight="1">
      <c r="C53" s="589" t="s">
        <v>1446</v>
      </c>
      <c r="D53" s="590" t="s">
        <v>1444</v>
      </c>
      <c r="E53" s="590"/>
      <c r="F53" s="590"/>
      <c r="G53" s="599">
        <f t="shared" si="87"/>
        <v>2868926530.0667281</v>
      </c>
      <c r="H53" s="599">
        <f>SUMIFS(CS_인건비!AY$5:AY$100,CS_인건비!$B$5:$B$100,'1.인건비_요약'!$C53,CS_인건비!$C$5:$C$100,'1.인건비_요약'!$D53)</f>
        <v>309699687.94398957</v>
      </c>
      <c r="I53" s="599">
        <f>SUMIFS(CS_인건비!AZ$5:AZ$100,CS_인건비!$B$5:$B$100,'1.인건비_요약'!$C53,CS_인건비!$C$5:$C$100,'1.인건비_요약'!$D53)</f>
        <v>256767543.36672062</v>
      </c>
      <c r="J53" s="599">
        <f>SUMIFS(CS_인건비!BA$5:BA$100,CS_인건비!$B$5:$B$100,'1.인건비_요약'!$C53,CS_인건비!$C$5:$C$100,'1.인건비_요약'!$D53)</f>
        <v>263266525.03266525</v>
      </c>
      <c r="K53" s="599">
        <f>SUMIFS(CS_인건비!BB$5:BB$100,CS_인건비!$B$5:$B$100,'1.인건비_요약'!$C53,CS_인건비!$C$5:$C$100,'1.인건비_요약'!$D53)</f>
        <v>269930000.863801</v>
      </c>
      <c r="L53" s="599">
        <f>SUMIFS(CS_인건비!BC$5:BC$100,CS_인건비!$B$5:$B$100,'1.인건비_요약'!$C53,CS_인건비!$C$5:$C$100,'1.인건비_요약'!$D53)</f>
        <v>276762134.33246446</v>
      </c>
      <c r="M53" s="599">
        <f>SUMIFS(CS_인건비!BD$5:BD$100,CS_인건비!$B$5:$B$100,'1.인건비_요약'!$C53,CS_인건비!$C$5:$C$100,'1.인건비_요약'!$D53)</f>
        <v>283767194.29164124</v>
      </c>
      <c r="N53" s="599">
        <f>SUMIFS(CS_인건비!BE$5:BE$100,CS_인건비!$B$5:$B$100,'1.인건비_요약'!$C53,CS_인건비!$C$5:$C$100,'1.인건비_요약'!$D53)</f>
        <v>290949557.64223033</v>
      </c>
      <c r="O53" s="599">
        <f>SUMIFS(CS_인건비!BF$5:BF$100,CS_인건비!$B$5:$B$100,'1.인건비_요약'!$C53,CS_인건비!$C$5:$C$100,'1.인건비_요약'!$D53)</f>
        <v>298313712.06781906</v>
      </c>
      <c r="P53" s="599">
        <f>SUMIFS(CS_인건비!BG$5:BG$100,CS_인건비!$B$5:$B$100,'1.인건비_요약'!$C53,CS_인건비!$C$5:$C$100,'1.인건비_요약'!$D53)</f>
        <v>305864258.83867669</v>
      </c>
      <c r="Q53" s="599">
        <f>SUMIFS(CS_인건비!BH$5:BH$100,CS_인건비!$B$5:$B$100,'1.인건비_요약'!$C53,CS_인건비!$C$5:$C$100,'1.인건비_요약'!$D53)</f>
        <v>313605915.68672019</v>
      </c>
      <c r="R53" s="600">
        <f>SUMIFS(CS_인건비!BI$5:BI$100,CS_인건비!$B$5:$B$100,'1.인건비_요약'!$C53,CS_인건비!$C$5:$C$100,'1.인건비_요약'!$D53)</f>
        <v>0</v>
      </c>
      <c r="V53" s="24"/>
      <c r="W53" s="543"/>
      <c r="X53" s="24"/>
      <c r="Y53" s="24"/>
      <c r="Z53" s="24"/>
      <c r="AA53" s="24"/>
      <c r="AB53" s="24"/>
      <c r="AC53" s="24"/>
      <c r="AD53" s="24"/>
      <c r="AE53" s="24"/>
      <c r="AF53" s="24"/>
      <c r="AG53" s="24"/>
      <c r="AH53" s="24"/>
      <c r="AI53" s="24"/>
      <c r="AJ53" s="24"/>
      <c r="AK53" s="24"/>
    </row>
    <row r="54" spans="1:37" ht="17.399999999999999" customHeight="1">
      <c r="C54" s="589" t="s">
        <v>1447</v>
      </c>
      <c r="D54" s="590" t="s">
        <v>1445</v>
      </c>
      <c r="E54" s="590"/>
      <c r="F54" s="590"/>
      <c r="G54" s="599">
        <f t="shared" si="87"/>
        <v>13025000530.296684</v>
      </c>
      <c r="H54" s="599">
        <f>SUMIFS(CS_인건비!AY$5:AY$100,CS_인건비!$B$5:$B$100,'1.인건비_요약'!$C54,CS_인건비!$C$5:$C$100,'1.인건비_요약'!$D54)</f>
        <v>768609571.84696853</v>
      </c>
      <c r="I54" s="599">
        <f>SUMIFS(CS_인건비!AZ$5:AZ$100,CS_인건비!$B$5:$B$100,'1.인건비_요약'!$C54,CS_인건비!$C$5:$C$100,'1.인건비_요약'!$D54)</f>
        <v>1229685210.0585654</v>
      </c>
      <c r="J54" s="599">
        <f>SUMIFS(CS_인건비!BA$5:BA$100,CS_인건비!$B$5:$B$100,'1.인건비_요약'!$C54,CS_인건비!$C$5:$C$100,'1.인건비_요약'!$D54)</f>
        <v>1260809477.2859073</v>
      </c>
      <c r="K54" s="599">
        <f>SUMIFS(CS_인건비!BB$5:BB$100,CS_인건비!$B$5:$B$100,'1.인건비_요약'!$C54,CS_인건비!$C$5:$C$100,'1.인건비_요약'!$D54)</f>
        <v>1292721523.3712165</v>
      </c>
      <c r="L54" s="599">
        <f>SUMIFS(CS_인건비!BC$5:BC$100,CS_인건비!$B$5:$B$100,'1.인건비_요약'!$C54,CS_인건비!$C$5:$C$100,'1.인건비_요약'!$D54)</f>
        <v>1325441287.5960996</v>
      </c>
      <c r="M54" s="599">
        <f>SUMIFS(CS_인건비!BD$5:BD$100,CS_인건비!$B$5:$B$100,'1.인건비_요약'!$C54,CS_인건비!$C$5:$C$100,'1.인건비_요약'!$D54)</f>
        <v>1358989213.9205358</v>
      </c>
      <c r="N54" s="599">
        <f>SUMIFS(CS_인건비!BE$5:BE$100,CS_인건비!$B$5:$B$100,'1.인건비_요약'!$C54,CS_인건비!$C$5:$C$100,'1.인건비_요약'!$D54)</f>
        <v>1393386263.7566669</v>
      </c>
      <c r="O54" s="599">
        <f>SUMIFS(CS_인건비!BF$5:BF$100,CS_인건비!$B$5:$B$100,'1.인건비_요약'!$C54,CS_인건비!$C$5:$C$100,'1.인건비_요약'!$D54)</f>
        <v>1428653929.0659084</v>
      </c>
      <c r="P54" s="599">
        <f>SUMIFS(CS_인건비!BG$5:BG$100,CS_인건비!$B$5:$B$100,'1.인건비_요약'!$C54,CS_인건비!$C$5:$C$100,'1.인건비_요약'!$D54)</f>
        <v>1464814245.7875528</v>
      </c>
      <c r="Q54" s="599">
        <f>SUMIFS(CS_인건비!BH$5:BH$100,CS_인건비!$B$5:$B$100,'1.인건비_요약'!$C54,CS_인건비!$C$5:$C$100,'1.인건비_요약'!$D54)</f>
        <v>1501889807.6072626</v>
      </c>
      <c r="R54" s="600">
        <f>SUMIFS(CS_인건비!BI$5:BI$100,CS_인건비!$B$5:$B$100,'1.인건비_요약'!$C54,CS_인건비!$C$5:$C$100,'1.인건비_요약'!$D54)</f>
        <v>0</v>
      </c>
      <c r="V54" s="2" t="s">
        <v>1538</v>
      </c>
    </row>
    <row r="55" spans="1:37" s="40" customFormat="1" ht="17.399999999999999" customHeight="1">
      <c r="A55" s="553"/>
      <c r="C55" s="591" t="s">
        <v>1515</v>
      </c>
      <c r="D55" s="592"/>
      <c r="E55" s="592"/>
      <c r="F55" s="592"/>
      <c r="G55" s="601">
        <f>SUM(G53:G54)</f>
        <v>15893927060.363413</v>
      </c>
      <c r="H55" s="602">
        <f t="shared" ref="H55" si="89">SUM(H53:H54)</f>
        <v>1078309259.7909582</v>
      </c>
      <c r="I55" s="602">
        <f t="shared" ref="I55" si="90">SUM(I53:I54)</f>
        <v>1486452753.4252861</v>
      </c>
      <c r="J55" s="602">
        <f t="shared" ref="J55" si="91">SUM(J53:J54)</f>
        <v>1524076002.3185725</v>
      </c>
      <c r="K55" s="602">
        <f t="shared" ref="K55" si="92">SUM(K53:K54)</f>
        <v>1562651524.2350175</v>
      </c>
      <c r="L55" s="602">
        <f t="shared" ref="L55" si="93">SUM(L53:L54)</f>
        <v>1602203421.9285641</v>
      </c>
      <c r="M55" s="602">
        <f t="shared" ref="M55" si="94">SUM(M53:M54)</f>
        <v>1642756408.212177</v>
      </c>
      <c r="N55" s="602">
        <f t="shared" ref="N55" si="95">SUM(N53:N54)</f>
        <v>1684335821.3988972</v>
      </c>
      <c r="O55" s="602">
        <f t="shared" ref="O55" si="96">SUM(O53:O54)</f>
        <v>1726967641.1337276</v>
      </c>
      <c r="P55" s="602">
        <f t="shared" ref="P55" si="97">SUM(P53:P54)</f>
        <v>1770678504.6262295</v>
      </c>
      <c r="Q55" s="602">
        <f t="shared" ref="Q55" si="98">SUM(Q53:Q54)</f>
        <v>1815495723.2939827</v>
      </c>
      <c r="R55" s="603">
        <f t="shared" ref="R55" si="99">SUM(R53:R54)</f>
        <v>0</v>
      </c>
      <c r="V55" s="79" t="s">
        <v>1</v>
      </c>
      <c r="W55" s="79" t="s">
        <v>179</v>
      </c>
      <c r="X55" s="79" t="s">
        <v>241</v>
      </c>
      <c r="Y55" s="79"/>
      <c r="Z55" s="79" t="s">
        <v>1525</v>
      </c>
      <c r="AA55" s="79" t="s">
        <v>1539</v>
      </c>
      <c r="AB55" s="79" t="s">
        <v>232</v>
      </c>
      <c r="AC55" s="79" t="s">
        <v>233</v>
      </c>
      <c r="AD55" s="79" t="s">
        <v>234</v>
      </c>
      <c r="AE55" s="79" t="s">
        <v>235</v>
      </c>
      <c r="AF55" s="79" t="s">
        <v>236</v>
      </c>
      <c r="AG55" s="79" t="s">
        <v>237</v>
      </c>
      <c r="AH55" s="79" t="s">
        <v>238</v>
      </c>
      <c r="AI55" s="79" t="s">
        <v>239</v>
      </c>
      <c r="AJ55" s="79" t="s">
        <v>240</v>
      </c>
      <c r="AK55" s="79" t="s">
        <v>172</v>
      </c>
    </row>
    <row r="56" spans="1:37" ht="17.399999999999999" customHeight="1">
      <c r="C56" s="589" t="s">
        <v>1448</v>
      </c>
      <c r="D56" s="590" t="s">
        <v>1444</v>
      </c>
      <c r="E56" s="590"/>
      <c r="F56" s="590"/>
      <c r="G56" s="599">
        <f t="shared" si="87"/>
        <v>4233059715.7712746</v>
      </c>
      <c r="H56" s="599">
        <f>SUMIFS(CS_인건비!AY$5:AY$100,CS_인건비!$B$5:$B$100,'1.인건비_요약'!$C56,CS_인건비!$C$5:$C$100,'1.인건비_요약'!$D56)</f>
        <v>289423591.44034201</v>
      </c>
      <c r="I56" s="599">
        <f>SUMIFS(CS_인건비!AZ$5:AZ$100,CS_인건비!$B$5:$B$100,'1.인건비_요약'!$C56,CS_인건비!$C$5:$C$100,'1.인건비_요약'!$D56)</f>
        <v>395665496.66883504</v>
      </c>
      <c r="J56" s="599">
        <f>SUMIFS(CS_인건비!BA$5:BA$100,CS_인건비!$B$5:$B$100,'1.인건비_요약'!$C56,CS_인건비!$C$5:$C$100,'1.인건비_요약'!$D56)</f>
        <v>405680091.09530097</v>
      </c>
      <c r="K56" s="599">
        <f>SUMIFS(CS_인건비!BB$5:BB$100,CS_인건비!$B$5:$B$100,'1.인건비_요약'!$C56,CS_인건비!$C$5:$C$100,'1.인건비_요약'!$D56)</f>
        <v>415948162.51779246</v>
      </c>
      <c r="L56" s="599">
        <f>SUMIFS(CS_인건비!BC$5:BC$100,CS_인건비!$B$5:$B$100,'1.인건비_요약'!$C56,CS_인건비!$C$5:$C$100,'1.인건비_요약'!$D56)</f>
        <v>426476126.6317212</v>
      </c>
      <c r="M56" s="599">
        <f>SUMIFS(CS_인건비!BD$5:BD$100,CS_인건비!$B$5:$B$100,'1.인건비_요약'!$C56,CS_인건비!$C$5:$C$100,'1.인건비_요약'!$D56)</f>
        <v>437270561.51862633</v>
      </c>
      <c r="N56" s="599">
        <f>SUMIFS(CS_인건비!BE$5:BE$100,CS_인건비!$B$5:$B$100,'1.인건비_요약'!$C56,CS_인건비!$C$5:$C$100,'1.인건비_요약'!$D56)</f>
        <v>448338211.75628936</v>
      </c>
      <c r="O56" s="599">
        <f>SUMIFS(CS_인건비!BF$5:BF$100,CS_인건비!$B$5:$B$100,'1.인건비_요약'!$C56,CS_인건비!$C$5:$C$100,'1.인건비_요약'!$D56)</f>
        <v>459685992.63288206</v>
      </c>
      <c r="P56" s="599">
        <f>SUMIFS(CS_인건비!BG$5:BG$100,CS_인건비!$B$5:$B$100,'1.인건비_요약'!$C56,CS_인건비!$C$5:$C$100,'1.인건비_요약'!$D56)</f>
        <v>471320994.46777469</v>
      </c>
      <c r="Q56" s="599">
        <f>SUMIFS(CS_인건비!BH$5:BH$100,CS_인건비!$B$5:$B$100,'1.인건비_요약'!$C56,CS_인건비!$C$5:$C$100,'1.인건비_요약'!$D56)</f>
        <v>483250487.04171002</v>
      </c>
      <c r="R56" s="600">
        <f>SUMIFS(CS_인건비!BI$5:BI$100,CS_인건비!$B$5:$B$100,'1.인건비_요약'!$C56,CS_인건비!$C$5:$C$100,'1.인건비_요약'!$D56)</f>
        <v>0</v>
      </c>
      <c r="V56" s="15" t="s">
        <v>1540</v>
      </c>
      <c r="W56" s="15" t="s">
        <v>1528</v>
      </c>
      <c r="X56" s="15"/>
      <c r="Y56" s="15"/>
      <c r="Z56" s="15"/>
      <c r="AA56" s="544">
        <f>H51*AA39</f>
        <v>0</v>
      </c>
      <c r="AB56" s="544">
        <f t="shared" ref="AB56:AK56" si="100">I51*AB39</f>
        <v>98079608.468345046</v>
      </c>
      <c r="AC56" s="544">
        <f t="shared" si="100"/>
        <v>100562077.89918128</v>
      </c>
      <c r="AD56" s="544">
        <f t="shared" si="100"/>
        <v>231586095.22218946</v>
      </c>
      <c r="AE56" s="544">
        <f t="shared" si="100"/>
        <v>237447715.29769555</v>
      </c>
      <c r="AF56" s="544">
        <f t="shared" si="100"/>
        <v>243457697.43214387</v>
      </c>
      <c r="AG56" s="544">
        <f t="shared" si="100"/>
        <v>249619796.78200147</v>
      </c>
      <c r="AH56" s="544">
        <f t="shared" si="100"/>
        <v>255937863.54959941</v>
      </c>
      <c r="AI56" s="544">
        <f t="shared" si="100"/>
        <v>262415845.38881609</v>
      </c>
      <c r="AJ56" s="544">
        <f t="shared" si="100"/>
        <v>269057789.8716495</v>
      </c>
      <c r="AK56" s="544">
        <f t="shared" si="100"/>
        <v>0</v>
      </c>
    </row>
    <row r="57" spans="1:37" ht="17.399999999999999" customHeight="1">
      <c r="C57" s="589" t="s">
        <v>1448</v>
      </c>
      <c r="D57" s="590" t="s">
        <v>1445</v>
      </c>
      <c r="E57" s="590"/>
      <c r="F57" s="590"/>
      <c r="G57" s="599">
        <f t="shared" si="87"/>
        <v>19853532404.620678</v>
      </c>
      <c r="H57" s="599">
        <f>SUMIFS(CS_인건비!AY$5:AY$100,CS_인건비!$B$5:$B$100,'1.인건비_요약'!$C57,CS_인건비!$C$5:$C$100,'1.인건비_요약'!$D57)</f>
        <v>1357429622.3401101</v>
      </c>
      <c r="I57" s="599">
        <f>SUMIFS(CS_인건비!AZ$5:AZ$100,CS_인건비!$B$5:$B$100,'1.인건비_요약'!$C57,CS_인건비!$C$5:$C$100,'1.인건비_요약'!$D57)</f>
        <v>1855716263.6374004</v>
      </c>
      <c r="J57" s="599">
        <f>SUMIFS(CS_인건비!BA$5:BA$100,CS_인건비!$B$5:$B$100,'1.인건비_요약'!$C57,CS_인건비!$C$5:$C$100,'1.인건비_요약'!$D57)</f>
        <v>1902685852.6144209</v>
      </c>
      <c r="K57" s="599">
        <f>SUMIFS(CS_인건비!BB$5:BB$100,CS_인건비!$B$5:$B$100,'1.인건비_요약'!$C57,CS_인건비!$C$5:$C$100,'1.인건비_요약'!$D57)</f>
        <v>1950844277.585341</v>
      </c>
      <c r="L57" s="599">
        <f>SUMIFS(CS_인건비!BC$5:BC$100,CS_인건비!$B$5:$B$100,'1.인건비_요약'!$C57,CS_인건비!$C$5:$C$100,'1.인건비_요약'!$D57)</f>
        <v>2000221628.8926749</v>
      </c>
      <c r="M57" s="599">
        <f>SUMIFS(CS_인건비!BD$5:BD$100,CS_인건비!$B$5:$B$100,'1.인건비_요약'!$C57,CS_인건비!$C$5:$C$100,'1.인건비_요약'!$D57)</f>
        <v>2050848758.4883873</v>
      </c>
      <c r="N57" s="599">
        <f>SUMIFS(CS_인건비!BE$5:BE$100,CS_인건비!$B$5:$B$100,'1.인건비_요약'!$C57,CS_인건비!$C$5:$C$100,'1.인건비_요약'!$D57)</f>
        <v>2102757299.2107856</v>
      </c>
      <c r="O57" s="599">
        <f>SUMIFS(CS_인건비!BF$5:BF$100,CS_인건비!$B$5:$B$100,'1.인건비_요약'!$C57,CS_인건비!$C$5:$C$100,'1.인건비_요약'!$D57)</f>
        <v>2155979684.5493579</v>
      </c>
      <c r="P57" s="599">
        <f>SUMIFS(CS_인건비!BG$5:BG$100,CS_인건비!$B$5:$B$100,'1.인건비_요약'!$C57,CS_인건비!$C$5:$C$100,'1.인건비_요약'!$D57)</f>
        <v>2210549168.9098625</v>
      </c>
      <c r="Q57" s="599">
        <f>SUMIFS(CS_인건비!BH$5:BH$100,CS_인건비!$B$5:$B$100,'1.인건비_요약'!$C57,CS_인건비!$C$5:$C$100,'1.인건비_요약'!$D57)</f>
        <v>2266499848.3923383</v>
      </c>
      <c r="R57" s="600">
        <f>SUMIFS(CS_인건비!BI$5:BI$100,CS_인건비!$B$5:$B$100,'1.인건비_요약'!$C57,CS_인건비!$C$5:$C$100,'1.인건비_요약'!$D57)</f>
        <v>0</v>
      </c>
      <c r="V57" s="15" t="s">
        <v>1527</v>
      </c>
      <c r="W57" s="15" t="s">
        <v>1528</v>
      </c>
      <c r="X57" s="15"/>
      <c r="Y57" s="15"/>
      <c r="Z57" s="15"/>
      <c r="AA57" s="544">
        <f>H54*AA46</f>
        <v>0</v>
      </c>
      <c r="AB57" s="544">
        <f t="shared" ref="AB57:AK57" si="101">I54*AB46</f>
        <v>83987499.847000018</v>
      </c>
      <c r="AC57" s="544">
        <f t="shared" si="101"/>
        <v>86113287.298627466</v>
      </c>
      <c r="AD57" s="544">
        <f t="shared" si="101"/>
        <v>120610918.1305345</v>
      </c>
      <c r="AE57" s="544">
        <f t="shared" si="101"/>
        <v>123663672.13271609</v>
      </c>
      <c r="AF57" s="544">
        <f t="shared" si="101"/>
        <v>126793693.65878598</v>
      </c>
      <c r="AG57" s="544">
        <f t="shared" si="101"/>
        <v>130002938.40849702</v>
      </c>
      <c r="AH57" s="544">
        <f t="shared" si="101"/>
        <v>133293411.58184925</v>
      </c>
      <c r="AI57" s="544">
        <f t="shared" si="101"/>
        <v>136667169.13197866</v>
      </c>
      <c r="AJ57" s="544">
        <f t="shared" si="101"/>
        <v>140126319.0497576</v>
      </c>
      <c r="AK57" s="544">
        <f t="shared" si="101"/>
        <v>0</v>
      </c>
    </row>
    <row r="58" spans="1:37" s="40" customFormat="1" ht="17.399999999999999" customHeight="1">
      <c r="A58" s="553"/>
      <c r="C58" s="591" t="s">
        <v>1518</v>
      </c>
      <c r="D58" s="592"/>
      <c r="E58" s="592"/>
      <c r="F58" s="592"/>
      <c r="G58" s="601">
        <f>SUM(G56:G57)</f>
        <v>24086592120.391953</v>
      </c>
      <c r="H58" s="602">
        <f t="shared" ref="H58" si="102">SUM(H56:H57)</f>
        <v>1646853213.780452</v>
      </c>
      <c r="I58" s="602">
        <f t="shared" ref="I58" si="103">SUM(I56:I57)</f>
        <v>2251381760.3062353</v>
      </c>
      <c r="J58" s="602">
        <f t="shared" ref="J58" si="104">SUM(J56:J57)</f>
        <v>2308365943.709722</v>
      </c>
      <c r="K58" s="602">
        <f t="shared" ref="K58" si="105">SUM(K56:K57)</f>
        <v>2366792440.1031332</v>
      </c>
      <c r="L58" s="602">
        <f t="shared" ref="L58" si="106">SUM(L56:L57)</f>
        <v>2426697755.5243959</v>
      </c>
      <c r="M58" s="602">
        <f t="shared" ref="M58" si="107">SUM(M56:M57)</f>
        <v>2488119320.0070138</v>
      </c>
      <c r="N58" s="602">
        <f t="shared" ref="N58" si="108">SUM(N56:N57)</f>
        <v>2551095510.9670749</v>
      </c>
      <c r="O58" s="602">
        <f t="shared" ref="O58" si="109">SUM(O56:O57)</f>
        <v>2615665677.18224</v>
      </c>
      <c r="P58" s="602">
        <f t="shared" ref="P58" si="110">SUM(P56:P57)</f>
        <v>2681870163.3776374</v>
      </c>
      <c r="Q58" s="602">
        <f t="shared" ref="Q58" si="111">SUM(Q56:Q57)</f>
        <v>2749750335.4340482</v>
      </c>
      <c r="R58" s="603">
        <f t="shared" ref="R58" si="112">SUM(R56:R57)</f>
        <v>0</v>
      </c>
      <c r="V58" s="15" t="s">
        <v>195</v>
      </c>
      <c r="W58" s="15" t="s">
        <v>1528</v>
      </c>
      <c r="X58" s="15"/>
      <c r="Y58" s="15"/>
      <c r="Z58" s="15"/>
      <c r="AA58" s="544">
        <f>H57*AA50</f>
        <v>0</v>
      </c>
      <c r="AB58" s="544">
        <f t="shared" ref="AB58:AK58" si="113">I57*AB50</f>
        <v>64950069.227309018</v>
      </c>
      <c r="AC58" s="544">
        <f t="shared" si="113"/>
        <v>66594004.841504738</v>
      </c>
      <c r="AD58" s="544">
        <f t="shared" si="113"/>
        <v>68279549.715486944</v>
      </c>
      <c r="AE58" s="544">
        <f t="shared" si="113"/>
        <v>70007757.011243626</v>
      </c>
      <c r="AF58" s="544">
        <f t="shared" si="113"/>
        <v>71779706.54709357</v>
      </c>
      <c r="AG58" s="544">
        <f t="shared" si="113"/>
        <v>73596505.472377509</v>
      </c>
      <c r="AH58" s="544">
        <f t="shared" si="113"/>
        <v>75459288.959227532</v>
      </c>
      <c r="AI58" s="544">
        <f t="shared" si="113"/>
        <v>77369220.911845192</v>
      </c>
      <c r="AJ58" s="544">
        <f t="shared" si="113"/>
        <v>79327494.693731844</v>
      </c>
      <c r="AK58" s="544">
        <f t="shared" si="113"/>
        <v>0</v>
      </c>
    </row>
    <row r="59" spans="1:37" ht="17.399999999999999" customHeight="1">
      <c r="C59" s="604" t="s">
        <v>1520</v>
      </c>
      <c r="D59" s="617"/>
      <c r="E59" s="484"/>
      <c r="F59" s="593"/>
      <c r="G59" s="605">
        <f>SUM(G58,G55,G52)</f>
        <v>59635167401.746811</v>
      </c>
      <c r="H59" s="605">
        <f t="shared" ref="H59:R59" si="114">SUM(H58,H55,H52)</f>
        <v>4477011842.1391335</v>
      </c>
      <c r="I59" s="605">
        <f t="shared" si="114"/>
        <v>5534024521.2232141</v>
      </c>
      <c r="J59" s="605">
        <f t="shared" si="114"/>
        <v>5674094887.7140074</v>
      </c>
      <c r="K59" s="605">
        <f t="shared" si="114"/>
        <v>5817710541.6341648</v>
      </c>
      <c r="L59" s="605">
        <f t="shared" si="114"/>
        <v>5964961216.902935</v>
      </c>
      <c r="M59" s="605">
        <f t="shared" si="114"/>
        <v>6115938918.673274</v>
      </c>
      <c r="N59" s="605">
        <f t="shared" si="114"/>
        <v>6270737980.8184738</v>
      </c>
      <c r="O59" s="605">
        <f t="shared" si="114"/>
        <v>6429455124.8738537</v>
      </c>
      <c r="P59" s="605">
        <f t="shared" si="114"/>
        <v>6592189520.4703064</v>
      </c>
      <c r="Q59" s="605">
        <f t="shared" si="114"/>
        <v>6759042847.2974443</v>
      </c>
      <c r="R59" s="606">
        <f t="shared" si="114"/>
        <v>0</v>
      </c>
    </row>
    <row r="60" spans="1:37" ht="17.399999999999999" customHeight="1">
      <c r="C60" s="607" t="s">
        <v>157</v>
      </c>
      <c r="D60" s="608" t="s">
        <v>1510</v>
      </c>
      <c r="E60" s="608"/>
      <c r="F60" s="608"/>
      <c r="G60" s="609">
        <f>SUM(H60:R60)</f>
        <v>0</v>
      </c>
      <c r="H60" s="609">
        <f>SUMIFS(CS_인건비!AY$5:AY$100,CS_인건비!$B$5:$B$100,'1.인건비_요약'!$C60,CS_인건비!$C$5:$C$100,'1.인건비_요약'!$D60)</f>
        <v>0</v>
      </c>
      <c r="I60" s="609">
        <f>SUMIFS(CS_인건비!AZ$5:AZ$100,CS_인건비!$B$5:$B$100,'1.인건비_요약'!$C60,CS_인건비!$C$5:$C$100,'1.인건비_요약'!$D60)</f>
        <v>0</v>
      </c>
      <c r="J60" s="609">
        <f>SUMIFS(CS_인건비!BA$5:BA$100,CS_인건비!$B$5:$B$100,'1.인건비_요약'!$C60,CS_인건비!$C$5:$C$100,'1.인건비_요약'!$D60)</f>
        <v>0</v>
      </c>
      <c r="K60" s="609">
        <f>SUMIFS(CS_인건비!BB$5:BB$100,CS_인건비!$B$5:$B$100,'1.인건비_요약'!$C60,CS_인건비!$C$5:$C$100,'1.인건비_요약'!$D60)</f>
        <v>0</v>
      </c>
      <c r="L60" s="609">
        <f>SUMIFS(CS_인건비!BC$5:BC$100,CS_인건비!$B$5:$B$100,'1.인건비_요약'!$C60,CS_인건비!$C$5:$C$100,'1.인건비_요약'!$D60)</f>
        <v>0</v>
      </c>
      <c r="M60" s="609">
        <f>SUMIFS(CS_인건비!BD$5:BD$100,CS_인건비!$B$5:$B$100,'1.인건비_요약'!$C60,CS_인건비!$C$5:$C$100,'1.인건비_요약'!$D60)</f>
        <v>0</v>
      </c>
      <c r="N60" s="609">
        <f>SUMIFS(CS_인건비!BE$5:BE$100,CS_인건비!$B$5:$B$100,'1.인건비_요약'!$C60,CS_인건비!$C$5:$C$100,'1.인건비_요약'!$D60)</f>
        <v>0</v>
      </c>
      <c r="O60" s="609">
        <f>SUMIFS(CS_인건비!BF$5:BF$100,CS_인건비!$B$5:$B$100,'1.인건비_요약'!$C60,CS_인건비!$C$5:$C$100,'1.인건비_요약'!$D60)</f>
        <v>0</v>
      </c>
      <c r="P60" s="609">
        <f>SUMIFS(CS_인건비!BG$5:BG$100,CS_인건비!$B$5:$B$100,'1.인건비_요약'!$C60,CS_인건비!$C$5:$C$100,'1.인건비_요약'!$D60)</f>
        <v>0</v>
      </c>
      <c r="Q60" s="609">
        <f>SUMIFS(CS_인건비!BH$5:BH$100,CS_인건비!$B$5:$B$100,'1.인건비_요약'!$C60,CS_인건비!$C$5:$C$100,'1.인건비_요약'!$D60)</f>
        <v>0</v>
      </c>
      <c r="R60" s="610">
        <f>SUMIFS(CS_인건비!BI$5:BI$100,CS_인건비!$B$5:$B$100,'1.인건비_요약'!$C60,CS_인건비!$C$5:$C$100,'1.인건비_요약'!$D60)</f>
        <v>0</v>
      </c>
    </row>
    <row r="61" spans="1:37" ht="17.399999999999999" customHeight="1">
      <c r="C61" s="607" t="s">
        <v>193</v>
      </c>
      <c r="D61" s="608" t="s">
        <v>1510</v>
      </c>
      <c r="E61" s="608"/>
      <c r="F61" s="608"/>
      <c r="G61" s="611">
        <f>SUM(H61:R61)</f>
        <v>1668450000</v>
      </c>
      <c r="H61" s="609">
        <f>SUMIFS(CS_인건비!AY$5:AY$100,CS_인건비!$B$5:$B$100,'1.인건비_요약'!$C61,CS_인건비!$C$5:$C$100,'1.인건비_요약'!$D61)</f>
        <v>118650000</v>
      </c>
      <c r="I61" s="609">
        <f>SUMIFS(CS_인건비!AZ$5:AZ$100,CS_인건비!$B$5:$B$100,'1.인건비_요약'!$C61,CS_인건비!$C$5:$C$100,'1.인건비_요약'!$D61)</f>
        <v>172200000</v>
      </c>
      <c r="J61" s="609">
        <f>SUMIFS(CS_인건비!BA$5:BA$100,CS_인건비!$B$5:$B$100,'1.인건비_요약'!$C61,CS_인건비!$C$5:$C$100,'1.인건비_요약'!$D61)</f>
        <v>172200000</v>
      </c>
      <c r="K61" s="609">
        <f>SUMIFS(CS_인건비!BB$5:BB$100,CS_인건비!$B$5:$B$100,'1.인건비_요약'!$C61,CS_인건비!$C$5:$C$100,'1.인건비_요약'!$D61)</f>
        <v>172200000</v>
      </c>
      <c r="L61" s="609">
        <f>SUMIFS(CS_인건비!BC$5:BC$100,CS_인건비!$B$5:$B$100,'1.인건비_요약'!$C61,CS_인건비!$C$5:$C$100,'1.인건비_요약'!$D61)</f>
        <v>172200000</v>
      </c>
      <c r="M61" s="609">
        <f>SUMIFS(CS_인건비!BD$5:BD$100,CS_인건비!$B$5:$B$100,'1.인건비_요약'!$C61,CS_인건비!$C$5:$C$100,'1.인건비_요약'!$D61)</f>
        <v>172200000</v>
      </c>
      <c r="N61" s="609">
        <f>SUMIFS(CS_인건비!BE$5:BE$100,CS_인건비!$B$5:$B$100,'1.인건비_요약'!$C61,CS_인건비!$C$5:$C$100,'1.인건비_요약'!$D61)</f>
        <v>172200000</v>
      </c>
      <c r="O61" s="609">
        <f>SUMIFS(CS_인건비!BF$5:BF$100,CS_인건비!$B$5:$B$100,'1.인건비_요약'!$C61,CS_인건비!$C$5:$C$100,'1.인건비_요약'!$D61)</f>
        <v>172200000</v>
      </c>
      <c r="P61" s="609">
        <f>SUMIFS(CS_인건비!BG$5:BG$100,CS_인건비!$B$5:$B$100,'1.인건비_요약'!$C61,CS_인건비!$C$5:$C$100,'1.인건비_요약'!$D61)</f>
        <v>172200000</v>
      </c>
      <c r="Q61" s="609">
        <f>SUMIFS(CS_인건비!BH$5:BH$100,CS_인건비!$B$5:$B$100,'1.인건비_요약'!$C61,CS_인건비!$C$5:$C$100,'1.인건비_요약'!$D61)</f>
        <v>172200000</v>
      </c>
      <c r="R61" s="610">
        <f>SUMIFS(CS_인건비!BI$5:BI$100,CS_인건비!$B$5:$B$100,'1.인건비_요약'!$C61,CS_인건비!$C$5:$C$100,'1.인건비_요약'!$D61)</f>
        <v>0</v>
      </c>
      <c r="V61" s="2" t="s">
        <v>1541</v>
      </c>
    </row>
    <row r="62" spans="1:37" ht="17.399999999999999" customHeight="1" thickBot="1">
      <c r="C62" s="612" t="s">
        <v>195</v>
      </c>
      <c r="D62" s="613" t="s">
        <v>1510</v>
      </c>
      <c r="E62" s="613"/>
      <c r="F62" s="613"/>
      <c r="G62" s="614">
        <f>SUM(H62:R62)</f>
        <v>2088450000</v>
      </c>
      <c r="H62" s="615">
        <f>SUMIFS(CS_인건비!AY$5:AY$100,CS_인건비!$B$5:$B$100,'1.인건비_요약'!$C62,CS_인건비!$C$5:$C$100,'1.인건비_요약'!$D62)</f>
        <v>160650000</v>
      </c>
      <c r="I62" s="615">
        <f>SUMIFS(CS_인건비!AZ$5:AZ$100,CS_인건비!$B$5:$B$100,'1.인건비_요약'!$C62,CS_인건비!$C$5:$C$100,'1.인건비_요약'!$D62)</f>
        <v>214200000</v>
      </c>
      <c r="J62" s="615">
        <f>SUMIFS(CS_인건비!BA$5:BA$100,CS_인건비!$B$5:$B$100,'1.인건비_요약'!$C62,CS_인건비!$C$5:$C$100,'1.인건비_요약'!$D62)</f>
        <v>214200000</v>
      </c>
      <c r="K62" s="615">
        <f>SUMIFS(CS_인건비!BB$5:BB$100,CS_인건비!$B$5:$B$100,'1.인건비_요약'!$C62,CS_인건비!$C$5:$C$100,'1.인건비_요약'!$D62)</f>
        <v>214200000</v>
      </c>
      <c r="L62" s="615">
        <f>SUMIFS(CS_인건비!BC$5:BC$100,CS_인건비!$B$5:$B$100,'1.인건비_요약'!$C62,CS_인건비!$C$5:$C$100,'1.인건비_요약'!$D62)</f>
        <v>214200000</v>
      </c>
      <c r="M62" s="615">
        <f>SUMIFS(CS_인건비!BD$5:BD$100,CS_인건비!$B$5:$B$100,'1.인건비_요약'!$C62,CS_인건비!$C$5:$C$100,'1.인건비_요약'!$D62)</f>
        <v>214200000</v>
      </c>
      <c r="N62" s="615">
        <f>SUMIFS(CS_인건비!BE$5:BE$100,CS_인건비!$B$5:$B$100,'1.인건비_요약'!$C62,CS_인건비!$C$5:$C$100,'1.인건비_요약'!$D62)</f>
        <v>214200000</v>
      </c>
      <c r="O62" s="615">
        <f>SUMIFS(CS_인건비!BF$5:BF$100,CS_인건비!$B$5:$B$100,'1.인건비_요약'!$C62,CS_인건비!$C$5:$C$100,'1.인건비_요약'!$D62)</f>
        <v>214200000</v>
      </c>
      <c r="P62" s="615">
        <f>SUMIFS(CS_인건비!BG$5:BG$100,CS_인건비!$B$5:$B$100,'1.인건비_요약'!$C62,CS_인건비!$C$5:$C$100,'1.인건비_요약'!$D62)</f>
        <v>214200000</v>
      </c>
      <c r="Q62" s="615">
        <f>SUMIFS(CS_인건비!BH$5:BH$100,CS_인건비!$B$5:$B$100,'1.인건비_요약'!$C62,CS_인건비!$C$5:$C$100,'1.인건비_요약'!$D62)</f>
        <v>214200000</v>
      </c>
      <c r="R62" s="616">
        <f>SUMIFS(CS_인건비!BI$5:BI$100,CS_인건비!$B$5:$B$100,'1.인건비_요약'!$C62,CS_인건비!$C$5:$C$100,'1.인건비_요약'!$D62)</f>
        <v>0</v>
      </c>
      <c r="V62" s="79" t="s">
        <v>1542</v>
      </c>
      <c r="W62" s="79" t="s">
        <v>1543</v>
      </c>
      <c r="X62" s="79" t="s">
        <v>1544</v>
      </c>
      <c r="Y62" s="79"/>
      <c r="Z62" s="79" t="s">
        <v>231</v>
      </c>
      <c r="AA62" s="79" t="s">
        <v>1529</v>
      </c>
      <c r="AB62" s="79" t="s">
        <v>232</v>
      </c>
      <c r="AC62" s="79" t="s">
        <v>233</v>
      </c>
      <c r="AD62" s="79" t="s">
        <v>234</v>
      </c>
      <c r="AE62" s="79" t="s">
        <v>235</v>
      </c>
      <c r="AF62" s="79" t="s">
        <v>236</v>
      </c>
      <c r="AG62" s="79" t="s">
        <v>237</v>
      </c>
      <c r="AH62" s="79" t="s">
        <v>238</v>
      </c>
      <c r="AI62" s="79" t="s">
        <v>239</v>
      </c>
      <c r="AJ62" s="79" t="s">
        <v>240</v>
      </c>
      <c r="AK62" s="79" t="s">
        <v>172</v>
      </c>
    </row>
    <row r="63" spans="1:37" ht="17.399999999999999" customHeight="1">
      <c r="G63" s="542"/>
      <c r="V63" s="15" t="s">
        <v>157</v>
      </c>
      <c r="W63" s="15" t="s">
        <v>1436</v>
      </c>
      <c r="X63" s="15"/>
      <c r="Y63" s="15"/>
      <c r="Z63" s="15"/>
      <c r="AA63" s="544">
        <f>H36*AA39</f>
        <v>0</v>
      </c>
      <c r="AB63" s="544">
        <f t="shared" ref="AB63:AK63" si="115">I36*AB39</f>
        <v>3.2101000000000002</v>
      </c>
      <c r="AC63" s="544">
        <f t="shared" si="115"/>
        <v>3.2101000000000002</v>
      </c>
      <c r="AD63" s="544">
        <f t="shared" si="115"/>
        <v>7.2100999999999988</v>
      </c>
      <c r="AE63" s="544">
        <f t="shared" si="115"/>
        <v>7.2101000000000006</v>
      </c>
      <c r="AF63" s="544">
        <f t="shared" si="115"/>
        <v>7.2101000000000006</v>
      </c>
      <c r="AG63" s="544">
        <f t="shared" si="115"/>
        <v>7.2101000000000006</v>
      </c>
      <c r="AH63" s="544">
        <f t="shared" si="115"/>
        <v>7.2101000000000006</v>
      </c>
      <c r="AI63" s="544">
        <f t="shared" si="115"/>
        <v>7.2101000000000006</v>
      </c>
      <c r="AJ63" s="544">
        <f t="shared" si="115"/>
        <v>7.2101000000000006</v>
      </c>
      <c r="AK63" s="544">
        <f t="shared" si="115"/>
        <v>0</v>
      </c>
    </row>
    <row r="64" spans="1:37" ht="17.399999999999999" customHeight="1" thickBot="1">
      <c r="C64" s="77" t="s">
        <v>1486</v>
      </c>
      <c r="D64" s="78"/>
      <c r="E64" s="78"/>
      <c r="F64" s="102"/>
      <c r="G64" s="78"/>
      <c r="V64" s="15" t="s">
        <v>193</v>
      </c>
      <c r="W64" s="15" t="s">
        <v>1528</v>
      </c>
      <c r="X64" s="15"/>
      <c r="Y64" s="15"/>
      <c r="Z64" s="15"/>
      <c r="AA64" s="544">
        <f>H38*AA46</f>
        <v>0</v>
      </c>
      <c r="AB64" s="544">
        <f t="shared" ref="AB64:AK64" si="116">I38*AB46</f>
        <v>0.47809999999999997</v>
      </c>
      <c r="AC64" s="544">
        <f t="shared" si="116"/>
        <v>0.47809999999999997</v>
      </c>
      <c r="AD64" s="544">
        <f t="shared" si="116"/>
        <v>0.65310000000000001</v>
      </c>
      <c r="AE64" s="544">
        <f t="shared" si="116"/>
        <v>0.65310000000000001</v>
      </c>
      <c r="AF64" s="544">
        <f t="shared" si="116"/>
        <v>0.65310000000000001</v>
      </c>
      <c r="AG64" s="544">
        <f t="shared" si="116"/>
        <v>0.65310000000000001</v>
      </c>
      <c r="AH64" s="544">
        <f t="shared" si="116"/>
        <v>0.65310000000000001</v>
      </c>
      <c r="AI64" s="544">
        <f t="shared" si="116"/>
        <v>0.65310000000000001</v>
      </c>
      <c r="AJ64" s="544">
        <f t="shared" si="116"/>
        <v>0.65310000000000001</v>
      </c>
      <c r="AK64" s="544">
        <f t="shared" si="116"/>
        <v>0</v>
      </c>
    </row>
    <row r="65" spans="1:37" ht="17.399999999999999" customHeight="1">
      <c r="C65" s="618" t="s">
        <v>1</v>
      </c>
      <c r="D65" s="619" t="s">
        <v>179</v>
      </c>
      <c r="E65" s="619" t="s">
        <v>241</v>
      </c>
      <c r="F65" s="619"/>
      <c r="G65" s="619" t="s">
        <v>231</v>
      </c>
      <c r="H65" s="619" t="s">
        <v>41</v>
      </c>
      <c r="I65" s="619" t="s">
        <v>232</v>
      </c>
      <c r="J65" s="619" t="s">
        <v>233</v>
      </c>
      <c r="K65" s="619" t="s">
        <v>234</v>
      </c>
      <c r="L65" s="619" t="s">
        <v>235</v>
      </c>
      <c r="M65" s="619" t="s">
        <v>236</v>
      </c>
      <c r="N65" s="619" t="s">
        <v>237</v>
      </c>
      <c r="O65" s="619" t="s">
        <v>238</v>
      </c>
      <c r="P65" s="619" t="s">
        <v>239</v>
      </c>
      <c r="Q65" s="619" t="s">
        <v>240</v>
      </c>
      <c r="R65" s="620" t="s">
        <v>172</v>
      </c>
      <c r="V65" s="624" t="s">
        <v>1545</v>
      </c>
      <c r="W65" s="624" t="s">
        <v>1436</v>
      </c>
      <c r="X65" s="624"/>
      <c r="Y65" s="624"/>
      <c r="Z65" s="624"/>
      <c r="AA65" s="625">
        <f>H40*AA50</f>
        <v>0</v>
      </c>
      <c r="AB65" s="625">
        <f t="shared" ref="AB65:AK65" si="117">I40*AB50</f>
        <v>1.6450000000000002</v>
      </c>
      <c r="AC65" s="625">
        <f t="shared" si="117"/>
        <v>1.6450000000000002</v>
      </c>
      <c r="AD65" s="625">
        <f t="shared" si="117"/>
        <v>1.6450000000000002</v>
      </c>
      <c r="AE65" s="625">
        <f t="shared" si="117"/>
        <v>1.6450000000000002</v>
      </c>
      <c r="AF65" s="625">
        <f t="shared" si="117"/>
        <v>1.6450000000000002</v>
      </c>
      <c r="AG65" s="625">
        <f t="shared" si="117"/>
        <v>1.6450000000000002</v>
      </c>
      <c r="AH65" s="625">
        <f t="shared" si="117"/>
        <v>1.6450000000000002</v>
      </c>
      <c r="AI65" s="625">
        <f t="shared" si="117"/>
        <v>1.6450000000000002</v>
      </c>
      <c r="AJ65" s="625">
        <f t="shared" si="117"/>
        <v>1.6450000000000002</v>
      </c>
      <c r="AK65" s="625">
        <f t="shared" si="117"/>
        <v>0</v>
      </c>
    </row>
    <row r="66" spans="1:37" ht="17.399999999999999" customHeight="1">
      <c r="C66" s="589" t="s">
        <v>1443</v>
      </c>
      <c r="D66" s="590" t="s">
        <v>1444</v>
      </c>
      <c r="E66" s="590"/>
      <c r="F66" s="590"/>
      <c r="G66" s="598">
        <f>AVERAGE(H66:Q66)</f>
        <v>10</v>
      </c>
      <c r="H66" s="599">
        <f t="shared" ref="H66:R66" si="118">H35</f>
        <v>10</v>
      </c>
      <c r="I66" s="599">
        <f t="shared" si="118"/>
        <v>10</v>
      </c>
      <c r="J66" s="599">
        <f t="shared" si="118"/>
        <v>10</v>
      </c>
      <c r="K66" s="599">
        <f t="shared" si="118"/>
        <v>10</v>
      </c>
      <c r="L66" s="599">
        <f t="shared" si="118"/>
        <v>10</v>
      </c>
      <c r="M66" s="599">
        <f t="shared" si="118"/>
        <v>10</v>
      </c>
      <c r="N66" s="599">
        <f t="shared" si="118"/>
        <v>10</v>
      </c>
      <c r="O66" s="599">
        <f t="shared" si="118"/>
        <v>10</v>
      </c>
      <c r="P66" s="599">
        <f t="shared" si="118"/>
        <v>10</v>
      </c>
      <c r="Q66" s="599">
        <f t="shared" si="118"/>
        <v>10</v>
      </c>
      <c r="R66" s="600">
        <f t="shared" si="118"/>
        <v>0</v>
      </c>
      <c r="V66" s="626"/>
      <c r="W66" s="626"/>
      <c r="X66" s="626"/>
      <c r="Y66" s="626"/>
      <c r="Z66" s="626"/>
      <c r="AA66" s="626"/>
      <c r="AB66" s="626"/>
      <c r="AC66" s="626"/>
      <c r="AD66" s="626"/>
      <c r="AE66" s="626"/>
      <c r="AF66" s="626"/>
      <c r="AG66" s="626"/>
      <c r="AH66" s="626"/>
      <c r="AI66" s="626"/>
      <c r="AJ66" s="626"/>
      <c r="AK66" s="626"/>
    </row>
    <row r="67" spans="1:37" ht="17.399999999999999" customHeight="1">
      <c r="C67" s="589" t="s">
        <v>1443</v>
      </c>
      <c r="D67" s="590" t="s">
        <v>1445</v>
      </c>
      <c r="E67" s="590"/>
      <c r="F67" s="590"/>
      <c r="G67" s="598">
        <f t="shared" ref="G67:G75" si="119">AVERAGE(H67:Q67)</f>
        <v>47</v>
      </c>
      <c r="H67" s="599">
        <f t="shared" ref="H67:R67" si="120">H36-AA77</f>
        <v>47</v>
      </c>
      <c r="I67" s="599">
        <f t="shared" si="120"/>
        <v>47</v>
      </c>
      <c r="J67" s="599">
        <f t="shared" si="120"/>
        <v>47</v>
      </c>
      <c r="K67" s="599">
        <f t="shared" si="120"/>
        <v>47</v>
      </c>
      <c r="L67" s="599">
        <f t="shared" si="120"/>
        <v>47</v>
      </c>
      <c r="M67" s="599">
        <f t="shared" si="120"/>
        <v>47</v>
      </c>
      <c r="N67" s="599">
        <f t="shared" si="120"/>
        <v>47</v>
      </c>
      <c r="O67" s="599">
        <f t="shared" si="120"/>
        <v>47</v>
      </c>
      <c r="P67" s="599">
        <f t="shared" si="120"/>
        <v>47</v>
      </c>
      <c r="Q67" s="599">
        <f t="shared" si="120"/>
        <v>47</v>
      </c>
      <c r="R67" s="600">
        <f t="shared" si="120"/>
        <v>0</v>
      </c>
      <c r="V67" s="627"/>
      <c r="W67" s="627"/>
      <c r="X67" s="627"/>
      <c r="Y67" s="627"/>
      <c r="Z67" s="627"/>
      <c r="AA67" s="628"/>
      <c r="AB67" s="628"/>
      <c r="AC67" s="628"/>
      <c r="AD67" s="628"/>
      <c r="AE67" s="628"/>
      <c r="AF67" s="628"/>
      <c r="AG67" s="628"/>
      <c r="AH67" s="628"/>
      <c r="AI67" s="628"/>
      <c r="AJ67" s="628"/>
      <c r="AK67" s="628"/>
    </row>
    <row r="68" spans="1:37" s="40" customFormat="1" ht="17.399999999999999" customHeight="1">
      <c r="A68" s="553"/>
      <c r="C68" s="591" t="s">
        <v>1517</v>
      </c>
      <c r="D68" s="592"/>
      <c r="E68" s="592"/>
      <c r="F68" s="592"/>
      <c r="G68" s="602">
        <f t="shared" si="119"/>
        <v>57</v>
      </c>
      <c r="H68" s="602">
        <f t="shared" ref="H68:R68" si="121">SUM(H66:H67)</f>
        <v>57</v>
      </c>
      <c r="I68" s="602">
        <f t="shared" si="121"/>
        <v>57</v>
      </c>
      <c r="J68" s="602">
        <f t="shared" si="121"/>
        <v>57</v>
      </c>
      <c r="K68" s="602">
        <f t="shared" si="121"/>
        <v>57</v>
      </c>
      <c r="L68" s="602">
        <f t="shared" si="121"/>
        <v>57</v>
      </c>
      <c r="M68" s="602">
        <f t="shared" si="121"/>
        <v>57</v>
      </c>
      <c r="N68" s="602">
        <f t="shared" si="121"/>
        <v>57</v>
      </c>
      <c r="O68" s="602">
        <f t="shared" si="121"/>
        <v>57</v>
      </c>
      <c r="P68" s="602">
        <f t="shared" si="121"/>
        <v>57</v>
      </c>
      <c r="Q68" s="602">
        <f t="shared" si="121"/>
        <v>57</v>
      </c>
      <c r="R68" s="603">
        <f t="shared" si="121"/>
        <v>0</v>
      </c>
      <c r="V68" s="627"/>
      <c r="W68" s="627"/>
      <c r="X68" s="627"/>
      <c r="Y68" s="627"/>
      <c r="Z68" s="627"/>
      <c r="AA68" s="628"/>
      <c r="AB68" s="628"/>
      <c r="AC68" s="628"/>
      <c r="AD68" s="628"/>
      <c r="AE68" s="628"/>
      <c r="AF68" s="628"/>
      <c r="AG68" s="628"/>
      <c r="AH68" s="628"/>
      <c r="AI68" s="628"/>
      <c r="AJ68" s="628"/>
      <c r="AK68" s="628"/>
    </row>
    <row r="69" spans="1:37" ht="17.399999999999999" customHeight="1">
      <c r="C69" s="589" t="s">
        <v>1446</v>
      </c>
      <c r="D69" s="590" t="s">
        <v>1444</v>
      </c>
      <c r="E69" s="590"/>
      <c r="F69" s="590"/>
      <c r="G69" s="598">
        <f t="shared" si="119"/>
        <v>7.1749999999999998</v>
      </c>
      <c r="H69" s="599">
        <f t="shared" ref="H69:R69" si="122">H38</f>
        <v>8.75</v>
      </c>
      <c r="I69" s="599">
        <f t="shared" si="122"/>
        <v>7</v>
      </c>
      <c r="J69" s="599">
        <f t="shared" si="122"/>
        <v>7</v>
      </c>
      <c r="K69" s="599">
        <f t="shared" si="122"/>
        <v>7</v>
      </c>
      <c r="L69" s="599">
        <f t="shared" si="122"/>
        <v>7</v>
      </c>
      <c r="M69" s="599">
        <f t="shared" si="122"/>
        <v>7</v>
      </c>
      <c r="N69" s="599">
        <f t="shared" si="122"/>
        <v>7</v>
      </c>
      <c r="O69" s="599">
        <f t="shared" si="122"/>
        <v>7</v>
      </c>
      <c r="P69" s="599">
        <f t="shared" si="122"/>
        <v>7</v>
      </c>
      <c r="Q69" s="599">
        <f t="shared" si="122"/>
        <v>7</v>
      </c>
      <c r="R69" s="600">
        <f t="shared" si="122"/>
        <v>0</v>
      </c>
      <c r="V69" s="627"/>
      <c r="W69" s="627"/>
      <c r="X69" s="627"/>
      <c r="Y69" s="627"/>
      <c r="Z69" s="627"/>
      <c r="AA69" s="628"/>
      <c r="AB69" s="628"/>
      <c r="AC69" s="628"/>
      <c r="AD69" s="628"/>
      <c r="AE69" s="628"/>
      <c r="AF69" s="628"/>
      <c r="AG69" s="628"/>
      <c r="AH69" s="628"/>
      <c r="AI69" s="628"/>
      <c r="AJ69" s="628"/>
      <c r="AK69" s="628"/>
    </row>
    <row r="70" spans="1:37" ht="17.399999999999999" customHeight="1">
      <c r="C70" s="589" t="s">
        <v>1447</v>
      </c>
      <c r="D70" s="590" t="s">
        <v>1445</v>
      </c>
      <c r="E70" s="590"/>
      <c r="F70" s="590"/>
      <c r="G70" s="598">
        <f t="shared" si="119"/>
        <v>38.549999999999997</v>
      </c>
      <c r="H70" s="599">
        <f t="shared" ref="H70:R70" si="123">H39-AA78</f>
        <v>25.5</v>
      </c>
      <c r="I70" s="599">
        <f t="shared" si="123"/>
        <v>40</v>
      </c>
      <c r="J70" s="599">
        <f t="shared" si="123"/>
        <v>40</v>
      </c>
      <c r="K70" s="599">
        <f t="shared" si="123"/>
        <v>40</v>
      </c>
      <c r="L70" s="599">
        <f t="shared" si="123"/>
        <v>40</v>
      </c>
      <c r="M70" s="599">
        <f t="shared" si="123"/>
        <v>40</v>
      </c>
      <c r="N70" s="599">
        <f t="shared" si="123"/>
        <v>40</v>
      </c>
      <c r="O70" s="599">
        <f t="shared" si="123"/>
        <v>40</v>
      </c>
      <c r="P70" s="599">
        <f t="shared" si="123"/>
        <v>40</v>
      </c>
      <c r="Q70" s="599">
        <f t="shared" si="123"/>
        <v>40</v>
      </c>
      <c r="R70" s="600">
        <f t="shared" si="123"/>
        <v>0</v>
      </c>
      <c r="V70" s="627"/>
      <c r="W70" s="627"/>
      <c r="X70" s="627"/>
      <c r="Y70" s="627"/>
      <c r="Z70" s="627"/>
      <c r="AA70" s="627"/>
      <c r="AB70" s="627"/>
      <c r="AC70" s="627"/>
      <c r="AD70" s="627"/>
      <c r="AE70" s="627"/>
      <c r="AF70" s="627"/>
      <c r="AG70" s="627"/>
      <c r="AH70" s="627"/>
      <c r="AI70" s="627"/>
      <c r="AJ70" s="627"/>
      <c r="AK70" s="627"/>
    </row>
    <row r="71" spans="1:37" s="40" customFormat="1" ht="17.399999999999999" customHeight="1">
      <c r="A71" s="553"/>
      <c r="C71" s="591" t="s">
        <v>1515</v>
      </c>
      <c r="D71" s="592"/>
      <c r="E71" s="592"/>
      <c r="F71" s="592"/>
      <c r="G71" s="602">
        <f t="shared" si="119"/>
        <v>45.725000000000001</v>
      </c>
      <c r="H71" s="602">
        <f t="shared" ref="H71" si="124">SUM(H69:H70)</f>
        <v>34.25</v>
      </c>
      <c r="I71" s="602">
        <f t="shared" ref="I71" si="125">SUM(I69:I70)</f>
        <v>47</v>
      </c>
      <c r="J71" s="602">
        <f t="shared" ref="J71" si="126">SUM(J69:J70)</f>
        <v>47</v>
      </c>
      <c r="K71" s="602">
        <f t="shared" ref="K71" si="127">SUM(K69:K70)</f>
        <v>47</v>
      </c>
      <c r="L71" s="602">
        <f t="shared" ref="L71" si="128">SUM(L69:L70)</f>
        <v>47</v>
      </c>
      <c r="M71" s="602">
        <f t="shared" ref="M71" si="129">SUM(M69:M70)</f>
        <v>47</v>
      </c>
      <c r="N71" s="602">
        <f t="shared" ref="N71" si="130">SUM(N69:N70)</f>
        <v>47</v>
      </c>
      <c r="O71" s="602">
        <f t="shared" ref="O71" si="131">SUM(O69:O70)</f>
        <v>47</v>
      </c>
      <c r="P71" s="602">
        <f t="shared" ref="P71" si="132">SUM(P69:P70)</f>
        <v>47</v>
      </c>
      <c r="Q71" s="602">
        <f t="shared" ref="Q71" si="133">SUM(Q69:Q70)</f>
        <v>47</v>
      </c>
      <c r="R71" s="603">
        <f t="shared" ref="R71" si="134">SUM(R69:R70)</f>
        <v>0</v>
      </c>
      <c r="V71" s="629"/>
      <c r="W71" s="629"/>
      <c r="X71" s="629"/>
      <c r="Y71" s="629"/>
      <c r="Z71" s="629"/>
      <c r="AA71" s="629"/>
      <c r="AB71" s="629"/>
      <c r="AC71" s="629"/>
      <c r="AD71" s="629"/>
      <c r="AE71" s="629"/>
      <c r="AF71" s="629"/>
      <c r="AG71" s="629"/>
      <c r="AH71" s="629"/>
      <c r="AI71" s="629"/>
      <c r="AJ71" s="629"/>
      <c r="AK71" s="629"/>
    </row>
    <row r="72" spans="1:37" ht="17.399999999999999" customHeight="1">
      <c r="C72" s="589" t="s">
        <v>1448</v>
      </c>
      <c r="D72" s="590" t="s">
        <v>1444</v>
      </c>
      <c r="E72" s="590"/>
      <c r="F72" s="590"/>
      <c r="G72" s="598">
        <f t="shared" si="119"/>
        <v>10.826972010178135</v>
      </c>
      <c r="H72" s="599">
        <f t="shared" ref="H72:R72" si="135">H41</f>
        <v>10.826972010178126</v>
      </c>
      <c r="I72" s="599">
        <f t="shared" si="135"/>
        <v>10.826972010178126</v>
      </c>
      <c r="J72" s="599">
        <f t="shared" si="135"/>
        <v>10.826972010178133</v>
      </c>
      <c r="K72" s="599">
        <f t="shared" si="135"/>
        <v>10.826972010178133</v>
      </c>
      <c r="L72" s="599">
        <f t="shared" si="135"/>
        <v>10.826972010178133</v>
      </c>
      <c r="M72" s="599">
        <f t="shared" si="135"/>
        <v>10.826972010178133</v>
      </c>
      <c r="N72" s="599">
        <f t="shared" si="135"/>
        <v>10.826972010178133</v>
      </c>
      <c r="O72" s="599">
        <f t="shared" si="135"/>
        <v>10.826972010178133</v>
      </c>
      <c r="P72" s="599">
        <f t="shared" si="135"/>
        <v>10.826972010178133</v>
      </c>
      <c r="Q72" s="599">
        <f t="shared" si="135"/>
        <v>10.826972010178133</v>
      </c>
      <c r="R72" s="600">
        <f t="shared" si="135"/>
        <v>0</v>
      </c>
      <c r="V72" s="627"/>
      <c r="W72" s="627"/>
      <c r="X72" s="627"/>
      <c r="Y72" s="627"/>
      <c r="Z72" s="627"/>
      <c r="AA72" s="627"/>
      <c r="AB72" s="627"/>
      <c r="AC72" s="627"/>
      <c r="AD72" s="627"/>
      <c r="AE72" s="627"/>
      <c r="AF72" s="627"/>
      <c r="AG72" s="627"/>
      <c r="AH72" s="627"/>
      <c r="AI72" s="627"/>
      <c r="AJ72" s="627"/>
      <c r="AK72" s="627"/>
    </row>
    <row r="73" spans="1:37" ht="17.399999999999999" customHeight="1">
      <c r="C73" s="589" t="s">
        <v>1448</v>
      </c>
      <c r="D73" s="590" t="s">
        <v>1445</v>
      </c>
      <c r="E73" s="590"/>
      <c r="F73" s="590"/>
      <c r="G73" s="598">
        <f t="shared" si="119"/>
        <v>63.17302798982189</v>
      </c>
      <c r="H73" s="599">
        <f t="shared" ref="H73:R73" si="136">H42-AA79</f>
        <v>63.173027989821939</v>
      </c>
      <c r="I73" s="599">
        <f t="shared" si="136"/>
        <v>63.173027989821939</v>
      </c>
      <c r="J73" s="599">
        <f t="shared" si="136"/>
        <v>63.173027989821882</v>
      </c>
      <c r="K73" s="599">
        <f t="shared" si="136"/>
        <v>63.173027989821882</v>
      </c>
      <c r="L73" s="599">
        <f t="shared" si="136"/>
        <v>63.173027989821882</v>
      </c>
      <c r="M73" s="599">
        <f t="shared" si="136"/>
        <v>63.173027989821882</v>
      </c>
      <c r="N73" s="599">
        <f t="shared" si="136"/>
        <v>63.173027989821882</v>
      </c>
      <c r="O73" s="599">
        <f t="shared" si="136"/>
        <v>63.173027989821882</v>
      </c>
      <c r="P73" s="599">
        <f t="shared" si="136"/>
        <v>63.173027989821882</v>
      </c>
      <c r="Q73" s="599">
        <f t="shared" si="136"/>
        <v>63.173027989821882</v>
      </c>
      <c r="R73" s="600">
        <f t="shared" si="136"/>
        <v>0</v>
      </c>
      <c r="V73" s="627"/>
      <c r="W73" s="627"/>
      <c r="X73" s="627"/>
      <c r="Y73" s="627"/>
      <c r="Z73" s="627"/>
      <c r="AA73" s="627"/>
      <c r="AB73" s="627"/>
      <c r="AC73" s="627"/>
      <c r="AD73" s="627"/>
      <c r="AE73" s="627"/>
      <c r="AF73" s="627"/>
      <c r="AG73" s="627"/>
      <c r="AH73" s="627"/>
      <c r="AI73" s="627"/>
      <c r="AJ73" s="627"/>
      <c r="AK73" s="627"/>
    </row>
    <row r="74" spans="1:37" s="40" customFormat="1" ht="17.399999999999999" customHeight="1">
      <c r="A74" s="553"/>
      <c r="C74" s="591" t="s">
        <v>1518</v>
      </c>
      <c r="D74" s="592"/>
      <c r="E74" s="592"/>
      <c r="F74" s="592"/>
      <c r="G74" s="602">
        <f t="shared" si="119"/>
        <v>74.000000000000028</v>
      </c>
      <c r="H74" s="602">
        <f t="shared" ref="H74" si="137">SUM(H72:H73)</f>
        <v>74.000000000000071</v>
      </c>
      <c r="I74" s="602">
        <f t="shared" ref="I74" si="138">SUM(I72:I73)</f>
        <v>74.000000000000071</v>
      </c>
      <c r="J74" s="602">
        <f t="shared" ref="J74" si="139">SUM(J72:J73)</f>
        <v>74.000000000000014</v>
      </c>
      <c r="K74" s="602">
        <f t="shared" ref="K74" si="140">SUM(K72:K73)</f>
        <v>74.000000000000014</v>
      </c>
      <c r="L74" s="602">
        <f t="shared" ref="L74" si="141">SUM(L72:L73)</f>
        <v>74.000000000000014</v>
      </c>
      <c r="M74" s="602">
        <f t="shared" ref="M74" si="142">SUM(M72:M73)</f>
        <v>74.000000000000014</v>
      </c>
      <c r="N74" s="602">
        <f t="shared" ref="N74" si="143">SUM(N72:N73)</f>
        <v>74.000000000000014</v>
      </c>
      <c r="O74" s="602">
        <f t="shared" ref="O74" si="144">SUM(O72:O73)</f>
        <v>74.000000000000014</v>
      </c>
      <c r="P74" s="602">
        <f t="shared" ref="P74" si="145">SUM(P72:P73)</f>
        <v>74.000000000000014</v>
      </c>
      <c r="Q74" s="602">
        <f t="shared" ref="Q74" si="146">SUM(Q72:Q73)</f>
        <v>74.000000000000014</v>
      </c>
      <c r="R74" s="603">
        <f t="shared" ref="R74" si="147">SUM(R72:R73)</f>
        <v>0</v>
      </c>
      <c r="V74" s="629"/>
      <c r="W74" s="629"/>
      <c r="X74" s="629"/>
      <c r="Y74" s="629"/>
      <c r="Z74" s="629"/>
      <c r="AA74" s="629"/>
      <c r="AB74" s="629"/>
      <c r="AC74" s="629"/>
      <c r="AD74" s="629"/>
      <c r="AE74" s="629"/>
      <c r="AF74" s="629"/>
      <c r="AG74" s="629"/>
      <c r="AH74" s="629"/>
      <c r="AI74" s="629"/>
      <c r="AJ74" s="629"/>
      <c r="AK74" s="629"/>
    </row>
    <row r="75" spans="1:37" ht="17.399999999999999" customHeight="1">
      <c r="C75" s="604" t="s">
        <v>1521</v>
      </c>
      <c r="D75" s="617"/>
      <c r="E75" s="484"/>
      <c r="F75" s="593"/>
      <c r="G75" s="605">
        <f t="shared" si="119"/>
        <v>279.45</v>
      </c>
      <c r="H75" s="605">
        <f t="shared" ref="H75:R75" si="148">SUM(H66:H73)</f>
        <v>256.50000000000006</v>
      </c>
      <c r="I75" s="605">
        <f t="shared" si="148"/>
        <v>282.00000000000006</v>
      </c>
      <c r="J75" s="605">
        <f t="shared" si="148"/>
        <v>282</v>
      </c>
      <c r="K75" s="605">
        <f t="shared" si="148"/>
        <v>282</v>
      </c>
      <c r="L75" s="605">
        <f t="shared" si="148"/>
        <v>282</v>
      </c>
      <c r="M75" s="605">
        <f t="shared" si="148"/>
        <v>282</v>
      </c>
      <c r="N75" s="605">
        <f t="shared" si="148"/>
        <v>282</v>
      </c>
      <c r="O75" s="605">
        <f t="shared" si="148"/>
        <v>282</v>
      </c>
      <c r="P75" s="605">
        <f t="shared" si="148"/>
        <v>282</v>
      </c>
      <c r="Q75" s="605">
        <f t="shared" si="148"/>
        <v>282</v>
      </c>
      <c r="R75" s="606">
        <f t="shared" si="148"/>
        <v>0</v>
      </c>
      <c r="V75" s="627"/>
      <c r="W75" s="627"/>
      <c r="X75" s="627"/>
      <c r="Y75" s="627"/>
      <c r="Z75" s="627"/>
      <c r="AA75" s="627"/>
      <c r="AB75" s="627"/>
      <c r="AC75" s="627"/>
      <c r="AD75" s="627"/>
      <c r="AE75" s="627"/>
      <c r="AF75" s="627"/>
      <c r="AG75" s="627"/>
      <c r="AH75" s="627"/>
      <c r="AI75" s="627"/>
      <c r="AJ75" s="627"/>
      <c r="AK75" s="627"/>
    </row>
    <row r="76" spans="1:37" ht="17.399999999999999" customHeight="1">
      <c r="C76" s="607" t="s">
        <v>157</v>
      </c>
      <c r="D76" s="608" t="s">
        <v>1511</v>
      </c>
      <c r="E76" s="608"/>
      <c r="F76" s="608"/>
      <c r="G76" s="609">
        <f>SUM(H76:R76)</f>
        <v>0</v>
      </c>
      <c r="H76" s="609">
        <f t="shared" ref="H76:R76" si="149">H45</f>
        <v>0</v>
      </c>
      <c r="I76" s="609">
        <f t="shared" si="149"/>
        <v>0</v>
      </c>
      <c r="J76" s="609">
        <f t="shared" si="149"/>
        <v>0</v>
      </c>
      <c r="K76" s="609">
        <f t="shared" si="149"/>
        <v>0</v>
      </c>
      <c r="L76" s="609">
        <f t="shared" si="149"/>
        <v>0</v>
      </c>
      <c r="M76" s="609">
        <f t="shared" si="149"/>
        <v>0</v>
      </c>
      <c r="N76" s="609">
        <f t="shared" si="149"/>
        <v>0</v>
      </c>
      <c r="O76" s="609">
        <f t="shared" si="149"/>
        <v>0</v>
      </c>
      <c r="P76" s="609">
        <f t="shared" si="149"/>
        <v>0</v>
      </c>
      <c r="Q76" s="609">
        <f t="shared" si="149"/>
        <v>0</v>
      </c>
      <c r="R76" s="610">
        <f t="shared" si="149"/>
        <v>0</v>
      </c>
      <c r="V76" s="626"/>
      <c r="W76" s="626"/>
      <c r="X76" s="626"/>
      <c r="Y76" s="626"/>
      <c r="Z76" s="626"/>
      <c r="AA76" s="626"/>
      <c r="AB76" s="626"/>
      <c r="AC76" s="626"/>
      <c r="AD76" s="626"/>
      <c r="AE76" s="626"/>
      <c r="AF76" s="626"/>
      <c r="AG76" s="626"/>
      <c r="AH76" s="626"/>
      <c r="AI76" s="626"/>
      <c r="AJ76" s="626"/>
      <c r="AK76" s="626"/>
    </row>
    <row r="77" spans="1:37" ht="17.399999999999999" customHeight="1">
      <c r="C77" s="607" t="s">
        <v>193</v>
      </c>
      <c r="D77" s="608" t="s">
        <v>1512</v>
      </c>
      <c r="E77" s="608"/>
      <c r="F77" s="608"/>
      <c r="G77" s="609">
        <f>SUM(H77:R77)</f>
        <v>10</v>
      </c>
      <c r="H77" s="609">
        <f t="shared" ref="H77:R77" si="150">H46</f>
        <v>1</v>
      </c>
      <c r="I77" s="609">
        <f t="shared" si="150"/>
        <v>1</v>
      </c>
      <c r="J77" s="609">
        <f t="shared" si="150"/>
        <v>1</v>
      </c>
      <c r="K77" s="609">
        <f t="shared" si="150"/>
        <v>1</v>
      </c>
      <c r="L77" s="609">
        <f t="shared" si="150"/>
        <v>1</v>
      </c>
      <c r="M77" s="609">
        <f t="shared" si="150"/>
        <v>1</v>
      </c>
      <c r="N77" s="609">
        <f t="shared" si="150"/>
        <v>1</v>
      </c>
      <c r="O77" s="609">
        <f t="shared" si="150"/>
        <v>1</v>
      </c>
      <c r="P77" s="609">
        <f t="shared" si="150"/>
        <v>1</v>
      </c>
      <c r="Q77" s="609">
        <f t="shared" si="150"/>
        <v>1</v>
      </c>
      <c r="R77" s="610">
        <f t="shared" si="150"/>
        <v>0</v>
      </c>
      <c r="V77" s="627"/>
      <c r="W77" s="627"/>
      <c r="X77" s="627"/>
      <c r="Y77" s="627"/>
      <c r="Z77" s="627"/>
      <c r="AA77" s="628"/>
      <c r="AB77" s="628"/>
      <c r="AC77" s="628"/>
      <c r="AD77" s="628"/>
      <c r="AE77" s="628"/>
      <c r="AF77" s="628"/>
      <c r="AG77" s="628"/>
      <c r="AH77" s="628"/>
      <c r="AI77" s="628"/>
      <c r="AJ77" s="628"/>
      <c r="AK77" s="628"/>
    </row>
    <row r="78" spans="1:37" ht="17.399999999999999" customHeight="1" thickBot="1">
      <c r="C78" s="612" t="s">
        <v>195</v>
      </c>
      <c r="D78" s="613" t="s">
        <v>1510</v>
      </c>
      <c r="E78" s="613"/>
      <c r="F78" s="613"/>
      <c r="G78" s="615">
        <f>SUM(H78:R78)</f>
        <v>10</v>
      </c>
      <c r="H78" s="615">
        <f t="shared" ref="H78:R78" si="151">H47</f>
        <v>1</v>
      </c>
      <c r="I78" s="615">
        <f t="shared" si="151"/>
        <v>1</v>
      </c>
      <c r="J78" s="615">
        <f t="shared" si="151"/>
        <v>1</v>
      </c>
      <c r="K78" s="615">
        <f t="shared" si="151"/>
        <v>1</v>
      </c>
      <c r="L78" s="615">
        <f t="shared" si="151"/>
        <v>1</v>
      </c>
      <c r="M78" s="615">
        <f t="shared" si="151"/>
        <v>1</v>
      </c>
      <c r="N78" s="615">
        <f t="shared" si="151"/>
        <v>1</v>
      </c>
      <c r="O78" s="615">
        <f t="shared" si="151"/>
        <v>1</v>
      </c>
      <c r="P78" s="615">
        <f t="shared" si="151"/>
        <v>1</v>
      </c>
      <c r="Q78" s="615">
        <f t="shared" si="151"/>
        <v>1</v>
      </c>
      <c r="R78" s="616">
        <f t="shared" si="151"/>
        <v>0</v>
      </c>
      <c r="V78" s="627"/>
      <c r="W78" s="627"/>
      <c r="X78" s="627"/>
      <c r="Y78" s="627"/>
      <c r="Z78" s="627"/>
      <c r="AA78" s="628"/>
      <c r="AB78" s="628"/>
      <c r="AC78" s="628"/>
      <c r="AD78" s="628"/>
      <c r="AE78" s="628"/>
      <c r="AF78" s="628"/>
      <c r="AG78" s="628"/>
      <c r="AH78" s="628"/>
      <c r="AI78" s="628"/>
      <c r="AJ78" s="628"/>
      <c r="AK78" s="628"/>
    </row>
    <row r="79" spans="1:37" ht="8.4" customHeight="1" thickBot="1">
      <c r="C79" s="24"/>
      <c r="D79" s="24"/>
      <c r="E79" s="24"/>
      <c r="F79" s="543"/>
      <c r="G79" s="552"/>
      <c r="H79" s="552"/>
      <c r="I79" s="552"/>
      <c r="J79" s="552"/>
      <c r="K79" s="552"/>
      <c r="L79" s="552"/>
      <c r="M79" s="552"/>
      <c r="N79" s="552"/>
      <c r="O79" s="552"/>
      <c r="P79" s="552"/>
      <c r="Q79" s="552"/>
      <c r="R79" s="552"/>
      <c r="V79" s="627"/>
      <c r="W79" s="627"/>
      <c r="X79" s="627"/>
      <c r="Y79" s="627"/>
      <c r="Z79" s="627"/>
      <c r="AA79" s="628"/>
      <c r="AB79" s="628"/>
      <c r="AC79" s="628"/>
      <c r="AD79" s="628"/>
      <c r="AE79" s="628"/>
      <c r="AF79" s="628"/>
      <c r="AG79" s="628"/>
      <c r="AH79" s="628"/>
      <c r="AI79" s="628"/>
      <c r="AJ79" s="628"/>
      <c r="AK79" s="628"/>
    </row>
    <row r="80" spans="1:37" ht="17.399999999999999" customHeight="1">
      <c r="C80" s="618" t="s">
        <v>1</v>
      </c>
      <c r="D80" s="619" t="s">
        <v>179</v>
      </c>
      <c r="E80" s="619" t="s">
        <v>241</v>
      </c>
      <c r="F80" s="619"/>
      <c r="G80" s="619" t="s">
        <v>231</v>
      </c>
      <c r="H80" s="619" t="s">
        <v>41</v>
      </c>
      <c r="I80" s="619" t="s">
        <v>232</v>
      </c>
      <c r="J80" s="619" t="s">
        <v>233</v>
      </c>
      <c r="K80" s="619" t="s">
        <v>234</v>
      </c>
      <c r="L80" s="619" t="s">
        <v>235</v>
      </c>
      <c r="M80" s="619" t="s">
        <v>236</v>
      </c>
      <c r="N80" s="619" t="s">
        <v>237</v>
      </c>
      <c r="O80" s="619" t="s">
        <v>238</v>
      </c>
      <c r="P80" s="619" t="s">
        <v>239</v>
      </c>
      <c r="Q80" s="619" t="s">
        <v>240</v>
      </c>
      <c r="R80" s="620" t="s">
        <v>172</v>
      </c>
      <c r="V80" s="627"/>
      <c r="W80" s="627"/>
      <c r="X80" s="627"/>
      <c r="Y80" s="627"/>
      <c r="Z80" s="627"/>
      <c r="AA80" s="627"/>
      <c r="AB80" s="627"/>
      <c r="AC80" s="627"/>
      <c r="AD80" s="627"/>
      <c r="AE80" s="627"/>
      <c r="AF80" s="627"/>
      <c r="AG80" s="627"/>
      <c r="AH80" s="627"/>
      <c r="AI80" s="627"/>
      <c r="AJ80" s="627"/>
      <c r="AK80" s="627"/>
    </row>
    <row r="81" spans="1:37" ht="17.399999999999999" customHeight="1">
      <c r="C81" s="589" t="s">
        <v>1443</v>
      </c>
      <c r="D81" s="590" t="s">
        <v>1444</v>
      </c>
      <c r="E81" s="590"/>
      <c r="F81" s="590"/>
      <c r="G81" s="599">
        <f>SUM(H81:R81)</f>
        <v>3941217358.9708376</v>
      </c>
      <c r="H81" s="599">
        <f t="shared" ref="H81:R81" si="152">H50</f>
        <v>351286833.73367089</v>
      </c>
      <c r="I81" s="599">
        <f t="shared" si="152"/>
        <v>360178170.47346377</v>
      </c>
      <c r="J81" s="599">
        <f t="shared" si="152"/>
        <v>369294553.70355672</v>
      </c>
      <c r="K81" s="599">
        <f t="shared" si="152"/>
        <v>378641679.52165449</v>
      </c>
      <c r="L81" s="599">
        <f t="shared" si="152"/>
        <v>388225388.19802392</v>
      </c>
      <c r="M81" s="599">
        <f t="shared" si="152"/>
        <v>398051667.82461101</v>
      </c>
      <c r="N81" s="599">
        <f t="shared" si="152"/>
        <v>408126658.05651945</v>
      </c>
      <c r="O81" s="599">
        <f t="shared" si="152"/>
        <v>418456653.94819003</v>
      </c>
      <c r="P81" s="599">
        <f t="shared" si="152"/>
        <v>429048109.88667566</v>
      </c>
      <c r="Q81" s="599">
        <f t="shared" si="152"/>
        <v>439907643.62447095</v>
      </c>
      <c r="R81" s="600">
        <f t="shared" si="152"/>
        <v>0</v>
      </c>
      <c r="V81" s="627"/>
      <c r="W81" s="627"/>
      <c r="X81" s="627"/>
      <c r="Y81" s="627"/>
      <c r="Z81" s="627"/>
      <c r="AA81" s="627"/>
      <c r="AB81" s="627"/>
      <c r="AC81" s="627"/>
      <c r="AD81" s="627"/>
      <c r="AE81" s="627"/>
      <c r="AF81" s="627"/>
      <c r="AG81" s="627"/>
      <c r="AH81" s="627"/>
      <c r="AI81" s="627"/>
      <c r="AJ81" s="627"/>
      <c r="AK81" s="627"/>
    </row>
    <row r="82" spans="1:37" ht="17.399999999999999" customHeight="1">
      <c r="C82" s="589" t="s">
        <v>1443</v>
      </c>
      <c r="D82" s="590" t="s">
        <v>1445</v>
      </c>
      <c r="E82" s="590"/>
      <c r="F82" s="590"/>
      <c r="G82" s="599">
        <f t="shared" ref="G82:G88" si="153">SUM(H82:R82)</f>
        <v>13765266372.108982</v>
      </c>
      <c r="H82" s="599">
        <f>H51-AA56</f>
        <v>1400562534.8340526</v>
      </c>
      <c r="I82" s="599">
        <f t="shared" ref="I82:R82" si="154">I51-AB56</f>
        <v>1337932228.5498838</v>
      </c>
      <c r="J82" s="599">
        <f t="shared" si="154"/>
        <v>1371796310.0829749</v>
      </c>
      <c r="K82" s="599">
        <f t="shared" si="154"/>
        <v>1278038802.5521696</v>
      </c>
      <c r="L82" s="599">
        <f t="shared" si="154"/>
        <v>1310386935.9542551</v>
      </c>
      <c r="M82" s="599">
        <f t="shared" si="154"/>
        <v>1343553825.1973288</v>
      </c>
      <c r="N82" s="599">
        <f t="shared" si="154"/>
        <v>1377560193.6139803</v>
      </c>
      <c r="O82" s="599">
        <f t="shared" si="154"/>
        <v>1412427289.060097</v>
      </c>
      <c r="P82" s="599">
        <f t="shared" si="154"/>
        <v>1448176897.1909478</v>
      </c>
      <c r="Q82" s="599">
        <f t="shared" si="154"/>
        <v>1484831355.0732925</v>
      </c>
      <c r="R82" s="599">
        <f t="shared" si="154"/>
        <v>0</v>
      </c>
    </row>
    <row r="83" spans="1:37" s="40" customFormat="1" ht="17.399999999999999" customHeight="1">
      <c r="A83" s="553"/>
      <c r="C83" s="591" t="s">
        <v>1517</v>
      </c>
      <c r="D83" s="592"/>
      <c r="E83" s="621"/>
      <c r="F83" s="621"/>
      <c r="G83" s="601">
        <f>SUM(G81:G82)</f>
        <v>17706483731.079819</v>
      </c>
      <c r="H83" s="602">
        <f t="shared" ref="H83:R83" si="155">SUM(H81:H82)</f>
        <v>1751849368.5677235</v>
      </c>
      <c r="I83" s="602">
        <f t="shared" si="155"/>
        <v>1698110399.0233476</v>
      </c>
      <c r="J83" s="602">
        <f t="shared" si="155"/>
        <v>1741090863.7865317</v>
      </c>
      <c r="K83" s="602">
        <f t="shared" si="155"/>
        <v>1656680482.0738239</v>
      </c>
      <c r="L83" s="602">
        <f t="shared" si="155"/>
        <v>1698612324.1522789</v>
      </c>
      <c r="M83" s="602">
        <f t="shared" si="155"/>
        <v>1741605493.0219398</v>
      </c>
      <c r="N83" s="602">
        <f t="shared" si="155"/>
        <v>1785686851.6704998</v>
      </c>
      <c r="O83" s="602">
        <f t="shared" si="155"/>
        <v>1830883943.008287</v>
      </c>
      <c r="P83" s="602">
        <f t="shared" si="155"/>
        <v>1877225007.0776234</v>
      </c>
      <c r="Q83" s="602">
        <f t="shared" si="155"/>
        <v>1924738998.6977634</v>
      </c>
      <c r="R83" s="603">
        <f t="shared" si="155"/>
        <v>0</v>
      </c>
      <c r="V83" s="555"/>
      <c r="W83" s="555"/>
      <c r="X83" s="555"/>
      <c r="Y83" s="555"/>
      <c r="Z83" s="555"/>
      <c r="AA83" s="556"/>
      <c r="AB83" s="556"/>
      <c r="AC83" s="556"/>
      <c r="AD83" s="556"/>
      <c r="AE83" s="556"/>
      <c r="AF83" s="556"/>
      <c r="AG83" s="556"/>
      <c r="AH83" s="556"/>
      <c r="AI83" s="556"/>
      <c r="AJ83" s="556"/>
      <c r="AK83" s="556"/>
    </row>
    <row r="84" spans="1:37" ht="17.399999999999999" customHeight="1">
      <c r="C84" s="589" t="s">
        <v>1446</v>
      </c>
      <c r="D84" s="590" t="s">
        <v>1444</v>
      </c>
      <c r="E84" s="590"/>
      <c r="F84" s="590"/>
      <c r="G84" s="599">
        <f t="shared" si="153"/>
        <v>2868926530.0667281</v>
      </c>
      <c r="H84" s="599">
        <f>H53</f>
        <v>309699687.94398957</v>
      </c>
      <c r="I84" s="599">
        <f t="shared" ref="I84:R84" si="156">I53</f>
        <v>256767543.36672062</v>
      </c>
      <c r="J84" s="599">
        <f t="shared" si="156"/>
        <v>263266525.03266525</v>
      </c>
      <c r="K84" s="599">
        <f t="shared" si="156"/>
        <v>269930000.863801</v>
      </c>
      <c r="L84" s="599">
        <f t="shared" si="156"/>
        <v>276762134.33246446</v>
      </c>
      <c r="M84" s="599">
        <f t="shared" si="156"/>
        <v>283767194.29164124</v>
      </c>
      <c r="N84" s="599">
        <f t="shared" si="156"/>
        <v>290949557.64223033</v>
      </c>
      <c r="O84" s="599">
        <f t="shared" si="156"/>
        <v>298313712.06781906</v>
      </c>
      <c r="P84" s="599">
        <f t="shared" si="156"/>
        <v>305864258.83867669</v>
      </c>
      <c r="Q84" s="599">
        <f t="shared" si="156"/>
        <v>313605915.68672019</v>
      </c>
      <c r="R84" s="600">
        <f t="shared" si="156"/>
        <v>0</v>
      </c>
    </row>
    <row r="85" spans="1:37" ht="17.399999999999999" customHeight="1">
      <c r="C85" s="589" t="s">
        <v>1447</v>
      </c>
      <c r="D85" s="590" t="s">
        <v>1445</v>
      </c>
      <c r="E85" s="590"/>
      <c r="F85" s="590"/>
      <c r="G85" s="599">
        <f t="shared" si="153"/>
        <v>11943741621.056936</v>
      </c>
      <c r="H85" s="599">
        <f>H54-AA57</f>
        <v>768609571.84696853</v>
      </c>
      <c r="I85" s="599">
        <f t="shared" ref="I85:R85" si="157">I54-AB57</f>
        <v>1145697710.2115653</v>
      </c>
      <c r="J85" s="599">
        <f t="shared" si="157"/>
        <v>1174696189.9872799</v>
      </c>
      <c r="K85" s="599">
        <f t="shared" si="157"/>
        <v>1172110605.2406821</v>
      </c>
      <c r="L85" s="599">
        <f t="shared" si="157"/>
        <v>1201777615.4633834</v>
      </c>
      <c r="M85" s="599">
        <f t="shared" si="157"/>
        <v>1232195520.2617497</v>
      </c>
      <c r="N85" s="599">
        <f t="shared" si="157"/>
        <v>1263383325.3481698</v>
      </c>
      <c r="O85" s="599">
        <f t="shared" si="157"/>
        <v>1295360517.4840591</v>
      </c>
      <c r="P85" s="599">
        <f t="shared" si="157"/>
        <v>1328147076.6555741</v>
      </c>
      <c r="Q85" s="599">
        <f t="shared" si="157"/>
        <v>1361763488.5575051</v>
      </c>
      <c r="R85" s="599">
        <f t="shared" si="157"/>
        <v>0</v>
      </c>
    </row>
    <row r="86" spans="1:37" s="40" customFormat="1" ht="17.399999999999999" customHeight="1">
      <c r="A86" s="553"/>
      <c r="C86" s="591" t="s">
        <v>1515</v>
      </c>
      <c r="D86" s="592"/>
      <c r="E86" s="621"/>
      <c r="F86" s="621"/>
      <c r="G86" s="601">
        <f>SUM(G84:G85)</f>
        <v>14812668151.123665</v>
      </c>
      <c r="H86" s="602">
        <f t="shared" ref="H86:R86" si="158">SUM(H84:H85)</f>
        <v>1078309259.7909582</v>
      </c>
      <c r="I86" s="602">
        <f t="shared" si="158"/>
        <v>1402465253.5782859</v>
      </c>
      <c r="J86" s="602">
        <f t="shared" si="158"/>
        <v>1437962715.0199451</v>
      </c>
      <c r="K86" s="602">
        <f t="shared" si="158"/>
        <v>1442040606.1044831</v>
      </c>
      <c r="L86" s="602">
        <f t="shared" si="158"/>
        <v>1478539749.7958479</v>
      </c>
      <c r="M86" s="602">
        <f t="shared" si="158"/>
        <v>1515962714.553391</v>
      </c>
      <c r="N86" s="602">
        <f t="shared" si="158"/>
        <v>1554332882.9904001</v>
      </c>
      <c r="O86" s="602">
        <f t="shared" si="158"/>
        <v>1593674229.5518782</v>
      </c>
      <c r="P86" s="602">
        <f t="shared" si="158"/>
        <v>1634011335.4942508</v>
      </c>
      <c r="Q86" s="602">
        <f t="shared" si="158"/>
        <v>1675369404.2442253</v>
      </c>
      <c r="R86" s="603">
        <f t="shared" si="158"/>
        <v>0</v>
      </c>
    </row>
    <row r="87" spans="1:37" ht="17.399999999999999" customHeight="1">
      <c r="C87" s="589" t="s">
        <v>1448</v>
      </c>
      <c r="D87" s="590" t="s">
        <v>1444</v>
      </c>
      <c r="E87" s="590"/>
      <c r="F87" s="590"/>
      <c r="G87" s="599">
        <f t="shared" si="153"/>
        <v>4233059715.7712746</v>
      </c>
      <c r="H87" s="599">
        <f t="shared" ref="H87:R87" si="159">H56</f>
        <v>289423591.44034201</v>
      </c>
      <c r="I87" s="599">
        <f t="shared" si="159"/>
        <v>395665496.66883504</v>
      </c>
      <c r="J87" s="599">
        <f t="shared" si="159"/>
        <v>405680091.09530097</v>
      </c>
      <c r="K87" s="599">
        <f t="shared" si="159"/>
        <v>415948162.51779246</v>
      </c>
      <c r="L87" s="599">
        <f t="shared" si="159"/>
        <v>426476126.6317212</v>
      </c>
      <c r="M87" s="599">
        <f t="shared" si="159"/>
        <v>437270561.51862633</v>
      </c>
      <c r="N87" s="599">
        <f t="shared" si="159"/>
        <v>448338211.75628936</v>
      </c>
      <c r="O87" s="599">
        <f t="shared" si="159"/>
        <v>459685992.63288206</v>
      </c>
      <c r="P87" s="599">
        <f t="shared" si="159"/>
        <v>471320994.46777469</v>
      </c>
      <c r="Q87" s="599">
        <f t="shared" si="159"/>
        <v>483250487.04171002</v>
      </c>
      <c r="R87" s="600">
        <f t="shared" si="159"/>
        <v>0</v>
      </c>
    </row>
    <row r="88" spans="1:37" ht="17.399999999999999" customHeight="1">
      <c r="C88" s="589" t="s">
        <v>1448</v>
      </c>
      <c r="D88" s="590" t="s">
        <v>1445</v>
      </c>
      <c r="E88" s="590"/>
      <c r="F88" s="590"/>
      <c r="G88" s="599">
        <f t="shared" si="153"/>
        <v>19206168807.24086</v>
      </c>
      <c r="H88" s="599">
        <f>H57-AA58</f>
        <v>1357429622.3401101</v>
      </c>
      <c r="I88" s="599">
        <f t="shared" ref="I88:R88" si="160">I57-AB58</f>
        <v>1790766194.4100914</v>
      </c>
      <c r="J88" s="599">
        <f t="shared" si="160"/>
        <v>1836091847.7729161</v>
      </c>
      <c r="K88" s="599">
        <f t="shared" si="160"/>
        <v>1882564727.869854</v>
      </c>
      <c r="L88" s="599">
        <f t="shared" si="160"/>
        <v>1930213871.8814313</v>
      </c>
      <c r="M88" s="599">
        <f t="shared" si="160"/>
        <v>1979069051.9412937</v>
      </c>
      <c r="N88" s="599">
        <f t="shared" si="160"/>
        <v>2029160793.7384081</v>
      </c>
      <c r="O88" s="599">
        <f t="shared" si="160"/>
        <v>2080520395.5901303</v>
      </c>
      <c r="P88" s="599">
        <f t="shared" si="160"/>
        <v>2133179947.9980173</v>
      </c>
      <c r="Q88" s="599">
        <f t="shared" si="160"/>
        <v>2187172353.6986065</v>
      </c>
      <c r="R88" s="599">
        <f t="shared" si="160"/>
        <v>0</v>
      </c>
    </row>
    <row r="89" spans="1:37" s="40" customFormat="1" ht="17.399999999999999" customHeight="1">
      <c r="A89" s="553"/>
      <c r="C89" s="591" t="s">
        <v>1518</v>
      </c>
      <c r="D89" s="592"/>
      <c r="E89" s="621"/>
      <c r="F89" s="621"/>
      <c r="G89" s="601">
        <f>SUM(G87:G88)</f>
        <v>23439228523.012135</v>
      </c>
      <c r="H89" s="602">
        <f t="shared" ref="H89:R89" si="161">SUM(H87:H88)</f>
        <v>1646853213.780452</v>
      </c>
      <c r="I89" s="602">
        <f t="shared" si="161"/>
        <v>2186431691.0789266</v>
      </c>
      <c r="J89" s="602">
        <f t="shared" si="161"/>
        <v>2241771938.868217</v>
      </c>
      <c r="K89" s="602">
        <f t="shared" si="161"/>
        <v>2298512890.3876467</v>
      </c>
      <c r="L89" s="602">
        <f t="shared" si="161"/>
        <v>2356689998.5131526</v>
      </c>
      <c r="M89" s="602">
        <f t="shared" si="161"/>
        <v>2416339613.4599199</v>
      </c>
      <c r="N89" s="602">
        <f t="shared" si="161"/>
        <v>2477499005.4946976</v>
      </c>
      <c r="O89" s="602">
        <f t="shared" si="161"/>
        <v>2540206388.2230124</v>
      </c>
      <c r="P89" s="602">
        <f t="shared" si="161"/>
        <v>2604500942.4657922</v>
      </c>
      <c r="Q89" s="602">
        <f t="shared" si="161"/>
        <v>2670422840.7403164</v>
      </c>
      <c r="R89" s="603">
        <f t="shared" si="161"/>
        <v>0</v>
      </c>
    </row>
    <row r="90" spans="1:37" ht="17.399999999999999" customHeight="1">
      <c r="C90" s="604" t="s">
        <v>1524</v>
      </c>
      <c r="D90" s="617"/>
      <c r="E90" s="484"/>
      <c r="F90" s="593"/>
      <c r="G90" s="605">
        <f>SUM(G89,G86,G83)</f>
        <v>55958380405.215622</v>
      </c>
      <c r="H90" s="605">
        <f t="shared" ref="H90:R90" si="162">SUM(H89,H86,H83)</f>
        <v>4477011842.1391335</v>
      </c>
      <c r="I90" s="605">
        <f t="shared" si="162"/>
        <v>5287007343.6805601</v>
      </c>
      <c r="J90" s="605">
        <f t="shared" si="162"/>
        <v>5420825517.6746941</v>
      </c>
      <c r="K90" s="605">
        <f t="shared" si="162"/>
        <v>5397233978.5659542</v>
      </c>
      <c r="L90" s="605">
        <f t="shared" si="162"/>
        <v>5533842072.4612789</v>
      </c>
      <c r="M90" s="605">
        <f t="shared" si="162"/>
        <v>5673907821.0352507</v>
      </c>
      <c r="N90" s="605">
        <f t="shared" si="162"/>
        <v>5817518740.1555977</v>
      </c>
      <c r="O90" s="605">
        <f t="shared" si="162"/>
        <v>5964764560.7831783</v>
      </c>
      <c r="P90" s="605">
        <f t="shared" si="162"/>
        <v>6115737285.0376663</v>
      </c>
      <c r="Q90" s="605">
        <f t="shared" si="162"/>
        <v>6270531243.6823053</v>
      </c>
      <c r="R90" s="605">
        <f t="shared" si="162"/>
        <v>0</v>
      </c>
    </row>
    <row r="91" spans="1:37" ht="17.399999999999999" customHeight="1">
      <c r="C91" s="607" t="s">
        <v>157</v>
      </c>
      <c r="D91" s="608" t="s">
        <v>1513</v>
      </c>
      <c r="E91" s="608"/>
      <c r="F91" s="608"/>
      <c r="G91" s="609">
        <f>SUM(H91:R91)</f>
        <v>0</v>
      </c>
      <c r="H91" s="609">
        <f t="shared" ref="H91:R91" si="163">H60</f>
        <v>0</v>
      </c>
      <c r="I91" s="609">
        <f t="shared" si="163"/>
        <v>0</v>
      </c>
      <c r="J91" s="609">
        <f t="shared" si="163"/>
        <v>0</v>
      </c>
      <c r="K91" s="609">
        <f t="shared" si="163"/>
        <v>0</v>
      </c>
      <c r="L91" s="609">
        <f t="shared" si="163"/>
        <v>0</v>
      </c>
      <c r="M91" s="609">
        <f t="shared" si="163"/>
        <v>0</v>
      </c>
      <c r="N91" s="609">
        <f t="shared" si="163"/>
        <v>0</v>
      </c>
      <c r="O91" s="609">
        <f t="shared" si="163"/>
        <v>0</v>
      </c>
      <c r="P91" s="609">
        <f t="shared" si="163"/>
        <v>0</v>
      </c>
      <c r="Q91" s="609">
        <f t="shared" si="163"/>
        <v>0</v>
      </c>
      <c r="R91" s="610">
        <f t="shared" si="163"/>
        <v>0</v>
      </c>
      <c r="V91" s="24"/>
      <c r="W91" s="24"/>
      <c r="X91" s="24"/>
      <c r="Y91" s="24"/>
      <c r="Z91" s="24"/>
      <c r="AA91" s="552"/>
      <c r="AB91" s="552"/>
      <c r="AC91" s="552"/>
      <c r="AD91" s="552"/>
      <c r="AE91" s="552"/>
      <c r="AF91" s="552"/>
      <c r="AG91" s="552"/>
      <c r="AH91" s="552"/>
      <c r="AI91" s="552"/>
      <c r="AJ91" s="552"/>
      <c r="AK91" s="552"/>
    </row>
    <row r="92" spans="1:37" ht="17.399999999999999" customHeight="1">
      <c r="C92" s="607" t="s">
        <v>193</v>
      </c>
      <c r="D92" s="608" t="s">
        <v>1510</v>
      </c>
      <c r="E92" s="608"/>
      <c r="F92" s="608"/>
      <c r="G92" s="611">
        <f>SUM(H92:R92)</f>
        <v>1668450000</v>
      </c>
      <c r="H92" s="609">
        <f t="shared" ref="H92:R92" si="164">H61</f>
        <v>118650000</v>
      </c>
      <c r="I92" s="609">
        <f t="shared" si="164"/>
        <v>172200000</v>
      </c>
      <c r="J92" s="609">
        <f t="shared" si="164"/>
        <v>172200000</v>
      </c>
      <c r="K92" s="609">
        <f t="shared" si="164"/>
        <v>172200000</v>
      </c>
      <c r="L92" s="609">
        <f t="shared" si="164"/>
        <v>172200000</v>
      </c>
      <c r="M92" s="609">
        <f t="shared" si="164"/>
        <v>172200000</v>
      </c>
      <c r="N92" s="609">
        <f t="shared" si="164"/>
        <v>172200000</v>
      </c>
      <c r="O92" s="609">
        <f t="shared" si="164"/>
        <v>172200000</v>
      </c>
      <c r="P92" s="609">
        <f t="shared" si="164"/>
        <v>172200000</v>
      </c>
      <c r="Q92" s="609">
        <f t="shared" si="164"/>
        <v>172200000</v>
      </c>
      <c r="R92" s="610">
        <f t="shared" si="164"/>
        <v>0</v>
      </c>
    </row>
    <row r="93" spans="1:37" ht="17.399999999999999" customHeight="1" thickBot="1">
      <c r="C93" s="612" t="s">
        <v>195</v>
      </c>
      <c r="D93" s="613" t="s">
        <v>1510</v>
      </c>
      <c r="E93" s="613"/>
      <c r="F93" s="613"/>
      <c r="G93" s="614">
        <f>SUM(H93:R93)</f>
        <v>2088450000</v>
      </c>
      <c r="H93" s="615">
        <f t="shared" ref="H93:R93" si="165">H62</f>
        <v>160650000</v>
      </c>
      <c r="I93" s="615">
        <f t="shared" si="165"/>
        <v>214200000</v>
      </c>
      <c r="J93" s="615">
        <f t="shared" si="165"/>
        <v>214200000</v>
      </c>
      <c r="K93" s="615">
        <f t="shared" si="165"/>
        <v>214200000</v>
      </c>
      <c r="L93" s="615">
        <f t="shared" si="165"/>
        <v>214200000</v>
      </c>
      <c r="M93" s="615">
        <f t="shared" si="165"/>
        <v>214200000</v>
      </c>
      <c r="N93" s="615">
        <f t="shared" si="165"/>
        <v>214200000</v>
      </c>
      <c r="O93" s="615">
        <f t="shared" si="165"/>
        <v>214200000</v>
      </c>
      <c r="P93" s="615">
        <f t="shared" si="165"/>
        <v>214200000</v>
      </c>
      <c r="Q93" s="615">
        <f t="shared" si="165"/>
        <v>214200000</v>
      </c>
      <c r="R93" s="616">
        <f t="shared" si="165"/>
        <v>0</v>
      </c>
    </row>
  </sheetData>
  <phoneticPr fontId="1" type="noConversion"/>
  <hyperlinks>
    <hyperlink ref="A1" location="HOME!A1" display="HOME"/>
  </hyperlink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3_Sheet">
    <tabColor rgb="FFFFC000"/>
  </sheetPr>
  <dimension ref="A1:T286"/>
  <sheetViews>
    <sheetView showGridLines="0" zoomScale="85" zoomScaleNormal="85" workbookViewId="0">
      <selection activeCell="G170" activeCellId="1" sqref="G146 G170"/>
    </sheetView>
  </sheetViews>
  <sheetFormatPr defaultRowHeight="17.399999999999999"/>
  <cols>
    <col min="1" max="1" width="8.69921875" style="65" customWidth="1"/>
    <col min="2" max="2" width="3.3984375" style="57" customWidth="1"/>
    <col min="7" max="7" width="15" bestFit="1" customWidth="1"/>
    <col min="8" max="8" width="13.8984375" bestFit="1" customWidth="1"/>
    <col min="9" max="9" width="12.09765625" bestFit="1" customWidth="1"/>
    <col min="10" max="19" width="11" bestFit="1" customWidth="1"/>
    <col min="20" max="20" width="9" bestFit="1" customWidth="1"/>
  </cols>
  <sheetData>
    <row r="1" spans="1:20" ht="30" customHeight="1" thickBot="1">
      <c r="A1" s="70" t="s">
        <v>279</v>
      </c>
      <c r="C1" s="80" t="s">
        <v>284</v>
      </c>
      <c r="D1" s="67"/>
      <c r="E1" s="67"/>
      <c r="F1" s="66"/>
      <c r="G1" s="66"/>
      <c r="H1" s="66"/>
      <c r="I1" s="66"/>
      <c r="J1" s="66"/>
      <c r="K1" s="66"/>
      <c r="L1" s="66"/>
      <c r="M1" s="66"/>
      <c r="N1" s="66"/>
      <c r="O1" s="66"/>
      <c r="P1" s="66"/>
      <c r="Q1" s="66"/>
      <c r="R1" s="66"/>
      <c r="S1" s="66"/>
      <c r="T1" s="66"/>
    </row>
    <row r="2" spans="1:20" ht="18" thickTop="1">
      <c r="C2" s="40" t="s">
        <v>223</v>
      </c>
      <c r="D2" s="2"/>
      <c r="E2" s="2"/>
      <c r="F2" s="2"/>
      <c r="G2" s="557">
        <f>SUM(G10,G16,G22)</f>
        <v>1246214060.8</v>
      </c>
      <c r="H2" s="48">
        <f t="shared" ref="H2:T2" si="0">SUM(H10,H16,H22)</f>
        <v>608157860</v>
      </c>
      <c r="I2" s="48">
        <f t="shared" si="0"/>
        <v>638056200.79999995</v>
      </c>
      <c r="J2" s="48">
        <f t="shared" si="0"/>
        <v>31500000</v>
      </c>
      <c r="K2" s="48">
        <f t="shared" si="0"/>
        <v>88192000</v>
      </c>
      <c r="L2" s="48">
        <f t="shared" si="0"/>
        <v>108072000</v>
      </c>
      <c r="M2" s="48">
        <f t="shared" si="0"/>
        <v>62470314.400000006</v>
      </c>
      <c r="N2" s="48">
        <f t="shared" si="0"/>
        <v>57970314.400000006</v>
      </c>
      <c r="O2" s="48">
        <f t="shared" si="0"/>
        <v>57970314.400000006</v>
      </c>
      <c r="P2" s="48">
        <f t="shared" si="0"/>
        <v>57970314.400000006</v>
      </c>
      <c r="Q2" s="48">
        <f t="shared" si="0"/>
        <v>57970314.400000006</v>
      </c>
      <c r="R2" s="48">
        <f t="shared" si="0"/>
        <v>57970314.400000006</v>
      </c>
      <c r="S2" s="48">
        <f t="shared" si="0"/>
        <v>57970314.400000006</v>
      </c>
      <c r="T2" s="49">
        <f t="shared" si="0"/>
        <v>0</v>
      </c>
    </row>
    <row r="3" spans="1:20" ht="4.8" customHeight="1" thickBot="1"/>
    <row r="4" spans="1:20">
      <c r="C4" s="563" t="s">
        <v>1</v>
      </c>
      <c r="D4" s="564" t="s">
        <v>2</v>
      </c>
      <c r="E4" s="564" t="s">
        <v>3</v>
      </c>
      <c r="F4" s="564" t="s">
        <v>4</v>
      </c>
      <c r="G4" s="564" t="s">
        <v>265</v>
      </c>
      <c r="H4" s="564" t="s">
        <v>263</v>
      </c>
      <c r="I4" s="564" t="s">
        <v>264</v>
      </c>
      <c r="J4" s="564" t="s">
        <v>41</v>
      </c>
      <c r="K4" s="564" t="s">
        <v>232</v>
      </c>
      <c r="L4" s="564" t="s">
        <v>233</v>
      </c>
      <c r="M4" s="564" t="s">
        <v>234</v>
      </c>
      <c r="N4" s="564" t="s">
        <v>235</v>
      </c>
      <c r="O4" s="564" t="s">
        <v>236</v>
      </c>
      <c r="P4" s="564" t="s">
        <v>237</v>
      </c>
      <c r="Q4" s="564" t="s">
        <v>238</v>
      </c>
      <c r="R4" s="564" t="s">
        <v>239</v>
      </c>
      <c r="S4" s="564" t="s">
        <v>240</v>
      </c>
      <c r="T4" s="565" t="s">
        <v>172</v>
      </c>
    </row>
    <row r="5" spans="1:20">
      <c r="C5" s="566" t="s">
        <v>157</v>
      </c>
      <c r="D5" s="562" t="str">
        <f>$C$2</f>
        <v>보이는ARS</v>
      </c>
      <c r="E5" s="562" t="s">
        <v>247</v>
      </c>
      <c r="F5" s="562" t="s">
        <v>266</v>
      </c>
      <c r="G5" s="574">
        <v>182000000</v>
      </c>
      <c r="H5" s="574">
        <v>182000000</v>
      </c>
      <c r="I5" s="575">
        <v>0</v>
      </c>
      <c r="J5" s="575">
        <v>0</v>
      </c>
      <c r="K5" s="575">
        <v>0</v>
      </c>
      <c r="L5" s="575">
        <v>0</v>
      </c>
      <c r="M5" s="575">
        <v>0</v>
      </c>
      <c r="N5" s="575">
        <v>0</v>
      </c>
      <c r="O5" s="575">
        <v>0</v>
      </c>
      <c r="P5" s="575">
        <v>0</v>
      </c>
      <c r="Q5" s="575">
        <v>0</v>
      </c>
      <c r="R5" s="575">
        <v>0</v>
      </c>
      <c r="S5" s="575">
        <v>0</v>
      </c>
      <c r="T5" s="576">
        <v>0</v>
      </c>
    </row>
    <row r="6" spans="1:20">
      <c r="C6" s="567" t="s">
        <v>157</v>
      </c>
      <c r="D6" s="558" t="str">
        <f t="shared" ref="D6:D9" si="1">$C$2</f>
        <v>보이는ARS</v>
      </c>
      <c r="E6" s="558" t="s">
        <v>247</v>
      </c>
      <c r="F6" s="558" t="s">
        <v>267</v>
      </c>
      <c r="G6" s="577">
        <v>236000000</v>
      </c>
      <c r="H6" s="577">
        <v>236000000</v>
      </c>
      <c r="I6" s="578">
        <v>0</v>
      </c>
      <c r="J6" s="578">
        <v>0</v>
      </c>
      <c r="K6" s="578">
        <v>0</v>
      </c>
      <c r="L6" s="578">
        <v>0</v>
      </c>
      <c r="M6" s="578">
        <v>0</v>
      </c>
      <c r="N6" s="578">
        <v>0</v>
      </c>
      <c r="O6" s="578">
        <v>0</v>
      </c>
      <c r="P6" s="578">
        <v>0</v>
      </c>
      <c r="Q6" s="578">
        <v>0</v>
      </c>
      <c r="R6" s="578">
        <v>0</v>
      </c>
      <c r="S6" s="578">
        <v>0</v>
      </c>
      <c r="T6" s="579">
        <v>0</v>
      </c>
    </row>
    <row r="7" spans="1:20">
      <c r="C7" s="567" t="s">
        <v>157</v>
      </c>
      <c r="D7" s="558" t="str">
        <f t="shared" si="1"/>
        <v>보이는ARS</v>
      </c>
      <c r="E7" s="558" t="s">
        <v>247</v>
      </c>
      <c r="F7" s="558" t="s">
        <v>268</v>
      </c>
      <c r="G7" s="577">
        <v>86957860</v>
      </c>
      <c r="H7" s="577">
        <v>86957860</v>
      </c>
      <c r="I7" s="578">
        <v>0</v>
      </c>
      <c r="J7" s="578">
        <v>0</v>
      </c>
      <c r="K7" s="578">
        <v>0</v>
      </c>
      <c r="L7" s="578">
        <v>0</v>
      </c>
      <c r="M7" s="578">
        <v>0</v>
      </c>
      <c r="N7" s="578">
        <v>0</v>
      </c>
      <c r="O7" s="578">
        <v>0</v>
      </c>
      <c r="P7" s="578">
        <v>0</v>
      </c>
      <c r="Q7" s="578">
        <v>0</v>
      </c>
      <c r="R7" s="578">
        <v>0</v>
      </c>
      <c r="S7" s="578">
        <v>0</v>
      </c>
      <c r="T7" s="579">
        <v>0</v>
      </c>
    </row>
    <row r="8" spans="1:20">
      <c r="C8" s="567" t="s">
        <v>157</v>
      </c>
      <c r="D8" s="558" t="str">
        <f t="shared" si="1"/>
        <v>보이는ARS</v>
      </c>
      <c r="E8" s="558" t="s">
        <v>247</v>
      </c>
      <c r="F8" s="558" t="s">
        <v>269</v>
      </c>
      <c r="G8" s="577">
        <v>103200000</v>
      </c>
      <c r="H8" s="577">
        <v>103200000</v>
      </c>
      <c r="I8" s="578">
        <v>0</v>
      </c>
      <c r="J8" s="578">
        <v>0</v>
      </c>
      <c r="K8" s="578">
        <v>0</v>
      </c>
      <c r="L8" s="578">
        <v>0</v>
      </c>
      <c r="M8" s="578">
        <v>0</v>
      </c>
      <c r="N8" s="578">
        <v>0</v>
      </c>
      <c r="O8" s="578">
        <v>0</v>
      </c>
      <c r="P8" s="578">
        <v>0</v>
      </c>
      <c r="Q8" s="578">
        <v>0</v>
      </c>
      <c r="R8" s="578">
        <v>0</v>
      </c>
      <c r="S8" s="578">
        <v>0</v>
      </c>
      <c r="T8" s="579">
        <v>0</v>
      </c>
    </row>
    <row r="9" spans="1:20">
      <c r="C9" s="567" t="s">
        <v>157</v>
      </c>
      <c r="D9" s="558" t="str">
        <f t="shared" si="1"/>
        <v>보이는ARS</v>
      </c>
      <c r="E9" s="559" t="s">
        <v>247</v>
      </c>
      <c r="F9" s="559" t="s">
        <v>151</v>
      </c>
      <c r="G9" s="577">
        <v>0</v>
      </c>
      <c r="H9" s="577">
        <v>0</v>
      </c>
      <c r="I9" s="578">
        <v>0</v>
      </c>
      <c r="J9" s="578">
        <v>0</v>
      </c>
      <c r="K9" s="578">
        <v>0</v>
      </c>
      <c r="L9" s="578">
        <v>0</v>
      </c>
      <c r="M9" s="578">
        <v>0</v>
      </c>
      <c r="N9" s="578">
        <v>0</v>
      </c>
      <c r="O9" s="578">
        <v>0</v>
      </c>
      <c r="P9" s="578">
        <v>0</v>
      </c>
      <c r="Q9" s="578">
        <v>0</v>
      </c>
      <c r="R9" s="578">
        <v>0</v>
      </c>
      <c r="S9" s="578">
        <v>0</v>
      </c>
      <c r="T9" s="579">
        <v>0</v>
      </c>
    </row>
    <row r="10" spans="1:20">
      <c r="C10" s="568" t="s">
        <v>274</v>
      </c>
      <c r="D10" s="560"/>
      <c r="E10" s="560"/>
      <c r="F10" s="560"/>
      <c r="G10" s="580">
        <f>SUM(H10:I10)</f>
        <v>608157860</v>
      </c>
      <c r="H10" s="561">
        <f t="shared" ref="H10:T10" si="2">SUM(H5:H9)</f>
        <v>608157860</v>
      </c>
      <c r="I10" s="561">
        <f t="shared" si="2"/>
        <v>0</v>
      </c>
      <c r="J10" s="561">
        <f t="shared" si="2"/>
        <v>0</v>
      </c>
      <c r="K10" s="561">
        <f t="shared" si="2"/>
        <v>0</v>
      </c>
      <c r="L10" s="561">
        <f t="shared" si="2"/>
        <v>0</v>
      </c>
      <c r="M10" s="561">
        <f t="shared" si="2"/>
        <v>0</v>
      </c>
      <c r="N10" s="561">
        <f t="shared" si="2"/>
        <v>0</v>
      </c>
      <c r="O10" s="561">
        <f t="shared" si="2"/>
        <v>0</v>
      </c>
      <c r="P10" s="561">
        <f t="shared" si="2"/>
        <v>0</v>
      </c>
      <c r="Q10" s="561">
        <f t="shared" si="2"/>
        <v>0</v>
      </c>
      <c r="R10" s="561">
        <f t="shared" si="2"/>
        <v>0</v>
      </c>
      <c r="S10" s="561">
        <f t="shared" si="2"/>
        <v>0</v>
      </c>
      <c r="T10" s="569">
        <f t="shared" si="2"/>
        <v>0</v>
      </c>
    </row>
    <row r="11" spans="1:20">
      <c r="C11" s="567" t="s">
        <v>157</v>
      </c>
      <c r="D11" s="558" t="str">
        <f>$C$2</f>
        <v>보이는ARS</v>
      </c>
      <c r="E11" s="558" t="s">
        <v>152</v>
      </c>
      <c r="F11" s="558" t="s">
        <v>153</v>
      </c>
      <c r="G11" s="577">
        <v>144000000</v>
      </c>
      <c r="H11" s="577">
        <v>0</v>
      </c>
      <c r="I11" s="577">
        <v>144000000</v>
      </c>
      <c r="J11" s="577">
        <v>31500000</v>
      </c>
      <c r="K11" s="577">
        <v>54000000</v>
      </c>
      <c r="L11" s="577">
        <v>54000000</v>
      </c>
      <c r="M11" s="577">
        <v>4500000</v>
      </c>
      <c r="N11" s="577">
        <v>0</v>
      </c>
      <c r="O11" s="577">
        <v>0</v>
      </c>
      <c r="P11" s="577">
        <v>0</v>
      </c>
      <c r="Q11" s="577">
        <v>0</v>
      </c>
      <c r="R11" s="577">
        <v>0</v>
      </c>
      <c r="S11" s="577">
        <v>0</v>
      </c>
      <c r="T11" s="581">
        <v>0</v>
      </c>
    </row>
    <row r="12" spans="1:20">
      <c r="C12" s="567" t="s">
        <v>157</v>
      </c>
      <c r="D12" s="558" t="str">
        <f t="shared" ref="D12:D15" si="3">$C$2</f>
        <v>보이는ARS</v>
      </c>
      <c r="E12" s="558" t="s">
        <v>270</v>
      </c>
      <c r="F12" s="558" t="s">
        <v>272</v>
      </c>
      <c r="G12" s="577">
        <v>0</v>
      </c>
      <c r="H12" s="577">
        <v>0</v>
      </c>
      <c r="I12" s="577">
        <v>0</v>
      </c>
      <c r="J12" s="577">
        <v>0</v>
      </c>
      <c r="K12" s="577">
        <v>0</v>
      </c>
      <c r="L12" s="577">
        <v>0</v>
      </c>
      <c r="M12" s="577">
        <v>0</v>
      </c>
      <c r="N12" s="577">
        <v>0</v>
      </c>
      <c r="O12" s="577">
        <v>0</v>
      </c>
      <c r="P12" s="577">
        <v>0</v>
      </c>
      <c r="Q12" s="577">
        <v>0</v>
      </c>
      <c r="R12" s="577">
        <v>0</v>
      </c>
      <c r="S12" s="577">
        <v>0</v>
      </c>
      <c r="T12" s="581">
        <v>0</v>
      </c>
    </row>
    <row r="13" spans="1:20">
      <c r="C13" s="567" t="s">
        <v>157</v>
      </c>
      <c r="D13" s="558" t="str">
        <f t="shared" si="3"/>
        <v>보이는ARS</v>
      </c>
      <c r="E13" s="558" t="s">
        <v>1495</v>
      </c>
      <c r="F13" s="558" t="s">
        <v>1498</v>
      </c>
      <c r="G13" s="577">
        <v>0</v>
      </c>
      <c r="H13" s="577">
        <v>0</v>
      </c>
      <c r="I13" s="577">
        <v>0</v>
      </c>
      <c r="J13" s="577">
        <v>0</v>
      </c>
      <c r="K13" s="577">
        <v>0</v>
      </c>
      <c r="L13" s="577">
        <v>0</v>
      </c>
      <c r="M13" s="577">
        <v>0</v>
      </c>
      <c r="N13" s="577">
        <v>0</v>
      </c>
      <c r="O13" s="577">
        <v>0</v>
      </c>
      <c r="P13" s="577">
        <v>0</v>
      </c>
      <c r="Q13" s="577">
        <v>0</v>
      </c>
      <c r="R13" s="577">
        <v>0</v>
      </c>
      <c r="S13" s="577">
        <v>0</v>
      </c>
      <c r="T13" s="581">
        <v>0</v>
      </c>
    </row>
    <row r="14" spans="1:20">
      <c r="C14" s="567" t="s">
        <v>157</v>
      </c>
      <c r="D14" s="558" t="str">
        <f t="shared" si="3"/>
        <v>보이는ARS</v>
      </c>
      <c r="E14" s="559" t="s">
        <v>270</v>
      </c>
      <c r="F14" s="559" t="s">
        <v>151</v>
      </c>
      <c r="G14" s="577">
        <v>0</v>
      </c>
      <c r="H14" s="577">
        <v>0</v>
      </c>
      <c r="I14" s="577">
        <v>0</v>
      </c>
      <c r="J14" s="577">
        <v>0</v>
      </c>
      <c r="K14" s="577">
        <v>0</v>
      </c>
      <c r="L14" s="577">
        <v>0</v>
      </c>
      <c r="M14" s="577">
        <v>0</v>
      </c>
      <c r="N14" s="577">
        <v>0</v>
      </c>
      <c r="O14" s="577">
        <v>0</v>
      </c>
      <c r="P14" s="577">
        <v>0</v>
      </c>
      <c r="Q14" s="577">
        <v>0</v>
      </c>
      <c r="R14" s="577">
        <v>0</v>
      </c>
      <c r="S14" s="577">
        <v>0</v>
      </c>
      <c r="T14" s="581">
        <v>0</v>
      </c>
    </row>
    <row r="15" spans="1:20">
      <c r="C15" s="567" t="s">
        <v>157</v>
      </c>
      <c r="D15" s="558" t="str">
        <f t="shared" si="3"/>
        <v>보이는ARS</v>
      </c>
      <c r="E15" s="559" t="s">
        <v>270</v>
      </c>
      <c r="F15" s="559" t="s">
        <v>151</v>
      </c>
      <c r="G15" s="577">
        <v>0</v>
      </c>
      <c r="H15" s="577">
        <v>0</v>
      </c>
      <c r="I15" s="577">
        <v>0</v>
      </c>
      <c r="J15" s="577">
        <v>0</v>
      </c>
      <c r="K15" s="577">
        <v>0</v>
      </c>
      <c r="L15" s="577">
        <v>0</v>
      </c>
      <c r="M15" s="577">
        <v>0</v>
      </c>
      <c r="N15" s="577">
        <v>0</v>
      </c>
      <c r="O15" s="577">
        <v>0</v>
      </c>
      <c r="P15" s="577">
        <v>0</v>
      </c>
      <c r="Q15" s="577">
        <v>0</v>
      </c>
      <c r="R15" s="577">
        <v>0</v>
      </c>
      <c r="S15" s="577">
        <v>0</v>
      </c>
      <c r="T15" s="581">
        <v>0</v>
      </c>
    </row>
    <row r="16" spans="1:20">
      <c r="C16" s="568" t="s">
        <v>275</v>
      </c>
      <c r="D16" s="560"/>
      <c r="E16" s="560"/>
      <c r="F16" s="560"/>
      <c r="G16" s="580">
        <f>SUM(H16:I16)</f>
        <v>144000000</v>
      </c>
      <c r="H16" s="561">
        <f>SUM(H11:H15)</f>
        <v>0</v>
      </c>
      <c r="I16" s="561">
        <f>SUM(I11:I15)</f>
        <v>144000000</v>
      </c>
      <c r="J16" s="561">
        <f t="shared" ref="J16" si="4">SUM(J11:J15)</f>
        <v>31500000</v>
      </c>
      <c r="K16" s="561">
        <f t="shared" ref="K16" si="5">SUM(K11:K15)</f>
        <v>54000000</v>
      </c>
      <c r="L16" s="561">
        <f t="shared" ref="L16" si="6">SUM(L11:L15)</f>
        <v>54000000</v>
      </c>
      <c r="M16" s="561">
        <f t="shared" ref="M16" si="7">SUM(M11:M15)</f>
        <v>4500000</v>
      </c>
      <c r="N16" s="561">
        <f t="shared" ref="N16" si="8">SUM(N11:N15)</f>
        <v>0</v>
      </c>
      <c r="O16" s="561">
        <f t="shared" ref="O16" si="9">SUM(O11:O15)</f>
        <v>0</v>
      </c>
      <c r="P16" s="561">
        <f t="shared" ref="P16" si="10">SUM(P11:P15)</f>
        <v>0</v>
      </c>
      <c r="Q16" s="561">
        <f t="shared" ref="Q16" si="11">SUM(Q11:Q15)</f>
        <v>0</v>
      </c>
      <c r="R16" s="561">
        <f t="shared" ref="R16" si="12">SUM(R11:R15)</f>
        <v>0</v>
      </c>
      <c r="S16" s="561">
        <f t="shared" ref="S16" si="13">SUM(S11:S15)</f>
        <v>0</v>
      </c>
      <c r="T16" s="569">
        <f t="shared" ref="T16" si="14">SUM(T11:T15)</f>
        <v>0</v>
      </c>
    </row>
    <row r="17" spans="3:20">
      <c r="C17" s="567" t="s">
        <v>157</v>
      </c>
      <c r="D17" s="558" t="str">
        <f>$C$2</f>
        <v>보이는ARS</v>
      </c>
      <c r="E17" s="558" t="s">
        <v>271</v>
      </c>
      <c r="F17" s="558" t="s">
        <v>267</v>
      </c>
      <c r="G17" s="577">
        <v>238360000</v>
      </c>
      <c r="H17" s="577">
        <v>0</v>
      </c>
      <c r="I17" s="577">
        <v>238360000</v>
      </c>
      <c r="J17" s="577">
        <v>0</v>
      </c>
      <c r="K17" s="577">
        <v>11800000</v>
      </c>
      <c r="L17" s="577">
        <v>28320000</v>
      </c>
      <c r="M17" s="577">
        <v>28320000</v>
      </c>
      <c r="N17" s="577">
        <v>28320000</v>
      </c>
      <c r="O17" s="577">
        <v>28320000</v>
      </c>
      <c r="P17" s="577">
        <v>28320000</v>
      </c>
      <c r="Q17" s="577">
        <v>28320000</v>
      </c>
      <c r="R17" s="577">
        <v>28320000</v>
      </c>
      <c r="S17" s="577">
        <v>28320000</v>
      </c>
      <c r="T17" s="581">
        <v>0</v>
      </c>
    </row>
    <row r="18" spans="3:20">
      <c r="C18" s="567" t="s">
        <v>157</v>
      </c>
      <c r="D18" s="558" t="str">
        <f t="shared" ref="D18:D21" si="15">$C$2</f>
        <v>보이는ARS</v>
      </c>
      <c r="E18" s="558" t="s">
        <v>271</v>
      </c>
      <c r="F18" s="558" t="s">
        <v>268</v>
      </c>
      <c r="G18" s="577">
        <v>152136200.79999998</v>
      </c>
      <c r="H18" s="577">
        <v>0</v>
      </c>
      <c r="I18" s="577">
        <v>152136200.79999998</v>
      </c>
      <c r="J18" s="577">
        <v>0</v>
      </c>
      <c r="K18" s="577">
        <v>13872000</v>
      </c>
      <c r="L18" s="577">
        <v>13872000</v>
      </c>
      <c r="M18" s="577">
        <v>17770314.400000002</v>
      </c>
      <c r="N18" s="577">
        <v>17770314.400000002</v>
      </c>
      <c r="O18" s="577">
        <v>17770314.400000002</v>
      </c>
      <c r="P18" s="577">
        <v>17770314.400000002</v>
      </c>
      <c r="Q18" s="577">
        <v>17770314.400000002</v>
      </c>
      <c r="R18" s="577">
        <v>17770314.400000002</v>
      </c>
      <c r="S18" s="577">
        <v>17770314.400000002</v>
      </c>
      <c r="T18" s="581">
        <v>0</v>
      </c>
    </row>
    <row r="19" spans="3:20">
      <c r="C19" s="567" t="s">
        <v>157</v>
      </c>
      <c r="D19" s="558" t="str">
        <f t="shared" si="15"/>
        <v>보이는ARS</v>
      </c>
      <c r="E19" s="558" t="s">
        <v>271</v>
      </c>
      <c r="F19" s="558" t="s">
        <v>269</v>
      </c>
      <c r="G19" s="577">
        <v>103560000</v>
      </c>
      <c r="H19" s="577">
        <v>0</v>
      </c>
      <c r="I19" s="577">
        <v>103560000</v>
      </c>
      <c r="J19" s="577">
        <v>0</v>
      </c>
      <c r="K19" s="577">
        <v>8520000</v>
      </c>
      <c r="L19" s="577">
        <v>11880000</v>
      </c>
      <c r="M19" s="577">
        <v>11880000</v>
      </c>
      <c r="N19" s="577">
        <v>11880000</v>
      </c>
      <c r="O19" s="577">
        <v>11880000</v>
      </c>
      <c r="P19" s="577">
        <v>11880000</v>
      </c>
      <c r="Q19" s="577">
        <v>11880000</v>
      </c>
      <c r="R19" s="577">
        <v>11880000</v>
      </c>
      <c r="S19" s="577">
        <v>11880000</v>
      </c>
      <c r="T19" s="581">
        <v>0</v>
      </c>
    </row>
    <row r="20" spans="3:20">
      <c r="C20" s="567" t="s">
        <v>157</v>
      </c>
      <c r="D20" s="558" t="str">
        <f t="shared" si="15"/>
        <v>보이는ARS</v>
      </c>
      <c r="E20" s="559" t="s">
        <v>271</v>
      </c>
      <c r="F20" s="559" t="s">
        <v>151</v>
      </c>
      <c r="G20" s="577">
        <v>0</v>
      </c>
      <c r="H20" s="577">
        <v>0</v>
      </c>
      <c r="I20" s="577">
        <v>0</v>
      </c>
      <c r="J20" s="577">
        <v>0</v>
      </c>
      <c r="K20" s="577">
        <v>0</v>
      </c>
      <c r="L20" s="577">
        <v>0</v>
      </c>
      <c r="M20" s="577">
        <v>0</v>
      </c>
      <c r="N20" s="577">
        <v>0</v>
      </c>
      <c r="O20" s="577">
        <v>0</v>
      </c>
      <c r="P20" s="577">
        <v>0</v>
      </c>
      <c r="Q20" s="577">
        <v>0</v>
      </c>
      <c r="R20" s="577">
        <v>0</v>
      </c>
      <c r="S20" s="577">
        <v>0</v>
      </c>
      <c r="T20" s="581">
        <v>0</v>
      </c>
    </row>
    <row r="21" spans="3:20">
      <c r="C21" s="567" t="s">
        <v>157</v>
      </c>
      <c r="D21" s="558" t="str">
        <f t="shared" si="15"/>
        <v>보이는ARS</v>
      </c>
      <c r="E21" s="559" t="s">
        <v>271</v>
      </c>
      <c r="F21" s="559" t="s">
        <v>151</v>
      </c>
      <c r="G21" s="577">
        <v>0</v>
      </c>
      <c r="H21" s="577">
        <v>0</v>
      </c>
      <c r="I21" s="577">
        <v>0</v>
      </c>
      <c r="J21" s="577">
        <v>0</v>
      </c>
      <c r="K21" s="577">
        <v>0</v>
      </c>
      <c r="L21" s="577">
        <v>0</v>
      </c>
      <c r="M21" s="577">
        <v>0</v>
      </c>
      <c r="N21" s="577">
        <v>0</v>
      </c>
      <c r="O21" s="577">
        <v>0</v>
      </c>
      <c r="P21" s="577">
        <v>0</v>
      </c>
      <c r="Q21" s="577">
        <v>0</v>
      </c>
      <c r="R21" s="577">
        <v>0</v>
      </c>
      <c r="S21" s="577">
        <v>0</v>
      </c>
      <c r="T21" s="581">
        <v>0</v>
      </c>
    </row>
    <row r="22" spans="3:20" ht="18" thickBot="1">
      <c r="C22" s="570" t="s">
        <v>276</v>
      </c>
      <c r="D22" s="571"/>
      <c r="E22" s="571"/>
      <c r="F22" s="571"/>
      <c r="G22" s="582">
        <f>SUM(H22:I22)</f>
        <v>494056200.79999995</v>
      </c>
      <c r="H22" s="572">
        <f>SUM(H17:H21)</f>
        <v>0</v>
      </c>
      <c r="I22" s="572">
        <f>SUM(I17:I21)</f>
        <v>494056200.79999995</v>
      </c>
      <c r="J22" s="572">
        <f t="shared" ref="J22:T22" si="16">SUM(J17:J21)</f>
        <v>0</v>
      </c>
      <c r="K22" s="572">
        <f t="shared" si="16"/>
        <v>34192000</v>
      </c>
      <c r="L22" s="572">
        <f t="shared" si="16"/>
        <v>54072000</v>
      </c>
      <c r="M22" s="572">
        <f t="shared" si="16"/>
        <v>57970314.400000006</v>
      </c>
      <c r="N22" s="572">
        <f t="shared" si="16"/>
        <v>57970314.400000006</v>
      </c>
      <c r="O22" s="572">
        <f t="shared" si="16"/>
        <v>57970314.400000006</v>
      </c>
      <c r="P22" s="572">
        <f t="shared" si="16"/>
        <v>57970314.400000006</v>
      </c>
      <c r="Q22" s="572">
        <f t="shared" si="16"/>
        <v>57970314.400000006</v>
      </c>
      <c r="R22" s="572">
        <f t="shared" si="16"/>
        <v>57970314.400000006</v>
      </c>
      <c r="S22" s="572">
        <f t="shared" si="16"/>
        <v>57970314.400000006</v>
      </c>
      <c r="T22" s="573">
        <f t="shared" si="16"/>
        <v>0</v>
      </c>
    </row>
    <row r="23" spans="3:20" ht="18" thickBot="1"/>
    <row r="24" spans="3:20" ht="18" hidden="1" thickBot="1"/>
    <row r="25" spans="3:20" hidden="1">
      <c r="C25" s="40" t="s">
        <v>1492</v>
      </c>
      <c r="D25" s="2"/>
      <c r="E25" s="2"/>
      <c r="F25" s="2"/>
      <c r="G25" s="50">
        <f>SUM(G33,G39,G45)</f>
        <v>0</v>
      </c>
      <c r="H25" s="48">
        <f t="shared" ref="H25:T25" si="17">SUM(H33,H39,H45)</f>
        <v>0</v>
      </c>
      <c r="I25" s="48">
        <f t="shared" si="17"/>
        <v>0</v>
      </c>
      <c r="J25" s="48">
        <f t="shared" si="17"/>
        <v>0</v>
      </c>
      <c r="K25" s="48">
        <f t="shared" si="17"/>
        <v>0</v>
      </c>
      <c r="L25" s="48">
        <f t="shared" si="17"/>
        <v>0</v>
      </c>
      <c r="M25" s="48">
        <f t="shared" si="17"/>
        <v>0</v>
      </c>
      <c r="N25" s="48">
        <f t="shared" si="17"/>
        <v>0</v>
      </c>
      <c r="O25" s="48">
        <f t="shared" si="17"/>
        <v>0</v>
      </c>
      <c r="P25" s="48">
        <f t="shared" si="17"/>
        <v>0</v>
      </c>
      <c r="Q25" s="48">
        <f t="shared" si="17"/>
        <v>0</v>
      </c>
      <c r="R25" s="48">
        <f t="shared" si="17"/>
        <v>0</v>
      </c>
      <c r="S25" s="48">
        <f t="shared" si="17"/>
        <v>0</v>
      </c>
      <c r="T25" s="49">
        <f t="shared" si="17"/>
        <v>0</v>
      </c>
    </row>
    <row r="26" spans="3:20" ht="18" hidden="1" thickBot="1"/>
    <row r="27" spans="3:20" ht="18" hidden="1" thickBot="1">
      <c r="C27" s="563" t="s">
        <v>1</v>
      </c>
      <c r="D27" s="564" t="s">
        <v>1086</v>
      </c>
      <c r="E27" s="564" t="s">
        <v>3</v>
      </c>
      <c r="F27" s="564" t="s">
        <v>1087</v>
      </c>
      <c r="G27" s="564" t="s">
        <v>265</v>
      </c>
      <c r="H27" s="564" t="s">
        <v>1088</v>
      </c>
      <c r="I27" s="564" t="s">
        <v>264</v>
      </c>
      <c r="J27" s="564" t="s">
        <v>1089</v>
      </c>
      <c r="K27" s="564" t="s">
        <v>232</v>
      </c>
      <c r="L27" s="564" t="s">
        <v>233</v>
      </c>
      <c r="M27" s="564" t="s">
        <v>234</v>
      </c>
      <c r="N27" s="564" t="s">
        <v>235</v>
      </c>
      <c r="O27" s="564" t="s">
        <v>236</v>
      </c>
      <c r="P27" s="564" t="s">
        <v>237</v>
      </c>
      <c r="Q27" s="564" t="s">
        <v>238</v>
      </c>
      <c r="R27" s="564" t="s">
        <v>239</v>
      </c>
      <c r="S27" s="564" t="s">
        <v>240</v>
      </c>
      <c r="T27" s="565" t="s">
        <v>172</v>
      </c>
    </row>
    <row r="28" spans="3:20" ht="18" hidden="1" thickBot="1">
      <c r="C28" s="566" t="s">
        <v>1493</v>
      </c>
      <c r="D28" s="562" t="str">
        <f>$C$25</f>
        <v>ASP</v>
      </c>
      <c r="E28" s="562" t="s">
        <v>1090</v>
      </c>
      <c r="F28" s="562" t="s">
        <v>266</v>
      </c>
      <c r="G28" s="574">
        <v>0</v>
      </c>
      <c r="H28" s="574">
        <v>0</v>
      </c>
      <c r="I28" s="575">
        <v>0</v>
      </c>
      <c r="J28" s="575">
        <v>0</v>
      </c>
      <c r="K28" s="575">
        <v>0</v>
      </c>
      <c r="L28" s="575">
        <v>0</v>
      </c>
      <c r="M28" s="575">
        <v>0</v>
      </c>
      <c r="N28" s="575">
        <v>0</v>
      </c>
      <c r="O28" s="575">
        <v>0</v>
      </c>
      <c r="P28" s="575">
        <v>0</v>
      </c>
      <c r="Q28" s="575">
        <v>0</v>
      </c>
      <c r="R28" s="575">
        <v>0</v>
      </c>
      <c r="S28" s="575">
        <v>0</v>
      </c>
      <c r="T28" s="576">
        <v>0</v>
      </c>
    </row>
    <row r="29" spans="3:20" ht="18" hidden="1" thickBot="1">
      <c r="C29" s="567" t="s">
        <v>1493</v>
      </c>
      <c r="D29" s="558" t="str">
        <f t="shared" ref="D29:D32" si="18">$C$25</f>
        <v>ASP</v>
      </c>
      <c r="E29" s="558" t="s">
        <v>1090</v>
      </c>
      <c r="F29" s="558" t="s">
        <v>267</v>
      </c>
      <c r="G29" s="577">
        <v>0</v>
      </c>
      <c r="H29" s="577">
        <v>0</v>
      </c>
      <c r="I29" s="578">
        <v>0</v>
      </c>
      <c r="J29" s="578">
        <v>0</v>
      </c>
      <c r="K29" s="578">
        <v>0</v>
      </c>
      <c r="L29" s="578">
        <v>0</v>
      </c>
      <c r="M29" s="578">
        <v>0</v>
      </c>
      <c r="N29" s="578">
        <v>0</v>
      </c>
      <c r="O29" s="578">
        <v>0</v>
      </c>
      <c r="P29" s="578">
        <v>0</v>
      </c>
      <c r="Q29" s="578">
        <v>0</v>
      </c>
      <c r="R29" s="578">
        <v>0</v>
      </c>
      <c r="S29" s="578">
        <v>0</v>
      </c>
      <c r="T29" s="579">
        <v>0</v>
      </c>
    </row>
    <row r="30" spans="3:20" ht="18" hidden="1" thickBot="1">
      <c r="C30" s="567" t="s">
        <v>1493</v>
      </c>
      <c r="D30" s="558" t="str">
        <f t="shared" si="18"/>
        <v>ASP</v>
      </c>
      <c r="E30" s="558" t="s">
        <v>1090</v>
      </c>
      <c r="F30" s="558" t="s">
        <v>268</v>
      </c>
      <c r="G30" s="577">
        <v>0</v>
      </c>
      <c r="H30" s="577">
        <v>0</v>
      </c>
      <c r="I30" s="578">
        <v>0</v>
      </c>
      <c r="J30" s="578">
        <v>0</v>
      </c>
      <c r="K30" s="578">
        <v>0</v>
      </c>
      <c r="L30" s="578">
        <v>0</v>
      </c>
      <c r="M30" s="578">
        <v>0</v>
      </c>
      <c r="N30" s="578">
        <v>0</v>
      </c>
      <c r="O30" s="578">
        <v>0</v>
      </c>
      <c r="P30" s="578">
        <v>0</v>
      </c>
      <c r="Q30" s="578">
        <v>0</v>
      </c>
      <c r="R30" s="578">
        <v>0</v>
      </c>
      <c r="S30" s="578">
        <v>0</v>
      </c>
      <c r="T30" s="579">
        <v>0</v>
      </c>
    </row>
    <row r="31" spans="3:20" ht="18" hidden="1" thickBot="1">
      <c r="C31" s="567" t="s">
        <v>1493</v>
      </c>
      <c r="D31" s="558" t="str">
        <f t="shared" si="18"/>
        <v>ASP</v>
      </c>
      <c r="E31" s="558" t="s">
        <v>247</v>
      </c>
      <c r="F31" s="558" t="s">
        <v>269</v>
      </c>
      <c r="G31" s="577">
        <v>0</v>
      </c>
      <c r="H31" s="577">
        <v>0</v>
      </c>
      <c r="I31" s="578">
        <v>0</v>
      </c>
      <c r="J31" s="578">
        <v>0</v>
      </c>
      <c r="K31" s="578">
        <v>0</v>
      </c>
      <c r="L31" s="578">
        <v>0</v>
      </c>
      <c r="M31" s="578">
        <v>0</v>
      </c>
      <c r="N31" s="578">
        <v>0</v>
      </c>
      <c r="O31" s="578">
        <v>0</v>
      </c>
      <c r="P31" s="578">
        <v>0</v>
      </c>
      <c r="Q31" s="578">
        <v>0</v>
      </c>
      <c r="R31" s="578">
        <v>0</v>
      </c>
      <c r="S31" s="578">
        <v>0</v>
      </c>
      <c r="T31" s="579">
        <v>0</v>
      </c>
    </row>
    <row r="32" spans="3:20" ht="18" hidden="1" thickBot="1">
      <c r="C32" s="567" t="s">
        <v>1493</v>
      </c>
      <c r="D32" s="558" t="str">
        <f t="shared" si="18"/>
        <v>ASP</v>
      </c>
      <c r="E32" s="559" t="s">
        <v>247</v>
      </c>
      <c r="F32" s="559" t="s">
        <v>151</v>
      </c>
      <c r="G32" s="577">
        <v>0</v>
      </c>
      <c r="H32" s="577">
        <v>0</v>
      </c>
      <c r="I32" s="578">
        <v>0</v>
      </c>
      <c r="J32" s="578">
        <v>0</v>
      </c>
      <c r="K32" s="578">
        <v>0</v>
      </c>
      <c r="L32" s="578">
        <v>0</v>
      </c>
      <c r="M32" s="578">
        <v>0</v>
      </c>
      <c r="N32" s="578">
        <v>0</v>
      </c>
      <c r="O32" s="578">
        <v>0</v>
      </c>
      <c r="P32" s="578">
        <v>0</v>
      </c>
      <c r="Q32" s="578">
        <v>0</v>
      </c>
      <c r="R32" s="578">
        <v>0</v>
      </c>
      <c r="S32" s="578">
        <v>0</v>
      </c>
      <c r="T32" s="579">
        <v>0</v>
      </c>
    </row>
    <row r="33" spans="1:20" ht="18" hidden="1" thickBot="1">
      <c r="C33" s="568" t="s">
        <v>274</v>
      </c>
      <c r="D33" s="560"/>
      <c r="E33" s="560"/>
      <c r="F33" s="560"/>
      <c r="G33" s="561">
        <f>SUM(H33:I33)</f>
        <v>0</v>
      </c>
      <c r="H33" s="561">
        <f t="shared" ref="H33" si="19">SUM(H28:H32)</f>
        <v>0</v>
      </c>
      <c r="I33" s="561">
        <f t="shared" ref="I33" si="20">SUM(I28:I32)</f>
        <v>0</v>
      </c>
      <c r="J33" s="561">
        <f t="shared" ref="J33" si="21">SUM(J28:J32)</f>
        <v>0</v>
      </c>
      <c r="K33" s="561">
        <f t="shared" ref="K33" si="22">SUM(K28:K32)</f>
        <v>0</v>
      </c>
      <c r="L33" s="561">
        <f t="shared" ref="L33" si="23">SUM(L28:L32)</f>
        <v>0</v>
      </c>
      <c r="M33" s="561">
        <f t="shared" ref="M33" si="24">SUM(M28:M32)</f>
        <v>0</v>
      </c>
      <c r="N33" s="561">
        <f t="shared" ref="N33" si="25">SUM(N28:N32)</f>
        <v>0</v>
      </c>
      <c r="O33" s="561">
        <f t="shared" ref="O33" si="26">SUM(O28:O32)</f>
        <v>0</v>
      </c>
      <c r="P33" s="561">
        <f t="shared" ref="P33" si="27">SUM(P28:P32)</f>
        <v>0</v>
      </c>
      <c r="Q33" s="561">
        <f t="shared" ref="Q33" si="28">SUM(Q28:Q32)</f>
        <v>0</v>
      </c>
      <c r="R33" s="561">
        <f t="shared" ref="R33" si="29">SUM(R28:R32)</f>
        <v>0</v>
      </c>
      <c r="S33" s="561">
        <f t="shared" ref="S33" si="30">SUM(S28:S32)</f>
        <v>0</v>
      </c>
      <c r="T33" s="569">
        <f t="shared" ref="T33" si="31">SUM(T28:T32)</f>
        <v>0</v>
      </c>
    </row>
    <row r="34" spans="1:20" ht="18" hidden="1" thickBot="1">
      <c r="C34" s="567" t="s">
        <v>1493</v>
      </c>
      <c r="D34" s="558" t="str">
        <f>$C$25</f>
        <v>ASP</v>
      </c>
      <c r="E34" s="558" t="s">
        <v>152</v>
      </c>
      <c r="F34" s="558" t="s">
        <v>153</v>
      </c>
      <c r="G34" s="577">
        <v>0</v>
      </c>
      <c r="H34" s="577">
        <v>0</v>
      </c>
      <c r="I34" s="577">
        <v>0</v>
      </c>
      <c r="J34" s="577">
        <v>0</v>
      </c>
      <c r="K34" s="577">
        <v>0</v>
      </c>
      <c r="L34" s="577">
        <v>0</v>
      </c>
      <c r="M34" s="577">
        <v>0</v>
      </c>
      <c r="N34" s="577">
        <v>0</v>
      </c>
      <c r="O34" s="577">
        <v>0</v>
      </c>
      <c r="P34" s="577">
        <v>0</v>
      </c>
      <c r="Q34" s="577">
        <v>0</v>
      </c>
      <c r="R34" s="577">
        <v>0</v>
      </c>
      <c r="S34" s="577">
        <v>0</v>
      </c>
      <c r="T34" s="581">
        <v>0</v>
      </c>
    </row>
    <row r="35" spans="1:20" ht="18" hidden="1" thickBot="1">
      <c r="C35" s="567" t="s">
        <v>1493</v>
      </c>
      <c r="D35" s="558" t="str">
        <f t="shared" ref="D35:D38" si="32">$C$25</f>
        <v>ASP</v>
      </c>
      <c r="E35" s="558" t="s">
        <v>270</v>
      </c>
      <c r="F35" s="558" t="s">
        <v>272</v>
      </c>
      <c r="G35" s="577">
        <v>0</v>
      </c>
      <c r="H35" s="577">
        <v>0</v>
      </c>
      <c r="I35" s="577">
        <v>0</v>
      </c>
      <c r="J35" s="577">
        <v>0</v>
      </c>
      <c r="K35" s="577">
        <v>0</v>
      </c>
      <c r="L35" s="577">
        <v>0</v>
      </c>
      <c r="M35" s="577">
        <v>0</v>
      </c>
      <c r="N35" s="577">
        <v>0</v>
      </c>
      <c r="O35" s="577">
        <v>0</v>
      </c>
      <c r="P35" s="577">
        <v>0</v>
      </c>
      <c r="Q35" s="577">
        <v>0</v>
      </c>
      <c r="R35" s="577">
        <v>0</v>
      </c>
      <c r="S35" s="577">
        <v>0</v>
      </c>
      <c r="T35" s="581">
        <v>0</v>
      </c>
    </row>
    <row r="36" spans="1:20" ht="18" hidden="1" thickBot="1">
      <c r="C36" s="567" t="s">
        <v>1493</v>
      </c>
      <c r="D36" s="558" t="str">
        <f t="shared" si="32"/>
        <v>ASP</v>
      </c>
      <c r="E36" s="558" t="s">
        <v>1495</v>
      </c>
      <c r="F36" s="558" t="s">
        <v>1498</v>
      </c>
      <c r="G36" s="577">
        <v>0</v>
      </c>
      <c r="H36" s="577">
        <v>0</v>
      </c>
      <c r="I36" s="577">
        <v>0</v>
      </c>
      <c r="J36" s="577">
        <v>0</v>
      </c>
      <c r="K36" s="577">
        <v>0</v>
      </c>
      <c r="L36" s="577">
        <v>0</v>
      </c>
      <c r="M36" s="577">
        <v>0</v>
      </c>
      <c r="N36" s="577">
        <v>0</v>
      </c>
      <c r="O36" s="577">
        <v>0</v>
      </c>
      <c r="P36" s="577">
        <v>0</v>
      </c>
      <c r="Q36" s="577">
        <v>0</v>
      </c>
      <c r="R36" s="577">
        <v>0</v>
      </c>
      <c r="S36" s="577">
        <v>0</v>
      </c>
      <c r="T36" s="581">
        <v>0</v>
      </c>
    </row>
    <row r="37" spans="1:20" ht="18" hidden="1" thickBot="1">
      <c r="C37" s="567" t="s">
        <v>1493</v>
      </c>
      <c r="D37" s="558" t="str">
        <f t="shared" si="32"/>
        <v>ASP</v>
      </c>
      <c r="E37" s="559" t="s">
        <v>270</v>
      </c>
      <c r="F37" s="559" t="s">
        <v>151</v>
      </c>
      <c r="G37" s="577">
        <v>0</v>
      </c>
      <c r="H37" s="577">
        <v>0</v>
      </c>
      <c r="I37" s="577">
        <v>0</v>
      </c>
      <c r="J37" s="577">
        <v>0</v>
      </c>
      <c r="K37" s="577">
        <v>0</v>
      </c>
      <c r="L37" s="577">
        <v>0</v>
      </c>
      <c r="M37" s="577">
        <v>0</v>
      </c>
      <c r="N37" s="577">
        <v>0</v>
      </c>
      <c r="O37" s="577">
        <v>0</v>
      </c>
      <c r="P37" s="577">
        <v>0</v>
      </c>
      <c r="Q37" s="577">
        <v>0</v>
      </c>
      <c r="R37" s="577">
        <v>0</v>
      </c>
      <c r="S37" s="577">
        <v>0</v>
      </c>
      <c r="T37" s="581">
        <v>0</v>
      </c>
    </row>
    <row r="38" spans="1:20" ht="18" hidden="1" thickBot="1">
      <c r="C38" s="567" t="s">
        <v>1493</v>
      </c>
      <c r="D38" s="558" t="str">
        <f t="shared" si="32"/>
        <v>ASP</v>
      </c>
      <c r="E38" s="559" t="s">
        <v>270</v>
      </c>
      <c r="F38" s="559" t="s">
        <v>151</v>
      </c>
      <c r="G38" s="577">
        <v>0</v>
      </c>
      <c r="H38" s="577">
        <v>0</v>
      </c>
      <c r="I38" s="577">
        <v>0</v>
      </c>
      <c r="J38" s="577">
        <v>0</v>
      </c>
      <c r="K38" s="577">
        <v>0</v>
      </c>
      <c r="L38" s="577">
        <v>0</v>
      </c>
      <c r="M38" s="577">
        <v>0</v>
      </c>
      <c r="N38" s="577">
        <v>0</v>
      </c>
      <c r="O38" s="577">
        <v>0</v>
      </c>
      <c r="P38" s="577">
        <v>0</v>
      </c>
      <c r="Q38" s="577">
        <v>0</v>
      </c>
      <c r="R38" s="577">
        <v>0</v>
      </c>
      <c r="S38" s="577">
        <v>0</v>
      </c>
      <c r="T38" s="581">
        <v>0</v>
      </c>
    </row>
    <row r="39" spans="1:20" ht="18" hidden="1" thickBot="1">
      <c r="C39" s="568" t="s">
        <v>275</v>
      </c>
      <c r="D39" s="560"/>
      <c r="E39" s="560"/>
      <c r="F39" s="560"/>
      <c r="G39" s="561">
        <f>SUM(H39:I39)</f>
        <v>0</v>
      </c>
      <c r="H39" s="561">
        <f>SUM(H34:H38)</f>
        <v>0</v>
      </c>
      <c r="I39" s="561">
        <f>SUM(I34:I38)</f>
        <v>0</v>
      </c>
      <c r="J39" s="561">
        <f t="shared" ref="J39:T39" si="33">SUM(J34:J38)</f>
        <v>0</v>
      </c>
      <c r="K39" s="561">
        <f t="shared" si="33"/>
        <v>0</v>
      </c>
      <c r="L39" s="561">
        <f t="shared" si="33"/>
        <v>0</v>
      </c>
      <c r="M39" s="561">
        <f t="shared" si="33"/>
        <v>0</v>
      </c>
      <c r="N39" s="561">
        <f t="shared" si="33"/>
        <v>0</v>
      </c>
      <c r="O39" s="561">
        <f t="shared" si="33"/>
        <v>0</v>
      </c>
      <c r="P39" s="561">
        <f t="shared" si="33"/>
        <v>0</v>
      </c>
      <c r="Q39" s="561">
        <f t="shared" si="33"/>
        <v>0</v>
      </c>
      <c r="R39" s="561">
        <f t="shared" si="33"/>
        <v>0</v>
      </c>
      <c r="S39" s="561">
        <f t="shared" si="33"/>
        <v>0</v>
      </c>
      <c r="T39" s="569">
        <f t="shared" si="33"/>
        <v>0</v>
      </c>
    </row>
    <row r="40" spans="1:20" ht="18" hidden="1" thickBot="1">
      <c r="C40" s="567" t="s">
        <v>1493</v>
      </c>
      <c r="D40" s="558" t="str">
        <f>$C$25</f>
        <v>ASP</v>
      </c>
      <c r="E40" s="558" t="s">
        <v>271</v>
      </c>
      <c r="F40" s="558" t="s">
        <v>267</v>
      </c>
      <c r="G40" s="577">
        <v>0</v>
      </c>
      <c r="H40" s="577">
        <v>0</v>
      </c>
      <c r="I40" s="577">
        <v>0</v>
      </c>
      <c r="J40" s="577">
        <v>0</v>
      </c>
      <c r="K40" s="577">
        <v>0</v>
      </c>
      <c r="L40" s="577">
        <v>0</v>
      </c>
      <c r="M40" s="577">
        <v>0</v>
      </c>
      <c r="N40" s="577">
        <v>0</v>
      </c>
      <c r="O40" s="577">
        <v>0</v>
      </c>
      <c r="P40" s="577">
        <v>0</v>
      </c>
      <c r="Q40" s="577">
        <v>0</v>
      </c>
      <c r="R40" s="577">
        <v>0</v>
      </c>
      <c r="S40" s="577">
        <v>0</v>
      </c>
      <c r="T40" s="581">
        <v>0</v>
      </c>
    </row>
    <row r="41" spans="1:20" ht="18" hidden="1" thickBot="1">
      <c r="C41" s="567" t="s">
        <v>1493</v>
      </c>
      <c r="D41" s="558" t="str">
        <f t="shared" ref="D41:D44" si="34">$C$25</f>
        <v>ASP</v>
      </c>
      <c r="E41" s="558" t="s">
        <v>271</v>
      </c>
      <c r="F41" s="558" t="s">
        <v>268</v>
      </c>
      <c r="G41" s="577">
        <v>0</v>
      </c>
      <c r="H41" s="577">
        <v>0</v>
      </c>
      <c r="I41" s="577">
        <v>0</v>
      </c>
      <c r="J41" s="577">
        <v>0</v>
      </c>
      <c r="K41" s="577">
        <v>0</v>
      </c>
      <c r="L41" s="577">
        <v>0</v>
      </c>
      <c r="M41" s="577">
        <v>0</v>
      </c>
      <c r="N41" s="577">
        <v>0</v>
      </c>
      <c r="O41" s="577">
        <v>0</v>
      </c>
      <c r="P41" s="577">
        <v>0</v>
      </c>
      <c r="Q41" s="577">
        <v>0</v>
      </c>
      <c r="R41" s="577">
        <v>0</v>
      </c>
      <c r="S41" s="577">
        <v>0</v>
      </c>
      <c r="T41" s="581">
        <v>0</v>
      </c>
    </row>
    <row r="42" spans="1:20" ht="18" hidden="1" thickBot="1">
      <c r="C42" s="567" t="s">
        <v>1493</v>
      </c>
      <c r="D42" s="558" t="str">
        <f t="shared" si="34"/>
        <v>ASP</v>
      </c>
      <c r="E42" s="558" t="s">
        <v>271</v>
      </c>
      <c r="F42" s="558" t="s">
        <v>269</v>
      </c>
      <c r="G42" s="577">
        <v>0</v>
      </c>
      <c r="H42" s="577">
        <v>0</v>
      </c>
      <c r="I42" s="577">
        <v>0</v>
      </c>
      <c r="J42" s="577">
        <v>0</v>
      </c>
      <c r="K42" s="577">
        <v>0</v>
      </c>
      <c r="L42" s="577">
        <v>0</v>
      </c>
      <c r="M42" s="577">
        <v>0</v>
      </c>
      <c r="N42" s="577">
        <v>0</v>
      </c>
      <c r="O42" s="577">
        <v>0</v>
      </c>
      <c r="P42" s="577">
        <v>0</v>
      </c>
      <c r="Q42" s="577">
        <v>0</v>
      </c>
      <c r="R42" s="577">
        <v>0</v>
      </c>
      <c r="S42" s="577">
        <v>0</v>
      </c>
      <c r="T42" s="581">
        <v>0</v>
      </c>
    </row>
    <row r="43" spans="1:20" ht="18" hidden="1" thickBot="1">
      <c r="C43" s="567" t="s">
        <v>1493</v>
      </c>
      <c r="D43" s="558" t="str">
        <f t="shared" si="34"/>
        <v>ASP</v>
      </c>
      <c r="E43" s="559" t="s">
        <v>271</v>
      </c>
      <c r="F43" s="559" t="s">
        <v>151</v>
      </c>
      <c r="G43" s="577">
        <v>0</v>
      </c>
      <c r="H43" s="577">
        <v>0</v>
      </c>
      <c r="I43" s="577">
        <v>0</v>
      </c>
      <c r="J43" s="577">
        <v>0</v>
      </c>
      <c r="K43" s="577">
        <v>0</v>
      </c>
      <c r="L43" s="577">
        <v>0</v>
      </c>
      <c r="M43" s="577">
        <v>0</v>
      </c>
      <c r="N43" s="577">
        <v>0</v>
      </c>
      <c r="O43" s="577">
        <v>0</v>
      </c>
      <c r="P43" s="577">
        <v>0</v>
      </c>
      <c r="Q43" s="577">
        <v>0</v>
      </c>
      <c r="R43" s="577">
        <v>0</v>
      </c>
      <c r="S43" s="577">
        <v>0</v>
      </c>
      <c r="T43" s="581">
        <v>0</v>
      </c>
    </row>
    <row r="44" spans="1:20" ht="18" hidden="1" thickBot="1">
      <c r="C44" s="567" t="s">
        <v>1493</v>
      </c>
      <c r="D44" s="558" t="str">
        <f t="shared" si="34"/>
        <v>ASP</v>
      </c>
      <c r="E44" s="559" t="s">
        <v>271</v>
      </c>
      <c r="F44" s="559" t="s">
        <v>151</v>
      </c>
      <c r="G44" s="577">
        <v>0</v>
      </c>
      <c r="H44" s="577">
        <v>0</v>
      </c>
      <c r="I44" s="577">
        <v>0</v>
      </c>
      <c r="J44" s="577">
        <v>0</v>
      </c>
      <c r="K44" s="577">
        <v>0</v>
      </c>
      <c r="L44" s="577">
        <v>0</v>
      </c>
      <c r="M44" s="577">
        <v>0</v>
      </c>
      <c r="N44" s="577">
        <v>0</v>
      </c>
      <c r="O44" s="577">
        <v>0</v>
      </c>
      <c r="P44" s="577">
        <v>0</v>
      </c>
      <c r="Q44" s="577">
        <v>0</v>
      </c>
      <c r="R44" s="577">
        <v>0</v>
      </c>
      <c r="S44" s="577">
        <v>0</v>
      </c>
      <c r="T44" s="581">
        <v>0</v>
      </c>
    </row>
    <row r="45" spans="1:20" ht="18" hidden="1" thickBot="1">
      <c r="C45" s="570" t="s">
        <v>276</v>
      </c>
      <c r="D45" s="571"/>
      <c r="E45" s="571"/>
      <c r="F45" s="571"/>
      <c r="G45" s="572">
        <f>SUM(H45:I45)</f>
        <v>0</v>
      </c>
      <c r="H45" s="572">
        <f>SUM(H40:H44)</f>
        <v>0</v>
      </c>
      <c r="I45" s="572">
        <f>SUM(I40:I44)</f>
        <v>0</v>
      </c>
      <c r="J45" s="572">
        <f t="shared" ref="J45:T45" si="35">SUM(J40:J44)</f>
        <v>0</v>
      </c>
      <c r="K45" s="572">
        <f t="shared" si="35"/>
        <v>0</v>
      </c>
      <c r="L45" s="572">
        <f t="shared" si="35"/>
        <v>0</v>
      </c>
      <c r="M45" s="572">
        <f t="shared" si="35"/>
        <v>0</v>
      </c>
      <c r="N45" s="572">
        <f t="shared" si="35"/>
        <v>0</v>
      </c>
      <c r="O45" s="572">
        <f t="shared" si="35"/>
        <v>0</v>
      </c>
      <c r="P45" s="572">
        <f t="shared" si="35"/>
        <v>0</v>
      </c>
      <c r="Q45" s="572">
        <f t="shared" si="35"/>
        <v>0</v>
      </c>
      <c r="R45" s="572">
        <f t="shared" si="35"/>
        <v>0</v>
      </c>
      <c r="S45" s="572">
        <f t="shared" si="35"/>
        <v>0</v>
      </c>
      <c r="T45" s="573">
        <f t="shared" si="35"/>
        <v>0</v>
      </c>
    </row>
    <row r="46" spans="1:20" s="53" customFormat="1" hidden="1">
      <c r="A46" s="65"/>
      <c r="B46" s="58"/>
      <c r="C46" s="51"/>
      <c r="D46" s="51"/>
      <c r="E46" s="51"/>
      <c r="F46" s="51"/>
      <c r="G46" s="52"/>
      <c r="H46" s="52"/>
      <c r="I46" s="52"/>
      <c r="J46" s="52"/>
      <c r="K46" s="52"/>
      <c r="L46" s="52"/>
      <c r="M46" s="52"/>
      <c r="N46" s="52"/>
      <c r="O46" s="52"/>
      <c r="P46" s="52"/>
      <c r="Q46" s="52"/>
      <c r="R46" s="52"/>
      <c r="S46" s="52"/>
      <c r="T46" s="52"/>
    </row>
    <row r="47" spans="1:20" s="53" customFormat="1" ht="18" hidden="1" thickBot="1">
      <c r="A47" s="65"/>
      <c r="B47" s="58"/>
      <c r="C47" s="51"/>
      <c r="D47" s="51"/>
      <c r="E47" s="51"/>
      <c r="F47" s="51"/>
      <c r="G47" s="52"/>
      <c r="H47" s="52"/>
      <c r="I47" s="52"/>
      <c r="J47" s="52"/>
      <c r="K47" s="52"/>
      <c r="L47" s="52"/>
      <c r="M47" s="52"/>
      <c r="N47" s="52"/>
      <c r="O47" s="52"/>
      <c r="P47" s="52"/>
      <c r="Q47" s="52"/>
      <c r="R47" s="52"/>
      <c r="S47" s="52"/>
      <c r="T47" s="52"/>
    </row>
    <row r="48" spans="1:20" hidden="1">
      <c r="C48" s="40" t="s">
        <v>1494</v>
      </c>
      <c r="D48" s="2"/>
      <c r="E48" s="2"/>
      <c r="F48" s="2"/>
      <c r="G48" s="50">
        <f>SUM(G56,G62,G68)</f>
        <v>0</v>
      </c>
      <c r="H48" s="48">
        <f t="shared" ref="H48:T48" si="36">SUM(H56,H62,H68)</f>
        <v>0</v>
      </c>
      <c r="I48" s="48">
        <f t="shared" si="36"/>
        <v>0</v>
      </c>
      <c r="J48" s="48">
        <f t="shared" si="36"/>
        <v>0</v>
      </c>
      <c r="K48" s="48">
        <f t="shared" si="36"/>
        <v>0</v>
      </c>
      <c r="L48" s="48">
        <f t="shared" si="36"/>
        <v>0</v>
      </c>
      <c r="M48" s="48">
        <f t="shared" si="36"/>
        <v>0</v>
      </c>
      <c r="N48" s="48">
        <f t="shared" si="36"/>
        <v>0</v>
      </c>
      <c r="O48" s="48">
        <f t="shared" si="36"/>
        <v>0</v>
      </c>
      <c r="P48" s="48">
        <f t="shared" si="36"/>
        <v>0</v>
      </c>
      <c r="Q48" s="48">
        <f t="shared" si="36"/>
        <v>0</v>
      </c>
      <c r="R48" s="48">
        <f t="shared" si="36"/>
        <v>0</v>
      </c>
      <c r="S48" s="48">
        <f t="shared" si="36"/>
        <v>0</v>
      </c>
      <c r="T48" s="49">
        <f t="shared" si="36"/>
        <v>0</v>
      </c>
    </row>
    <row r="49" spans="3:20" ht="18" hidden="1" thickBot="1"/>
    <row r="50" spans="3:20" ht="18" hidden="1" thickBot="1">
      <c r="C50" s="563" t="s">
        <v>1</v>
      </c>
      <c r="D50" s="564" t="s">
        <v>1086</v>
      </c>
      <c r="E50" s="564" t="s">
        <v>3</v>
      </c>
      <c r="F50" s="564" t="s">
        <v>1092</v>
      </c>
      <c r="G50" s="564" t="s">
        <v>265</v>
      </c>
      <c r="H50" s="564" t="s">
        <v>1093</v>
      </c>
      <c r="I50" s="564" t="s">
        <v>264</v>
      </c>
      <c r="J50" s="564" t="s">
        <v>1094</v>
      </c>
      <c r="K50" s="564" t="s">
        <v>232</v>
      </c>
      <c r="L50" s="564" t="s">
        <v>233</v>
      </c>
      <c r="M50" s="564" t="s">
        <v>234</v>
      </c>
      <c r="N50" s="564" t="s">
        <v>235</v>
      </c>
      <c r="O50" s="564" t="s">
        <v>236</v>
      </c>
      <c r="P50" s="564" t="s">
        <v>237</v>
      </c>
      <c r="Q50" s="564" t="s">
        <v>238</v>
      </c>
      <c r="R50" s="564" t="s">
        <v>239</v>
      </c>
      <c r="S50" s="564" t="s">
        <v>240</v>
      </c>
      <c r="T50" s="565" t="s">
        <v>172</v>
      </c>
    </row>
    <row r="51" spans="3:20" ht="18" hidden="1" thickBot="1">
      <c r="C51" s="566" t="s">
        <v>195</v>
      </c>
      <c r="D51" s="562" t="str">
        <f>$C$48</f>
        <v>ASP</v>
      </c>
      <c r="E51" s="562" t="s">
        <v>247</v>
      </c>
      <c r="F51" s="562" t="s">
        <v>266</v>
      </c>
      <c r="G51" s="574">
        <v>0</v>
      </c>
      <c r="H51" s="574">
        <v>0</v>
      </c>
      <c r="I51" s="575">
        <v>0</v>
      </c>
      <c r="J51" s="575">
        <v>0</v>
      </c>
      <c r="K51" s="575">
        <v>0</v>
      </c>
      <c r="L51" s="575">
        <v>0</v>
      </c>
      <c r="M51" s="575">
        <v>0</v>
      </c>
      <c r="N51" s="575">
        <v>0</v>
      </c>
      <c r="O51" s="575">
        <v>0</v>
      </c>
      <c r="P51" s="575">
        <v>0</v>
      </c>
      <c r="Q51" s="575">
        <v>0</v>
      </c>
      <c r="R51" s="575">
        <v>0</v>
      </c>
      <c r="S51" s="575">
        <v>0</v>
      </c>
      <c r="T51" s="576">
        <v>0</v>
      </c>
    </row>
    <row r="52" spans="3:20" ht="18" hidden="1" thickBot="1">
      <c r="C52" s="567" t="s">
        <v>195</v>
      </c>
      <c r="D52" s="558" t="str">
        <f t="shared" ref="D52:D55" si="37">$C$48</f>
        <v>ASP</v>
      </c>
      <c r="E52" s="558" t="s">
        <v>247</v>
      </c>
      <c r="F52" s="558" t="s">
        <v>1095</v>
      </c>
      <c r="G52" s="577">
        <v>0</v>
      </c>
      <c r="H52" s="577">
        <v>0</v>
      </c>
      <c r="I52" s="578">
        <v>0</v>
      </c>
      <c r="J52" s="578">
        <v>0</v>
      </c>
      <c r="K52" s="578">
        <v>0</v>
      </c>
      <c r="L52" s="578">
        <v>0</v>
      </c>
      <c r="M52" s="578">
        <v>0</v>
      </c>
      <c r="N52" s="578">
        <v>0</v>
      </c>
      <c r="O52" s="578">
        <v>0</v>
      </c>
      <c r="P52" s="578">
        <v>0</v>
      </c>
      <c r="Q52" s="578">
        <v>0</v>
      </c>
      <c r="R52" s="578">
        <v>0</v>
      </c>
      <c r="S52" s="578">
        <v>0</v>
      </c>
      <c r="T52" s="579">
        <v>0</v>
      </c>
    </row>
    <row r="53" spans="3:20" ht="18" hidden="1" thickBot="1">
      <c r="C53" s="567" t="s">
        <v>195</v>
      </c>
      <c r="D53" s="558" t="str">
        <f t="shared" si="37"/>
        <v>ASP</v>
      </c>
      <c r="E53" s="558" t="s">
        <v>1090</v>
      </c>
      <c r="F53" s="558" t="s">
        <v>1096</v>
      </c>
      <c r="G53" s="577">
        <v>0</v>
      </c>
      <c r="H53" s="577">
        <v>0</v>
      </c>
      <c r="I53" s="578">
        <v>0</v>
      </c>
      <c r="J53" s="578">
        <v>0</v>
      </c>
      <c r="K53" s="578">
        <v>0</v>
      </c>
      <c r="L53" s="578">
        <v>0</v>
      </c>
      <c r="M53" s="578">
        <v>0</v>
      </c>
      <c r="N53" s="578">
        <v>0</v>
      </c>
      <c r="O53" s="578">
        <v>0</v>
      </c>
      <c r="P53" s="578">
        <v>0</v>
      </c>
      <c r="Q53" s="578">
        <v>0</v>
      </c>
      <c r="R53" s="578">
        <v>0</v>
      </c>
      <c r="S53" s="578">
        <v>0</v>
      </c>
      <c r="T53" s="579">
        <v>0</v>
      </c>
    </row>
    <row r="54" spans="3:20" ht="18" hidden="1" thickBot="1">
      <c r="C54" s="567" t="s">
        <v>195</v>
      </c>
      <c r="D54" s="558" t="str">
        <f t="shared" si="37"/>
        <v>ASP</v>
      </c>
      <c r="E54" s="558" t="s">
        <v>1090</v>
      </c>
      <c r="F54" s="558" t="s">
        <v>269</v>
      </c>
      <c r="G54" s="577">
        <v>0</v>
      </c>
      <c r="H54" s="577">
        <v>0</v>
      </c>
      <c r="I54" s="578">
        <v>0</v>
      </c>
      <c r="J54" s="578">
        <v>0</v>
      </c>
      <c r="K54" s="578">
        <v>0</v>
      </c>
      <c r="L54" s="578">
        <v>0</v>
      </c>
      <c r="M54" s="578">
        <v>0</v>
      </c>
      <c r="N54" s="578">
        <v>0</v>
      </c>
      <c r="O54" s="578">
        <v>0</v>
      </c>
      <c r="P54" s="578">
        <v>0</v>
      </c>
      <c r="Q54" s="578">
        <v>0</v>
      </c>
      <c r="R54" s="578">
        <v>0</v>
      </c>
      <c r="S54" s="578">
        <v>0</v>
      </c>
      <c r="T54" s="579">
        <v>0</v>
      </c>
    </row>
    <row r="55" spans="3:20" ht="18" hidden="1" thickBot="1">
      <c r="C55" s="567" t="s">
        <v>195</v>
      </c>
      <c r="D55" s="558" t="str">
        <f t="shared" si="37"/>
        <v>ASP</v>
      </c>
      <c r="E55" s="559" t="s">
        <v>1090</v>
      </c>
      <c r="F55" s="559" t="s">
        <v>1097</v>
      </c>
      <c r="G55" s="577">
        <v>0</v>
      </c>
      <c r="H55" s="577">
        <v>0</v>
      </c>
      <c r="I55" s="578">
        <v>0</v>
      </c>
      <c r="J55" s="578">
        <v>0</v>
      </c>
      <c r="K55" s="578">
        <v>0</v>
      </c>
      <c r="L55" s="578">
        <v>0</v>
      </c>
      <c r="M55" s="578">
        <v>0</v>
      </c>
      <c r="N55" s="578">
        <v>0</v>
      </c>
      <c r="O55" s="578">
        <v>0</v>
      </c>
      <c r="P55" s="578">
        <v>0</v>
      </c>
      <c r="Q55" s="578">
        <v>0</v>
      </c>
      <c r="R55" s="578">
        <v>0</v>
      </c>
      <c r="S55" s="578">
        <v>0</v>
      </c>
      <c r="T55" s="579">
        <v>0</v>
      </c>
    </row>
    <row r="56" spans="3:20" ht="18" hidden="1" thickBot="1">
      <c r="C56" s="568" t="s">
        <v>274</v>
      </c>
      <c r="D56" s="560"/>
      <c r="E56" s="560"/>
      <c r="F56" s="560"/>
      <c r="G56" s="561">
        <f>SUM(H56:I56)</f>
        <v>0</v>
      </c>
      <c r="H56" s="561">
        <f t="shared" ref="H56" si="38">SUM(H51:H55)</f>
        <v>0</v>
      </c>
      <c r="I56" s="561">
        <f t="shared" ref="I56" si="39">SUM(I51:I55)</f>
        <v>0</v>
      </c>
      <c r="J56" s="561">
        <f t="shared" ref="J56" si="40">SUM(J51:J55)</f>
        <v>0</v>
      </c>
      <c r="K56" s="561">
        <f t="shared" ref="K56" si="41">SUM(K51:K55)</f>
        <v>0</v>
      </c>
      <c r="L56" s="561">
        <f t="shared" ref="L56" si="42">SUM(L51:L55)</f>
        <v>0</v>
      </c>
      <c r="M56" s="561">
        <f t="shared" ref="M56" si="43">SUM(M51:M55)</f>
        <v>0</v>
      </c>
      <c r="N56" s="561">
        <f t="shared" ref="N56" si="44">SUM(N51:N55)</f>
        <v>0</v>
      </c>
      <c r="O56" s="561">
        <f t="shared" ref="O56" si="45">SUM(O51:O55)</f>
        <v>0</v>
      </c>
      <c r="P56" s="561">
        <f t="shared" ref="P56" si="46">SUM(P51:P55)</f>
        <v>0</v>
      </c>
      <c r="Q56" s="561">
        <f t="shared" ref="Q56" si="47">SUM(Q51:Q55)</f>
        <v>0</v>
      </c>
      <c r="R56" s="561">
        <f t="shared" ref="R56" si="48">SUM(R51:R55)</f>
        <v>0</v>
      </c>
      <c r="S56" s="561">
        <f t="shared" ref="S56" si="49">SUM(S51:S55)</f>
        <v>0</v>
      </c>
      <c r="T56" s="569">
        <f t="shared" ref="T56" si="50">SUM(T51:T55)</f>
        <v>0</v>
      </c>
    </row>
    <row r="57" spans="3:20" ht="18" hidden="1" thickBot="1">
      <c r="C57" s="567" t="s">
        <v>195</v>
      </c>
      <c r="D57" s="558" t="str">
        <f>$C$48</f>
        <v>ASP</v>
      </c>
      <c r="E57" s="558" t="s">
        <v>152</v>
      </c>
      <c r="F57" s="558" t="s">
        <v>153</v>
      </c>
      <c r="G57" s="577">
        <v>0</v>
      </c>
      <c r="H57" s="577">
        <v>0</v>
      </c>
      <c r="I57" s="577">
        <v>0</v>
      </c>
      <c r="J57" s="577">
        <v>0</v>
      </c>
      <c r="K57" s="577">
        <v>0</v>
      </c>
      <c r="L57" s="577">
        <v>0</v>
      </c>
      <c r="M57" s="577">
        <v>0</v>
      </c>
      <c r="N57" s="577">
        <v>0</v>
      </c>
      <c r="O57" s="577">
        <v>0</v>
      </c>
      <c r="P57" s="577">
        <v>0</v>
      </c>
      <c r="Q57" s="577">
        <v>0</v>
      </c>
      <c r="R57" s="577">
        <v>0</v>
      </c>
      <c r="S57" s="577">
        <v>0</v>
      </c>
      <c r="T57" s="581">
        <v>0</v>
      </c>
    </row>
    <row r="58" spans="3:20" ht="18" hidden="1" thickBot="1">
      <c r="C58" s="567" t="s">
        <v>195</v>
      </c>
      <c r="D58" s="558" t="str">
        <f t="shared" ref="D58:D61" si="51">$C$48</f>
        <v>ASP</v>
      </c>
      <c r="E58" s="558" t="s">
        <v>1098</v>
      </c>
      <c r="F58" s="558" t="s">
        <v>272</v>
      </c>
      <c r="G58" s="577">
        <v>0</v>
      </c>
      <c r="H58" s="577">
        <v>0</v>
      </c>
      <c r="I58" s="577">
        <v>0</v>
      </c>
      <c r="J58" s="577">
        <v>0</v>
      </c>
      <c r="K58" s="577">
        <v>0</v>
      </c>
      <c r="L58" s="577">
        <v>0</v>
      </c>
      <c r="M58" s="577">
        <v>0</v>
      </c>
      <c r="N58" s="577">
        <v>0</v>
      </c>
      <c r="O58" s="577">
        <v>0</v>
      </c>
      <c r="P58" s="577">
        <v>0</v>
      </c>
      <c r="Q58" s="577">
        <v>0</v>
      </c>
      <c r="R58" s="577">
        <v>0</v>
      </c>
      <c r="S58" s="577">
        <v>0</v>
      </c>
      <c r="T58" s="581">
        <v>0</v>
      </c>
    </row>
    <row r="59" spans="3:20" ht="18" hidden="1" thickBot="1">
      <c r="C59" s="567" t="s">
        <v>195</v>
      </c>
      <c r="D59" s="558" t="str">
        <f t="shared" si="51"/>
        <v>ASP</v>
      </c>
      <c r="E59" s="558" t="s">
        <v>1495</v>
      </c>
      <c r="F59" s="558" t="s">
        <v>1498</v>
      </c>
      <c r="G59" s="577">
        <v>0</v>
      </c>
      <c r="H59" s="577">
        <v>0</v>
      </c>
      <c r="I59" s="577">
        <v>0</v>
      </c>
      <c r="J59" s="577">
        <v>0</v>
      </c>
      <c r="K59" s="577">
        <v>0</v>
      </c>
      <c r="L59" s="577">
        <v>0</v>
      </c>
      <c r="M59" s="577">
        <v>0</v>
      </c>
      <c r="N59" s="577">
        <v>0</v>
      </c>
      <c r="O59" s="577">
        <v>0</v>
      </c>
      <c r="P59" s="577">
        <v>0</v>
      </c>
      <c r="Q59" s="577">
        <v>0</v>
      </c>
      <c r="R59" s="577">
        <v>0</v>
      </c>
      <c r="S59" s="577">
        <v>0</v>
      </c>
      <c r="T59" s="581">
        <v>0</v>
      </c>
    </row>
    <row r="60" spans="3:20" ht="18" hidden="1" thickBot="1">
      <c r="C60" s="567" t="s">
        <v>195</v>
      </c>
      <c r="D60" s="558" t="str">
        <f t="shared" si="51"/>
        <v>ASP</v>
      </c>
      <c r="E60" s="559" t="s">
        <v>1099</v>
      </c>
      <c r="F60" s="559" t="s">
        <v>1100</v>
      </c>
      <c r="G60" s="577">
        <v>0</v>
      </c>
      <c r="H60" s="577">
        <v>0</v>
      </c>
      <c r="I60" s="577">
        <v>0</v>
      </c>
      <c r="J60" s="577">
        <v>0</v>
      </c>
      <c r="K60" s="577">
        <v>0</v>
      </c>
      <c r="L60" s="577">
        <v>0</v>
      </c>
      <c r="M60" s="577">
        <v>0</v>
      </c>
      <c r="N60" s="577">
        <v>0</v>
      </c>
      <c r="O60" s="577">
        <v>0</v>
      </c>
      <c r="P60" s="577">
        <v>0</v>
      </c>
      <c r="Q60" s="577">
        <v>0</v>
      </c>
      <c r="R60" s="577">
        <v>0</v>
      </c>
      <c r="S60" s="577">
        <v>0</v>
      </c>
      <c r="T60" s="581">
        <v>0</v>
      </c>
    </row>
    <row r="61" spans="3:20" ht="18" hidden="1" thickBot="1">
      <c r="C61" s="567" t="s">
        <v>195</v>
      </c>
      <c r="D61" s="558" t="str">
        <f t="shared" si="51"/>
        <v>ASP</v>
      </c>
      <c r="E61" s="559" t="s">
        <v>1098</v>
      </c>
      <c r="F61" s="559" t="s">
        <v>1097</v>
      </c>
      <c r="G61" s="577">
        <v>0</v>
      </c>
      <c r="H61" s="577">
        <v>0</v>
      </c>
      <c r="I61" s="577">
        <v>0</v>
      </c>
      <c r="J61" s="577">
        <v>0</v>
      </c>
      <c r="K61" s="577">
        <v>0</v>
      </c>
      <c r="L61" s="577">
        <v>0</v>
      </c>
      <c r="M61" s="577">
        <v>0</v>
      </c>
      <c r="N61" s="577">
        <v>0</v>
      </c>
      <c r="O61" s="577">
        <v>0</v>
      </c>
      <c r="P61" s="577">
        <v>0</v>
      </c>
      <c r="Q61" s="577">
        <v>0</v>
      </c>
      <c r="R61" s="577">
        <v>0</v>
      </c>
      <c r="S61" s="577">
        <v>0</v>
      </c>
      <c r="T61" s="581">
        <v>0</v>
      </c>
    </row>
    <row r="62" spans="3:20" ht="18" hidden="1" thickBot="1">
      <c r="C62" s="568" t="s">
        <v>275</v>
      </c>
      <c r="D62" s="560"/>
      <c r="E62" s="560"/>
      <c r="F62" s="560"/>
      <c r="G62" s="561">
        <f>SUM(H62:I62)</f>
        <v>0</v>
      </c>
      <c r="H62" s="561">
        <f>SUM(H57:H61)</f>
        <v>0</v>
      </c>
      <c r="I62" s="561">
        <f>SUM(I57:I61)</f>
        <v>0</v>
      </c>
      <c r="J62" s="561">
        <f t="shared" ref="J62:T62" si="52">SUM(J57:J61)</f>
        <v>0</v>
      </c>
      <c r="K62" s="561">
        <f t="shared" si="52"/>
        <v>0</v>
      </c>
      <c r="L62" s="561">
        <f t="shared" si="52"/>
        <v>0</v>
      </c>
      <c r="M62" s="561">
        <f t="shared" si="52"/>
        <v>0</v>
      </c>
      <c r="N62" s="561">
        <f t="shared" si="52"/>
        <v>0</v>
      </c>
      <c r="O62" s="561">
        <f t="shared" si="52"/>
        <v>0</v>
      </c>
      <c r="P62" s="561">
        <f t="shared" si="52"/>
        <v>0</v>
      </c>
      <c r="Q62" s="561">
        <f t="shared" si="52"/>
        <v>0</v>
      </c>
      <c r="R62" s="561">
        <f t="shared" si="52"/>
        <v>0</v>
      </c>
      <c r="S62" s="561">
        <f t="shared" si="52"/>
        <v>0</v>
      </c>
      <c r="T62" s="569">
        <f t="shared" si="52"/>
        <v>0</v>
      </c>
    </row>
    <row r="63" spans="3:20" ht="18" hidden="1" thickBot="1">
      <c r="C63" s="567" t="s">
        <v>195</v>
      </c>
      <c r="D63" s="558" t="str">
        <f>$C$48</f>
        <v>ASP</v>
      </c>
      <c r="E63" s="558" t="s">
        <v>1101</v>
      </c>
      <c r="F63" s="558" t="s">
        <v>1095</v>
      </c>
      <c r="G63" s="577">
        <v>0</v>
      </c>
      <c r="H63" s="577">
        <v>0</v>
      </c>
      <c r="I63" s="577">
        <v>0</v>
      </c>
      <c r="J63" s="577">
        <v>0</v>
      </c>
      <c r="K63" s="577">
        <v>0</v>
      </c>
      <c r="L63" s="577">
        <v>0</v>
      </c>
      <c r="M63" s="577">
        <v>0</v>
      </c>
      <c r="N63" s="577">
        <v>0</v>
      </c>
      <c r="O63" s="577">
        <v>0</v>
      </c>
      <c r="P63" s="577">
        <v>0</v>
      </c>
      <c r="Q63" s="577">
        <v>0</v>
      </c>
      <c r="R63" s="577">
        <v>0</v>
      </c>
      <c r="S63" s="577">
        <v>0</v>
      </c>
      <c r="T63" s="581">
        <v>0</v>
      </c>
    </row>
    <row r="64" spans="3:20" ht="18" hidden="1" thickBot="1">
      <c r="C64" s="567" t="s">
        <v>195</v>
      </c>
      <c r="D64" s="558" t="str">
        <f t="shared" ref="D64:D67" si="53">$C$48</f>
        <v>ASP</v>
      </c>
      <c r="E64" s="558" t="s">
        <v>271</v>
      </c>
      <c r="F64" s="558" t="s">
        <v>268</v>
      </c>
      <c r="G64" s="577">
        <v>0</v>
      </c>
      <c r="H64" s="577">
        <v>0</v>
      </c>
      <c r="I64" s="577">
        <v>0</v>
      </c>
      <c r="J64" s="577">
        <v>0</v>
      </c>
      <c r="K64" s="577">
        <v>0</v>
      </c>
      <c r="L64" s="577">
        <v>0</v>
      </c>
      <c r="M64" s="577">
        <v>0</v>
      </c>
      <c r="N64" s="577">
        <v>0</v>
      </c>
      <c r="O64" s="577">
        <v>0</v>
      </c>
      <c r="P64" s="577">
        <v>0</v>
      </c>
      <c r="Q64" s="577">
        <v>0</v>
      </c>
      <c r="R64" s="577">
        <v>0</v>
      </c>
      <c r="S64" s="577">
        <v>0</v>
      </c>
      <c r="T64" s="581">
        <v>0</v>
      </c>
    </row>
    <row r="65" spans="1:20" ht="18" hidden="1" thickBot="1">
      <c r="C65" s="567" t="s">
        <v>195</v>
      </c>
      <c r="D65" s="558" t="str">
        <f t="shared" si="53"/>
        <v>ASP</v>
      </c>
      <c r="E65" s="558" t="s">
        <v>271</v>
      </c>
      <c r="F65" s="558" t="s">
        <v>1102</v>
      </c>
      <c r="G65" s="577">
        <v>0</v>
      </c>
      <c r="H65" s="577">
        <v>0</v>
      </c>
      <c r="I65" s="577">
        <v>0</v>
      </c>
      <c r="J65" s="577">
        <v>0</v>
      </c>
      <c r="K65" s="577">
        <v>0</v>
      </c>
      <c r="L65" s="577">
        <v>0</v>
      </c>
      <c r="M65" s="577">
        <v>0</v>
      </c>
      <c r="N65" s="577">
        <v>0</v>
      </c>
      <c r="O65" s="577">
        <v>0</v>
      </c>
      <c r="P65" s="577">
        <v>0</v>
      </c>
      <c r="Q65" s="577">
        <v>0</v>
      </c>
      <c r="R65" s="577">
        <v>0</v>
      </c>
      <c r="S65" s="577">
        <v>0</v>
      </c>
      <c r="T65" s="581">
        <v>0</v>
      </c>
    </row>
    <row r="66" spans="1:20" ht="18" hidden="1" thickBot="1">
      <c r="C66" s="567" t="s">
        <v>195</v>
      </c>
      <c r="D66" s="558" t="str">
        <f t="shared" si="53"/>
        <v>ASP</v>
      </c>
      <c r="E66" s="559" t="s">
        <v>1103</v>
      </c>
      <c r="F66" s="559" t="s">
        <v>151</v>
      </c>
      <c r="G66" s="577">
        <v>0</v>
      </c>
      <c r="H66" s="577">
        <v>0</v>
      </c>
      <c r="I66" s="577">
        <v>0</v>
      </c>
      <c r="J66" s="577">
        <v>0</v>
      </c>
      <c r="K66" s="577">
        <v>0</v>
      </c>
      <c r="L66" s="577">
        <v>0</v>
      </c>
      <c r="M66" s="577">
        <v>0</v>
      </c>
      <c r="N66" s="577">
        <v>0</v>
      </c>
      <c r="O66" s="577">
        <v>0</v>
      </c>
      <c r="P66" s="577">
        <v>0</v>
      </c>
      <c r="Q66" s="577">
        <v>0</v>
      </c>
      <c r="R66" s="577">
        <v>0</v>
      </c>
      <c r="S66" s="577">
        <v>0</v>
      </c>
      <c r="T66" s="581">
        <v>0</v>
      </c>
    </row>
    <row r="67" spans="1:20" ht="18" hidden="1" thickBot="1">
      <c r="C67" s="567" t="s">
        <v>195</v>
      </c>
      <c r="D67" s="558" t="str">
        <f t="shared" si="53"/>
        <v>ASP</v>
      </c>
      <c r="E67" s="559" t="s">
        <v>1101</v>
      </c>
      <c r="F67" s="559" t="s">
        <v>1104</v>
      </c>
      <c r="G67" s="577">
        <v>0</v>
      </c>
      <c r="H67" s="577">
        <v>0</v>
      </c>
      <c r="I67" s="577">
        <v>0</v>
      </c>
      <c r="J67" s="577">
        <v>0</v>
      </c>
      <c r="K67" s="577">
        <v>0</v>
      </c>
      <c r="L67" s="577">
        <v>0</v>
      </c>
      <c r="M67" s="577">
        <v>0</v>
      </c>
      <c r="N67" s="577">
        <v>0</v>
      </c>
      <c r="O67" s="577">
        <v>0</v>
      </c>
      <c r="P67" s="577">
        <v>0</v>
      </c>
      <c r="Q67" s="577">
        <v>0</v>
      </c>
      <c r="R67" s="577">
        <v>0</v>
      </c>
      <c r="S67" s="577">
        <v>0</v>
      </c>
      <c r="T67" s="581">
        <v>0</v>
      </c>
    </row>
    <row r="68" spans="1:20" ht="18" hidden="1" thickBot="1">
      <c r="C68" s="570" t="s">
        <v>276</v>
      </c>
      <c r="D68" s="571"/>
      <c r="E68" s="571"/>
      <c r="F68" s="571"/>
      <c r="G68" s="572">
        <f>SUM(G63:G67)</f>
        <v>0</v>
      </c>
      <c r="H68" s="572">
        <f>SUM(H63:H67)</f>
        <v>0</v>
      </c>
      <c r="I68" s="572">
        <f>SUM(I63:I67)</f>
        <v>0</v>
      </c>
      <c r="J68" s="572">
        <f t="shared" ref="J68:T68" si="54">SUM(J63:J67)</f>
        <v>0</v>
      </c>
      <c r="K68" s="572">
        <f t="shared" si="54"/>
        <v>0</v>
      </c>
      <c r="L68" s="572">
        <f t="shared" si="54"/>
        <v>0</v>
      </c>
      <c r="M68" s="572">
        <f t="shared" si="54"/>
        <v>0</v>
      </c>
      <c r="N68" s="572">
        <f t="shared" si="54"/>
        <v>0</v>
      </c>
      <c r="O68" s="572">
        <f t="shared" si="54"/>
        <v>0</v>
      </c>
      <c r="P68" s="572">
        <f t="shared" si="54"/>
        <v>0</v>
      </c>
      <c r="Q68" s="572">
        <f t="shared" si="54"/>
        <v>0</v>
      </c>
      <c r="R68" s="572">
        <f t="shared" si="54"/>
        <v>0</v>
      </c>
      <c r="S68" s="572">
        <f t="shared" si="54"/>
        <v>0</v>
      </c>
      <c r="T68" s="573">
        <f t="shared" si="54"/>
        <v>0</v>
      </c>
    </row>
    <row r="69" spans="1:20" s="53" customFormat="1">
      <c r="A69" s="65"/>
      <c r="B69" s="58"/>
      <c r="C69" s="63"/>
      <c r="D69" s="63"/>
      <c r="E69" s="63"/>
      <c r="F69" s="63"/>
      <c r="G69" s="64"/>
      <c r="H69" s="64"/>
      <c r="I69" s="64"/>
      <c r="J69" s="64"/>
      <c r="K69" s="64"/>
      <c r="L69" s="64"/>
      <c r="M69" s="64"/>
      <c r="N69" s="64"/>
      <c r="O69" s="64"/>
      <c r="P69" s="64"/>
      <c r="Q69" s="64"/>
      <c r="R69" s="64"/>
      <c r="S69" s="64"/>
      <c r="T69" s="64"/>
    </row>
    <row r="70" spans="1:20" s="53" customFormat="1">
      <c r="A70" s="65"/>
      <c r="B70" s="58"/>
      <c r="C70" s="51"/>
      <c r="D70" s="51"/>
      <c r="E70" s="51"/>
      <c r="F70" s="51"/>
      <c r="G70" s="52"/>
      <c r="H70" s="52"/>
      <c r="I70" s="52"/>
      <c r="J70" s="52"/>
      <c r="K70" s="52"/>
      <c r="L70" s="52"/>
      <c r="M70" s="52"/>
      <c r="N70" s="52"/>
      <c r="O70" s="52"/>
      <c r="P70" s="52"/>
      <c r="Q70" s="52"/>
      <c r="R70" s="52"/>
      <c r="S70" s="52"/>
      <c r="T70" s="52"/>
    </row>
    <row r="71" spans="1:20" s="53" customFormat="1" hidden="1">
      <c r="A71" s="65"/>
      <c r="B71" s="58"/>
      <c r="C71" s="40" t="s">
        <v>803</v>
      </c>
      <c r="D71" s="2"/>
      <c r="E71" s="2"/>
      <c r="F71" s="2"/>
      <c r="G71" s="50">
        <f>SUM(G79,G85,G91)</f>
        <v>0</v>
      </c>
      <c r="H71" s="48">
        <f t="shared" ref="H71:T71" si="55">SUM(H79,H85,H91)</f>
        <v>0</v>
      </c>
      <c r="I71" s="48">
        <f t="shared" si="55"/>
        <v>0</v>
      </c>
      <c r="J71" s="48">
        <f t="shared" si="55"/>
        <v>0</v>
      </c>
      <c r="K71" s="48">
        <f t="shared" si="55"/>
        <v>0</v>
      </c>
      <c r="L71" s="48">
        <f t="shared" si="55"/>
        <v>0</v>
      </c>
      <c r="M71" s="48">
        <f t="shared" si="55"/>
        <v>0</v>
      </c>
      <c r="N71" s="48">
        <f t="shared" si="55"/>
        <v>0</v>
      </c>
      <c r="O71" s="48">
        <f t="shared" si="55"/>
        <v>0</v>
      </c>
      <c r="P71" s="48">
        <f t="shared" si="55"/>
        <v>0</v>
      </c>
      <c r="Q71" s="48">
        <f t="shared" si="55"/>
        <v>0</v>
      </c>
      <c r="R71" s="48">
        <f t="shared" si="55"/>
        <v>0</v>
      </c>
      <c r="S71" s="48">
        <f t="shared" si="55"/>
        <v>0</v>
      </c>
      <c r="T71" s="49">
        <f t="shared" si="55"/>
        <v>0</v>
      </c>
    </row>
    <row r="72" spans="1:20" s="53" customFormat="1" ht="18" hidden="1" thickBot="1">
      <c r="A72" s="65"/>
      <c r="B72" s="58"/>
      <c r="C72"/>
      <c r="D72"/>
      <c r="E72"/>
      <c r="F72"/>
      <c r="G72"/>
      <c r="H72"/>
      <c r="I72"/>
      <c r="J72"/>
      <c r="K72"/>
      <c r="L72"/>
      <c r="M72"/>
      <c r="N72"/>
      <c r="O72"/>
      <c r="P72"/>
      <c r="Q72"/>
      <c r="R72"/>
      <c r="S72"/>
      <c r="T72"/>
    </row>
    <row r="73" spans="1:20" s="53" customFormat="1" hidden="1">
      <c r="A73" s="65"/>
      <c r="B73" s="58"/>
      <c r="C73" s="563" t="s">
        <v>1105</v>
      </c>
      <c r="D73" s="564" t="s">
        <v>1106</v>
      </c>
      <c r="E73" s="564" t="s">
        <v>1107</v>
      </c>
      <c r="F73" s="564" t="s">
        <v>1108</v>
      </c>
      <c r="G73" s="564" t="s">
        <v>1109</v>
      </c>
      <c r="H73" s="564" t="s">
        <v>1110</v>
      </c>
      <c r="I73" s="564" t="s">
        <v>1111</v>
      </c>
      <c r="J73" s="564" t="s">
        <v>1112</v>
      </c>
      <c r="K73" s="564" t="s">
        <v>232</v>
      </c>
      <c r="L73" s="564" t="s">
        <v>233</v>
      </c>
      <c r="M73" s="564" t="s">
        <v>234</v>
      </c>
      <c r="N73" s="564" t="s">
        <v>235</v>
      </c>
      <c r="O73" s="564" t="s">
        <v>236</v>
      </c>
      <c r="P73" s="564" t="s">
        <v>237</v>
      </c>
      <c r="Q73" s="564" t="s">
        <v>238</v>
      </c>
      <c r="R73" s="564" t="s">
        <v>239</v>
      </c>
      <c r="S73" s="564" t="s">
        <v>240</v>
      </c>
      <c r="T73" s="565" t="s">
        <v>172</v>
      </c>
    </row>
    <row r="74" spans="1:20" s="53" customFormat="1" hidden="1">
      <c r="A74" s="65"/>
      <c r="B74" s="58"/>
      <c r="C74" s="566" t="s">
        <v>1113</v>
      </c>
      <c r="D74" s="562" t="str">
        <f>$C$71</f>
        <v>KMS</v>
      </c>
      <c r="E74" s="562" t="s">
        <v>1114</v>
      </c>
      <c r="F74" s="562" t="s">
        <v>1115</v>
      </c>
      <c r="G74" s="574">
        <v>0</v>
      </c>
      <c r="H74" s="574">
        <v>0</v>
      </c>
      <c r="I74" s="575">
        <v>0</v>
      </c>
      <c r="J74" s="575">
        <v>0</v>
      </c>
      <c r="K74" s="575">
        <v>0</v>
      </c>
      <c r="L74" s="575">
        <v>0</v>
      </c>
      <c r="M74" s="575">
        <v>0</v>
      </c>
      <c r="N74" s="575">
        <v>0</v>
      </c>
      <c r="O74" s="575">
        <v>0</v>
      </c>
      <c r="P74" s="575">
        <v>0</v>
      </c>
      <c r="Q74" s="575">
        <v>0</v>
      </c>
      <c r="R74" s="575">
        <v>0</v>
      </c>
      <c r="S74" s="575">
        <v>0</v>
      </c>
      <c r="T74" s="576">
        <v>0</v>
      </c>
    </row>
    <row r="75" spans="1:20" s="53" customFormat="1" hidden="1">
      <c r="A75" s="65"/>
      <c r="B75" s="58"/>
      <c r="C75" s="567" t="s">
        <v>288</v>
      </c>
      <c r="D75" s="558" t="str">
        <f t="shared" ref="D75:D78" si="56">$C$71</f>
        <v>KMS</v>
      </c>
      <c r="E75" s="558" t="s">
        <v>1116</v>
      </c>
      <c r="F75" s="558" t="s">
        <v>1117</v>
      </c>
      <c r="G75" s="577">
        <v>0</v>
      </c>
      <c r="H75" s="577">
        <v>0</v>
      </c>
      <c r="I75" s="578">
        <v>0</v>
      </c>
      <c r="J75" s="578">
        <v>0</v>
      </c>
      <c r="K75" s="578">
        <v>0</v>
      </c>
      <c r="L75" s="578">
        <v>0</v>
      </c>
      <c r="M75" s="578">
        <v>0</v>
      </c>
      <c r="N75" s="578">
        <v>0</v>
      </c>
      <c r="O75" s="578">
        <v>0</v>
      </c>
      <c r="P75" s="578">
        <v>0</v>
      </c>
      <c r="Q75" s="578">
        <v>0</v>
      </c>
      <c r="R75" s="578">
        <v>0</v>
      </c>
      <c r="S75" s="578">
        <v>0</v>
      </c>
      <c r="T75" s="579">
        <v>0</v>
      </c>
    </row>
    <row r="76" spans="1:20" s="53" customFormat="1" hidden="1">
      <c r="A76" s="65"/>
      <c r="B76" s="58"/>
      <c r="C76" s="567" t="s">
        <v>1118</v>
      </c>
      <c r="D76" s="558" t="str">
        <f t="shared" si="56"/>
        <v>KMS</v>
      </c>
      <c r="E76" s="558" t="s">
        <v>1119</v>
      </c>
      <c r="F76" s="558" t="s">
        <v>1120</v>
      </c>
      <c r="G76" s="577">
        <v>0</v>
      </c>
      <c r="H76" s="577">
        <v>0</v>
      </c>
      <c r="I76" s="578">
        <v>0</v>
      </c>
      <c r="J76" s="578">
        <v>0</v>
      </c>
      <c r="K76" s="578">
        <v>0</v>
      </c>
      <c r="L76" s="578">
        <v>0</v>
      </c>
      <c r="M76" s="578">
        <v>0</v>
      </c>
      <c r="N76" s="578">
        <v>0</v>
      </c>
      <c r="O76" s="578">
        <v>0</v>
      </c>
      <c r="P76" s="578">
        <v>0</v>
      </c>
      <c r="Q76" s="578">
        <v>0</v>
      </c>
      <c r="R76" s="578">
        <v>0</v>
      </c>
      <c r="S76" s="578">
        <v>0</v>
      </c>
      <c r="T76" s="579">
        <v>0</v>
      </c>
    </row>
    <row r="77" spans="1:20" s="53" customFormat="1" hidden="1">
      <c r="A77" s="65"/>
      <c r="B77" s="58"/>
      <c r="C77" s="567" t="s">
        <v>1121</v>
      </c>
      <c r="D77" s="558" t="str">
        <f t="shared" si="56"/>
        <v>KMS</v>
      </c>
      <c r="E77" s="558" t="s">
        <v>247</v>
      </c>
      <c r="F77" s="558" t="s">
        <v>269</v>
      </c>
      <c r="G77" s="577">
        <v>0</v>
      </c>
      <c r="H77" s="577">
        <v>0</v>
      </c>
      <c r="I77" s="578">
        <v>0</v>
      </c>
      <c r="J77" s="578">
        <v>0</v>
      </c>
      <c r="K77" s="578">
        <v>0</v>
      </c>
      <c r="L77" s="578">
        <v>0</v>
      </c>
      <c r="M77" s="578">
        <v>0</v>
      </c>
      <c r="N77" s="578">
        <v>0</v>
      </c>
      <c r="O77" s="578">
        <v>0</v>
      </c>
      <c r="P77" s="578">
        <v>0</v>
      </c>
      <c r="Q77" s="578">
        <v>0</v>
      </c>
      <c r="R77" s="578">
        <v>0</v>
      </c>
      <c r="S77" s="578">
        <v>0</v>
      </c>
      <c r="T77" s="579">
        <v>0</v>
      </c>
    </row>
    <row r="78" spans="1:20" s="53" customFormat="1" hidden="1">
      <c r="A78" s="65"/>
      <c r="B78" s="58"/>
      <c r="C78" s="583" t="s">
        <v>1121</v>
      </c>
      <c r="D78" s="558" t="str">
        <f t="shared" si="56"/>
        <v>KMS</v>
      </c>
      <c r="E78" s="559" t="s">
        <v>1119</v>
      </c>
      <c r="F78" s="559" t="s">
        <v>151</v>
      </c>
      <c r="G78" s="577">
        <v>0</v>
      </c>
      <c r="H78" s="577">
        <v>0</v>
      </c>
      <c r="I78" s="578">
        <v>0</v>
      </c>
      <c r="J78" s="578">
        <v>0</v>
      </c>
      <c r="K78" s="578">
        <v>0</v>
      </c>
      <c r="L78" s="578">
        <v>0</v>
      </c>
      <c r="M78" s="578">
        <v>0</v>
      </c>
      <c r="N78" s="578">
        <v>0</v>
      </c>
      <c r="O78" s="578">
        <v>0</v>
      </c>
      <c r="P78" s="578">
        <v>0</v>
      </c>
      <c r="Q78" s="578">
        <v>0</v>
      </c>
      <c r="R78" s="578">
        <v>0</v>
      </c>
      <c r="S78" s="578">
        <v>0</v>
      </c>
      <c r="T78" s="579">
        <v>0</v>
      </c>
    </row>
    <row r="79" spans="1:20" s="53" customFormat="1" hidden="1">
      <c r="A79" s="65"/>
      <c r="B79" s="58"/>
      <c r="C79" s="568" t="s">
        <v>1122</v>
      </c>
      <c r="D79" s="560"/>
      <c r="E79" s="560"/>
      <c r="F79" s="560"/>
      <c r="G79" s="561">
        <f>SUM(H79:I79)</f>
        <v>0</v>
      </c>
      <c r="H79" s="561">
        <f t="shared" ref="H79" si="57">SUM(H74:H78)</f>
        <v>0</v>
      </c>
      <c r="I79" s="561">
        <f t="shared" ref="I79" si="58">SUM(I74:I78)</f>
        <v>0</v>
      </c>
      <c r="J79" s="561">
        <f t="shared" ref="J79" si="59">SUM(J74:J78)</f>
        <v>0</v>
      </c>
      <c r="K79" s="561">
        <f t="shared" ref="K79" si="60">SUM(K74:K78)</f>
        <v>0</v>
      </c>
      <c r="L79" s="561">
        <f t="shared" ref="L79" si="61">SUM(L74:L78)</f>
        <v>0</v>
      </c>
      <c r="M79" s="561">
        <f t="shared" ref="M79" si="62">SUM(M74:M78)</f>
        <v>0</v>
      </c>
      <c r="N79" s="561">
        <f t="shared" ref="N79" si="63">SUM(N74:N78)</f>
        <v>0</v>
      </c>
      <c r="O79" s="561">
        <f t="shared" ref="O79" si="64">SUM(O74:O78)</f>
        <v>0</v>
      </c>
      <c r="P79" s="561">
        <f t="shared" ref="P79" si="65">SUM(P74:P78)</f>
        <v>0</v>
      </c>
      <c r="Q79" s="561">
        <f t="shared" ref="Q79" si="66">SUM(Q74:Q78)</f>
        <v>0</v>
      </c>
      <c r="R79" s="561">
        <f t="shared" ref="R79" si="67">SUM(R74:R78)</f>
        <v>0</v>
      </c>
      <c r="S79" s="561">
        <f t="shared" ref="S79" si="68">SUM(S74:S78)</f>
        <v>0</v>
      </c>
      <c r="T79" s="569">
        <f t="shared" ref="T79" si="69">SUM(T74:T78)</f>
        <v>0</v>
      </c>
    </row>
    <row r="80" spans="1:20" s="53" customFormat="1" hidden="1">
      <c r="A80" s="65"/>
      <c r="B80" s="58"/>
      <c r="C80" s="567" t="s">
        <v>1113</v>
      </c>
      <c r="D80" s="558" t="str">
        <f>$C$71</f>
        <v>KMS</v>
      </c>
      <c r="E80" s="558" t="s">
        <v>152</v>
      </c>
      <c r="F80" s="558" t="s">
        <v>153</v>
      </c>
      <c r="G80" s="577">
        <v>0</v>
      </c>
      <c r="H80" s="577">
        <v>0</v>
      </c>
      <c r="I80" s="577">
        <v>0</v>
      </c>
      <c r="J80" s="577">
        <v>0</v>
      </c>
      <c r="K80" s="577">
        <v>0</v>
      </c>
      <c r="L80" s="577">
        <v>0</v>
      </c>
      <c r="M80" s="577">
        <v>0</v>
      </c>
      <c r="N80" s="577">
        <v>0</v>
      </c>
      <c r="O80" s="577">
        <v>0</v>
      </c>
      <c r="P80" s="577">
        <v>0</v>
      </c>
      <c r="Q80" s="577">
        <v>0</v>
      </c>
      <c r="R80" s="577">
        <v>0</v>
      </c>
      <c r="S80" s="577">
        <v>0</v>
      </c>
      <c r="T80" s="581">
        <v>0</v>
      </c>
    </row>
    <row r="81" spans="1:20" s="53" customFormat="1" hidden="1">
      <c r="A81" s="65"/>
      <c r="B81" s="58"/>
      <c r="C81" s="567" t="s">
        <v>1118</v>
      </c>
      <c r="D81" s="558" t="str">
        <f t="shared" ref="D81:D84" si="70">$C$71</f>
        <v>KMS</v>
      </c>
      <c r="E81" s="558" t="s">
        <v>270</v>
      </c>
      <c r="F81" s="558" t="s">
        <v>272</v>
      </c>
      <c r="G81" s="577">
        <v>0</v>
      </c>
      <c r="H81" s="577">
        <v>0</v>
      </c>
      <c r="I81" s="577">
        <v>0</v>
      </c>
      <c r="J81" s="577">
        <v>0</v>
      </c>
      <c r="K81" s="577">
        <v>0</v>
      </c>
      <c r="L81" s="577">
        <v>0</v>
      </c>
      <c r="M81" s="577">
        <v>0</v>
      </c>
      <c r="N81" s="577">
        <v>0</v>
      </c>
      <c r="O81" s="577">
        <v>0</v>
      </c>
      <c r="P81" s="577">
        <v>0</v>
      </c>
      <c r="Q81" s="577">
        <v>0</v>
      </c>
      <c r="R81" s="577">
        <v>0</v>
      </c>
      <c r="S81" s="577">
        <v>0</v>
      </c>
      <c r="T81" s="581">
        <v>0</v>
      </c>
    </row>
    <row r="82" spans="1:20" s="53" customFormat="1" hidden="1">
      <c r="A82" s="65"/>
      <c r="B82" s="58"/>
      <c r="C82" s="567" t="s">
        <v>1113</v>
      </c>
      <c r="D82" s="558" t="str">
        <f t="shared" si="70"/>
        <v>KMS</v>
      </c>
      <c r="E82" s="558" t="s">
        <v>1495</v>
      </c>
      <c r="F82" s="558" t="s">
        <v>1496</v>
      </c>
      <c r="G82" s="577">
        <v>0</v>
      </c>
      <c r="H82" s="577">
        <v>0</v>
      </c>
      <c r="I82" s="577">
        <v>0</v>
      </c>
      <c r="J82" s="577">
        <v>0</v>
      </c>
      <c r="K82" s="577">
        <v>0</v>
      </c>
      <c r="L82" s="577">
        <v>0</v>
      </c>
      <c r="M82" s="577">
        <v>0</v>
      </c>
      <c r="N82" s="577">
        <v>0</v>
      </c>
      <c r="O82" s="577">
        <v>0</v>
      </c>
      <c r="P82" s="577">
        <v>0</v>
      </c>
      <c r="Q82" s="577">
        <v>0</v>
      </c>
      <c r="R82" s="577">
        <v>0</v>
      </c>
      <c r="S82" s="577">
        <v>0</v>
      </c>
      <c r="T82" s="581">
        <v>0</v>
      </c>
    </row>
    <row r="83" spans="1:20" s="53" customFormat="1" hidden="1">
      <c r="A83" s="65"/>
      <c r="B83" s="58"/>
      <c r="C83" s="567" t="s">
        <v>1113</v>
      </c>
      <c r="D83" s="558" t="str">
        <f t="shared" si="70"/>
        <v>KMS</v>
      </c>
      <c r="E83" s="559" t="s">
        <v>1123</v>
      </c>
      <c r="F83" s="559" t="s">
        <v>151</v>
      </c>
      <c r="G83" s="577">
        <v>0</v>
      </c>
      <c r="H83" s="577">
        <v>0</v>
      </c>
      <c r="I83" s="577">
        <v>0</v>
      </c>
      <c r="J83" s="577">
        <v>0</v>
      </c>
      <c r="K83" s="577">
        <v>0</v>
      </c>
      <c r="L83" s="577">
        <v>0</v>
      </c>
      <c r="M83" s="577">
        <v>0</v>
      </c>
      <c r="N83" s="577">
        <v>0</v>
      </c>
      <c r="O83" s="577">
        <v>0</v>
      </c>
      <c r="P83" s="577">
        <v>0</v>
      </c>
      <c r="Q83" s="577">
        <v>0</v>
      </c>
      <c r="R83" s="577">
        <v>0</v>
      </c>
      <c r="S83" s="577">
        <v>0</v>
      </c>
      <c r="T83" s="581">
        <v>0</v>
      </c>
    </row>
    <row r="84" spans="1:20" s="53" customFormat="1" hidden="1">
      <c r="A84" s="65"/>
      <c r="B84" s="58"/>
      <c r="C84" s="567" t="s">
        <v>1113</v>
      </c>
      <c r="D84" s="558" t="str">
        <f t="shared" si="70"/>
        <v>KMS</v>
      </c>
      <c r="E84" s="559" t="s">
        <v>270</v>
      </c>
      <c r="F84" s="559" t="s">
        <v>151</v>
      </c>
      <c r="G84" s="577">
        <v>0</v>
      </c>
      <c r="H84" s="577">
        <v>0</v>
      </c>
      <c r="I84" s="577">
        <v>0</v>
      </c>
      <c r="J84" s="577">
        <v>0</v>
      </c>
      <c r="K84" s="577">
        <v>0</v>
      </c>
      <c r="L84" s="577">
        <v>0</v>
      </c>
      <c r="M84" s="577">
        <v>0</v>
      </c>
      <c r="N84" s="577">
        <v>0</v>
      </c>
      <c r="O84" s="577">
        <v>0</v>
      </c>
      <c r="P84" s="577">
        <v>0</v>
      </c>
      <c r="Q84" s="577">
        <v>0</v>
      </c>
      <c r="R84" s="577">
        <v>0</v>
      </c>
      <c r="S84" s="577">
        <v>0</v>
      </c>
      <c r="T84" s="581">
        <v>0</v>
      </c>
    </row>
    <row r="85" spans="1:20" s="53" customFormat="1" hidden="1">
      <c r="A85" s="65"/>
      <c r="B85" s="58"/>
      <c r="C85" s="568" t="s">
        <v>1124</v>
      </c>
      <c r="D85" s="560"/>
      <c r="E85" s="560"/>
      <c r="F85" s="560"/>
      <c r="G85" s="561">
        <f>SUM(H85:I85)</f>
        <v>0</v>
      </c>
      <c r="H85" s="561">
        <f>SUM(H80:H84)</f>
        <v>0</v>
      </c>
      <c r="I85" s="561">
        <f>SUM(I80:I84)</f>
        <v>0</v>
      </c>
      <c r="J85" s="561">
        <f t="shared" ref="J85:T85" si="71">SUM(J80:J84)</f>
        <v>0</v>
      </c>
      <c r="K85" s="561">
        <f t="shared" si="71"/>
        <v>0</v>
      </c>
      <c r="L85" s="561">
        <f t="shared" si="71"/>
        <v>0</v>
      </c>
      <c r="M85" s="561">
        <f t="shared" si="71"/>
        <v>0</v>
      </c>
      <c r="N85" s="561">
        <f t="shared" si="71"/>
        <v>0</v>
      </c>
      <c r="O85" s="561">
        <f t="shared" si="71"/>
        <v>0</v>
      </c>
      <c r="P85" s="561">
        <f t="shared" si="71"/>
        <v>0</v>
      </c>
      <c r="Q85" s="561">
        <f t="shared" si="71"/>
        <v>0</v>
      </c>
      <c r="R85" s="561">
        <f t="shared" si="71"/>
        <v>0</v>
      </c>
      <c r="S85" s="561">
        <f t="shared" si="71"/>
        <v>0</v>
      </c>
      <c r="T85" s="569">
        <f t="shared" si="71"/>
        <v>0</v>
      </c>
    </row>
    <row r="86" spans="1:20" s="53" customFormat="1" hidden="1">
      <c r="A86" s="65"/>
      <c r="B86" s="58"/>
      <c r="C86" s="567" t="s">
        <v>1118</v>
      </c>
      <c r="D86" s="558" t="str">
        <f>$C$71</f>
        <v>KMS</v>
      </c>
      <c r="E86" s="558" t="s">
        <v>271</v>
      </c>
      <c r="F86" s="558" t="s">
        <v>267</v>
      </c>
      <c r="G86" s="577">
        <v>0</v>
      </c>
      <c r="H86" s="577">
        <v>0</v>
      </c>
      <c r="I86" s="577">
        <v>0</v>
      </c>
      <c r="J86" s="577">
        <v>0</v>
      </c>
      <c r="K86" s="577">
        <v>0</v>
      </c>
      <c r="L86" s="577">
        <v>0</v>
      </c>
      <c r="M86" s="577">
        <v>0</v>
      </c>
      <c r="N86" s="577">
        <v>0</v>
      </c>
      <c r="O86" s="577">
        <v>0</v>
      </c>
      <c r="P86" s="577">
        <v>0</v>
      </c>
      <c r="Q86" s="577">
        <v>0</v>
      </c>
      <c r="R86" s="577">
        <v>0</v>
      </c>
      <c r="S86" s="577">
        <v>0</v>
      </c>
      <c r="T86" s="581">
        <v>0</v>
      </c>
    </row>
    <row r="87" spans="1:20" s="53" customFormat="1" hidden="1">
      <c r="A87" s="65"/>
      <c r="B87" s="58"/>
      <c r="C87" s="567" t="s">
        <v>288</v>
      </c>
      <c r="D87" s="558" t="str">
        <f t="shared" ref="D87:D90" si="72">$C$71</f>
        <v>KMS</v>
      </c>
      <c r="E87" s="558" t="s">
        <v>1125</v>
      </c>
      <c r="F87" s="558" t="s">
        <v>1120</v>
      </c>
      <c r="G87" s="577">
        <v>0</v>
      </c>
      <c r="H87" s="577">
        <v>0</v>
      </c>
      <c r="I87" s="577">
        <v>0</v>
      </c>
      <c r="J87" s="577">
        <v>0</v>
      </c>
      <c r="K87" s="577">
        <v>0</v>
      </c>
      <c r="L87" s="577">
        <v>0</v>
      </c>
      <c r="M87" s="577">
        <v>0</v>
      </c>
      <c r="N87" s="577">
        <v>0</v>
      </c>
      <c r="O87" s="577">
        <v>0</v>
      </c>
      <c r="P87" s="577">
        <v>0</v>
      </c>
      <c r="Q87" s="577">
        <v>0</v>
      </c>
      <c r="R87" s="577">
        <v>0</v>
      </c>
      <c r="S87" s="577">
        <v>0</v>
      </c>
      <c r="T87" s="581">
        <v>0</v>
      </c>
    </row>
    <row r="88" spans="1:20" s="53" customFormat="1" hidden="1">
      <c r="A88" s="65"/>
      <c r="B88" s="58"/>
      <c r="C88" s="567" t="s">
        <v>288</v>
      </c>
      <c r="D88" s="558" t="str">
        <f t="shared" si="72"/>
        <v>KMS</v>
      </c>
      <c r="E88" s="558" t="s">
        <v>1126</v>
      </c>
      <c r="F88" s="558" t="s">
        <v>1127</v>
      </c>
      <c r="G88" s="577">
        <v>0</v>
      </c>
      <c r="H88" s="577">
        <v>0</v>
      </c>
      <c r="I88" s="577">
        <v>0</v>
      </c>
      <c r="J88" s="577">
        <v>0</v>
      </c>
      <c r="K88" s="577">
        <v>0</v>
      </c>
      <c r="L88" s="577">
        <v>0</v>
      </c>
      <c r="M88" s="577">
        <v>0</v>
      </c>
      <c r="N88" s="577">
        <v>0</v>
      </c>
      <c r="O88" s="577">
        <v>0</v>
      </c>
      <c r="P88" s="577">
        <v>0</v>
      </c>
      <c r="Q88" s="577">
        <v>0</v>
      </c>
      <c r="R88" s="577">
        <v>0</v>
      </c>
      <c r="S88" s="577">
        <v>0</v>
      </c>
      <c r="T88" s="581">
        <v>0</v>
      </c>
    </row>
    <row r="89" spans="1:20" s="53" customFormat="1" hidden="1">
      <c r="A89" s="65"/>
      <c r="B89" s="58"/>
      <c r="C89" s="567" t="s">
        <v>1113</v>
      </c>
      <c r="D89" s="558" t="str">
        <f t="shared" si="72"/>
        <v>KMS</v>
      </c>
      <c r="E89" s="559" t="s">
        <v>271</v>
      </c>
      <c r="F89" s="559" t="s">
        <v>1128</v>
      </c>
      <c r="G89" s="577">
        <v>0</v>
      </c>
      <c r="H89" s="577">
        <v>0</v>
      </c>
      <c r="I89" s="577">
        <v>0</v>
      </c>
      <c r="J89" s="577">
        <v>0</v>
      </c>
      <c r="K89" s="577">
        <v>0</v>
      </c>
      <c r="L89" s="577">
        <v>0</v>
      </c>
      <c r="M89" s="577">
        <v>0</v>
      </c>
      <c r="N89" s="577">
        <v>0</v>
      </c>
      <c r="O89" s="577">
        <v>0</v>
      </c>
      <c r="P89" s="577">
        <v>0</v>
      </c>
      <c r="Q89" s="577">
        <v>0</v>
      </c>
      <c r="R89" s="577">
        <v>0</v>
      </c>
      <c r="S89" s="577">
        <v>0</v>
      </c>
      <c r="T89" s="581">
        <v>0</v>
      </c>
    </row>
    <row r="90" spans="1:20" s="53" customFormat="1" hidden="1">
      <c r="A90" s="65"/>
      <c r="B90" s="58"/>
      <c r="C90" s="567" t="s">
        <v>288</v>
      </c>
      <c r="D90" s="558" t="str">
        <f t="shared" si="72"/>
        <v>KMS</v>
      </c>
      <c r="E90" s="559" t="s">
        <v>271</v>
      </c>
      <c r="F90" s="559" t="s">
        <v>151</v>
      </c>
      <c r="G90" s="577">
        <v>0</v>
      </c>
      <c r="H90" s="577">
        <v>0</v>
      </c>
      <c r="I90" s="577">
        <v>0</v>
      </c>
      <c r="J90" s="577">
        <v>0</v>
      </c>
      <c r="K90" s="577">
        <v>0</v>
      </c>
      <c r="L90" s="577">
        <v>0</v>
      </c>
      <c r="M90" s="577">
        <v>0</v>
      </c>
      <c r="N90" s="577">
        <v>0</v>
      </c>
      <c r="O90" s="577">
        <v>0</v>
      </c>
      <c r="P90" s="577">
        <v>0</v>
      </c>
      <c r="Q90" s="577">
        <v>0</v>
      </c>
      <c r="R90" s="577">
        <v>0</v>
      </c>
      <c r="S90" s="577">
        <v>0</v>
      </c>
      <c r="T90" s="581">
        <v>0</v>
      </c>
    </row>
    <row r="91" spans="1:20" s="53" customFormat="1" ht="18" hidden="1" thickBot="1">
      <c r="A91" s="65"/>
      <c r="B91" s="58"/>
      <c r="C91" s="570" t="s">
        <v>1129</v>
      </c>
      <c r="D91" s="571"/>
      <c r="E91" s="571"/>
      <c r="F91" s="571"/>
      <c r="G91" s="572">
        <f>SUM(H91:I91)</f>
        <v>0</v>
      </c>
      <c r="H91" s="572">
        <f>SUM(H86:H90)</f>
        <v>0</v>
      </c>
      <c r="I91" s="572">
        <f>SUM(I86:I90)</f>
        <v>0</v>
      </c>
      <c r="J91" s="572">
        <f t="shared" ref="J91:T91" si="73">SUM(J86:J90)</f>
        <v>0</v>
      </c>
      <c r="K91" s="572">
        <f t="shared" si="73"/>
        <v>0</v>
      </c>
      <c r="L91" s="572">
        <f t="shared" si="73"/>
        <v>0</v>
      </c>
      <c r="M91" s="572">
        <f t="shared" si="73"/>
        <v>0</v>
      </c>
      <c r="N91" s="572">
        <f t="shared" si="73"/>
        <v>0</v>
      </c>
      <c r="O91" s="572">
        <f t="shared" si="73"/>
        <v>0</v>
      </c>
      <c r="P91" s="572">
        <f t="shared" si="73"/>
        <v>0</v>
      </c>
      <c r="Q91" s="572">
        <f t="shared" si="73"/>
        <v>0</v>
      </c>
      <c r="R91" s="572">
        <f t="shared" si="73"/>
        <v>0</v>
      </c>
      <c r="S91" s="572">
        <f t="shared" si="73"/>
        <v>0</v>
      </c>
      <c r="T91" s="573">
        <f t="shared" si="73"/>
        <v>0</v>
      </c>
    </row>
    <row r="92" spans="1:20" s="53" customFormat="1" hidden="1">
      <c r="A92" s="65"/>
      <c r="B92" s="58"/>
      <c r="C92" s="51"/>
      <c r="D92" s="51"/>
      <c r="E92" s="51"/>
      <c r="F92" s="51"/>
      <c r="G92" s="52"/>
      <c r="H92" s="52"/>
      <c r="I92" s="52"/>
      <c r="J92" s="52"/>
      <c r="K92" s="52"/>
      <c r="L92" s="52"/>
      <c r="M92" s="52"/>
      <c r="N92" s="52"/>
      <c r="O92" s="52"/>
      <c r="P92" s="52"/>
      <c r="Q92" s="52"/>
      <c r="R92" s="52"/>
      <c r="S92" s="52"/>
      <c r="T92" s="52"/>
    </row>
    <row r="93" spans="1:20" s="53" customFormat="1" ht="18" hidden="1" thickBot="1">
      <c r="A93" s="65"/>
      <c r="B93" s="58"/>
      <c r="C93" s="51"/>
      <c r="D93" s="51"/>
      <c r="E93" s="51"/>
      <c r="F93" s="51"/>
      <c r="G93" s="52"/>
      <c r="H93" s="52"/>
      <c r="I93" s="52"/>
      <c r="J93" s="52"/>
      <c r="K93" s="52"/>
      <c r="L93" s="52"/>
      <c r="M93" s="52"/>
      <c r="N93" s="52"/>
      <c r="O93" s="52"/>
      <c r="P93" s="52"/>
      <c r="Q93" s="52"/>
      <c r="R93" s="52"/>
      <c r="S93" s="52"/>
      <c r="T93" s="52"/>
    </row>
    <row r="94" spans="1:20" s="53" customFormat="1" hidden="1">
      <c r="A94" s="65"/>
      <c r="B94" s="58"/>
      <c r="C94" s="40" t="s">
        <v>1197</v>
      </c>
      <c r="D94" s="2"/>
      <c r="E94" s="2"/>
      <c r="F94" s="2"/>
      <c r="G94" s="50">
        <f>SUM(G102,G108,G114)</f>
        <v>0</v>
      </c>
      <c r="H94" s="48">
        <f t="shared" ref="H94:T94" si="74">SUM(H102,H108,H114)</f>
        <v>0</v>
      </c>
      <c r="I94" s="48">
        <f t="shared" si="74"/>
        <v>0</v>
      </c>
      <c r="J94" s="48">
        <f t="shared" si="74"/>
        <v>0</v>
      </c>
      <c r="K94" s="48">
        <f t="shared" si="74"/>
        <v>0</v>
      </c>
      <c r="L94" s="48">
        <f t="shared" si="74"/>
        <v>0</v>
      </c>
      <c r="M94" s="48">
        <f t="shared" si="74"/>
        <v>0</v>
      </c>
      <c r="N94" s="48">
        <f t="shared" si="74"/>
        <v>0</v>
      </c>
      <c r="O94" s="48">
        <f t="shared" si="74"/>
        <v>0</v>
      </c>
      <c r="P94" s="48">
        <f t="shared" si="74"/>
        <v>0</v>
      </c>
      <c r="Q94" s="48">
        <f t="shared" si="74"/>
        <v>0</v>
      </c>
      <c r="R94" s="48">
        <f t="shared" si="74"/>
        <v>0</v>
      </c>
      <c r="S94" s="48">
        <f t="shared" si="74"/>
        <v>0</v>
      </c>
      <c r="T94" s="49">
        <f t="shared" si="74"/>
        <v>0</v>
      </c>
    </row>
    <row r="95" spans="1:20" s="53" customFormat="1" ht="18" hidden="1" thickBot="1">
      <c r="A95" s="65"/>
      <c r="B95" s="58"/>
      <c r="C95"/>
      <c r="D95"/>
      <c r="E95"/>
      <c r="F95"/>
      <c r="G95"/>
      <c r="H95"/>
      <c r="I95"/>
      <c r="J95"/>
      <c r="K95"/>
      <c r="L95"/>
      <c r="M95"/>
      <c r="N95"/>
      <c r="O95"/>
      <c r="P95"/>
      <c r="Q95"/>
      <c r="R95"/>
      <c r="S95"/>
      <c r="T95"/>
    </row>
    <row r="96" spans="1:20" s="53" customFormat="1" hidden="1">
      <c r="A96" s="65"/>
      <c r="B96" s="58"/>
      <c r="C96" s="563" t="s">
        <v>1</v>
      </c>
      <c r="D96" s="564" t="s">
        <v>1086</v>
      </c>
      <c r="E96" s="564" t="s">
        <v>3</v>
      </c>
      <c r="F96" s="564" t="s">
        <v>1092</v>
      </c>
      <c r="G96" s="564" t="s">
        <v>265</v>
      </c>
      <c r="H96" s="564" t="s">
        <v>263</v>
      </c>
      <c r="I96" s="564" t="s">
        <v>264</v>
      </c>
      <c r="J96" s="564" t="s">
        <v>1089</v>
      </c>
      <c r="K96" s="564" t="s">
        <v>232</v>
      </c>
      <c r="L96" s="564" t="s">
        <v>233</v>
      </c>
      <c r="M96" s="564" t="s">
        <v>234</v>
      </c>
      <c r="N96" s="564" t="s">
        <v>235</v>
      </c>
      <c r="O96" s="564" t="s">
        <v>236</v>
      </c>
      <c r="P96" s="564" t="s">
        <v>237</v>
      </c>
      <c r="Q96" s="564" t="s">
        <v>238</v>
      </c>
      <c r="R96" s="564" t="s">
        <v>239</v>
      </c>
      <c r="S96" s="564" t="s">
        <v>240</v>
      </c>
      <c r="T96" s="565" t="s">
        <v>172</v>
      </c>
    </row>
    <row r="97" spans="1:20" s="53" customFormat="1" hidden="1">
      <c r="A97" s="65"/>
      <c r="B97" s="58"/>
      <c r="C97" s="566" t="s">
        <v>288</v>
      </c>
      <c r="D97" s="562" t="str">
        <f>$C$94</f>
        <v>공통</v>
      </c>
      <c r="E97" s="562" t="s">
        <v>247</v>
      </c>
      <c r="F97" s="562" t="s">
        <v>266</v>
      </c>
      <c r="G97" s="574">
        <v>0</v>
      </c>
      <c r="H97" s="574">
        <v>0</v>
      </c>
      <c r="I97" s="575">
        <v>0</v>
      </c>
      <c r="J97" s="575">
        <v>0</v>
      </c>
      <c r="K97" s="575">
        <v>0</v>
      </c>
      <c r="L97" s="575">
        <v>0</v>
      </c>
      <c r="M97" s="575">
        <v>0</v>
      </c>
      <c r="N97" s="575">
        <v>0</v>
      </c>
      <c r="O97" s="575">
        <v>0</v>
      </c>
      <c r="P97" s="575">
        <v>0</v>
      </c>
      <c r="Q97" s="575">
        <v>0</v>
      </c>
      <c r="R97" s="575">
        <v>0</v>
      </c>
      <c r="S97" s="575">
        <v>0</v>
      </c>
      <c r="T97" s="576">
        <v>0</v>
      </c>
    </row>
    <row r="98" spans="1:20" s="53" customFormat="1" hidden="1">
      <c r="A98" s="65"/>
      <c r="B98" s="58"/>
      <c r="C98" s="567" t="s">
        <v>288</v>
      </c>
      <c r="D98" s="558" t="str">
        <f t="shared" ref="D98:D101" si="75">$C$94</f>
        <v>공통</v>
      </c>
      <c r="E98" s="558" t="s">
        <v>247</v>
      </c>
      <c r="F98" s="558" t="s">
        <v>267</v>
      </c>
      <c r="G98" s="577">
        <v>0</v>
      </c>
      <c r="H98" s="577">
        <v>0</v>
      </c>
      <c r="I98" s="578">
        <v>0</v>
      </c>
      <c r="J98" s="578">
        <v>0</v>
      </c>
      <c r="K98" s="578">
        <v>0</v>
      </c>
      <c r="L98" s="578">
        <v>0</v>
      </c>
      <c r="M98" s="578">
        <v>0</v>
      </c>
      <c r="N98" s="578">
        <v>0</v>
      </c>
      <c r="O98" s="578">
        <v>0</v>
      </c>
      <c r="P98" s="578">
        <v>0</v>
      </c>
      <c r="Q98" s="578">
        <v>0</v>
      </c>
      <c r="R98" s="578">
        <v>0</v>
      </c>
      <c r="S98" s="578">
        <v>0</v>
      </c>
      <c r="T98" s="579">
        <v>0</v>
      </c>
    </row>
    <row r="99" spans="1:20" s="53" customFormat="1" hidden="1">
      <c r="A99" s="65"/>
      <c r="B99" s="58"/>
      <c r="C99" s="567" t="s">
        <v>288</v>
      </c>
      <c r="D99" s="558" t="str">
        <f t="shared" si="75"/>
        <v>공통</v>
      </c>
      <c r="E99" s="558" t="s">
        <v>247</v>
      </c>
      <c r="F99" s="558" t="s">
        <v>268</v>
      </c>
      <c r="G99" s="577">
        <v>0</v>
      </c>
      <c r="H99" s="577">
        <v>0</v>
      </c>
      <c r="I99" s="578">
        <v>0</v>
      </c>
      <c r="J99" s="578">
        <v>0</v>
      </c>
      <c r="K99" s="578">
        <v>0</v>
      </c>
      <c r="L99" s="578">
        <v>0</v>
      </c>
      <c r="M99" s="578">
        <v>0</v>
      </c>
      <c r="N99" s="578">
        <v>0</v>
      </c>
      <c r="O99" s="578">
        <v>0</v>
      </c>
      <c r="P99" s="578">
        <v>0</v>
      </c>
      <c r="Q99" s="578">
        <v>0</v>
      </c>
      <c r="R99" s="578">
        <v>0</v>
      </c>
      <c r="S99" s="578">
        <v>0</v>
      </c>
      <c r="T99" s="579">
        <v>0</v>
      </c>
    </row>
    <row r="100" spans="1:20" s="53" customFormat="1" hidden="1">
      <c r="A100" s="65"/>
      <c r="B100" s="58"/>
      <c r="C100" s="567" t="s">
        <v>288</v>
      </c>
      <c r="D100" s="558" t="str">
        <f t="shared" si="75"/>
        <v>공통</v>
      </c>
      <c r="E100" s="558" t="s">
        <v>247</v>
      </c>
      <c r="F100" s="558" t="s">
        <v>269</v>
      </c>
      <c r="G100" s="577">
        <v>0</v>
      </c>
      <c r="H100" s="577">
        <v>0</v>
      </c>
      <c r="I100" s="578">
        <v>0</v>
      </c>
      <c r="J100" s="578">
        <v>0</v>
      </c>
      <c r="K100" s="578">
        <v>0</v>
      </c>
      <c r="L100" s="578">
        <v>0</v>
      </c>
      <c r="M100" s="578">
        <v>0</v>
      </c>
      <c r="N100" s="578">
        <v>0</v>
      </c>
      <c r="O100" s="578">
        <v>0</v>
      </c>
      <c r="P100" s="578">
        <v>0</v>
      </c>
      <c r="Q100" s="578">
        <v>0</v>
      </c>
      <c r="R100" s="578">
        <v>0</v>
      </c>
      <c r="S100" s="578">
        <v>0</v>
      </c>
      <c r="T100" s="579">
        <v>0</v>
      </c>
    </row>
    <row r="101" spans="1:20" s="53" customFormat="1" hidden="1">
      <c r="A101" s="65"/>
      <c r="B101" s="58"/>
      <c r="C101" s="583" t="s">
        <v>288</v>
      </c>
      <c r="D101" s="558" t="str">
        <f t="shared" si="75"/>
        <v>공통</v>
      </c>
      <c r="E101" s="559" t="s">
        <v>247</v>
      </c>
      <c r="F101" s="559" t="s">
        <v>151</v>
      </c>
      <c r="G101" s="577">
        <v>0</v>
      </c>
      <c r="H101" s="577">
        <v>0</v>
      </c>
      <c r="I101" s="578">
        <v>0</v>
      </c>
      <c r="J101" s="578">
        <v>0</v>
      </c>
      <c r="K101" s="578">
        <v>0</v>
      </c>
      <c r="L101" s="578">
        <v>0</v>
      </c>
      <c r="M101" s="578">
        <v>0</v>
      </c>
      <c r="N101" s="578">
        <v>0</v>
      </c>
      <c r="O101" s="578">
        <v>0</v>
      </c>
      <c r="P101" s="578">
        <v>0</v>
      </c>
      <c r="Q101" s="578">
        <v>0</v>
      </c>
      <c r="R101" s="578">
        <v>0</v>
      </c>
      <c r="S101" s="578">
        <v>0</v>
      </c>
      <c r="T101" s="579">
        <v>0</v>
      </c>
    </row>
    <row r="102" spans="1:20" s="53" customFormat="1" hidden="1">
      <c r="A102" s="65"/>
      <c r="B102" s="58"/>
      <c r="C102" s="568" t="s">
        <v>274</v>
      </c>
      <c r="D102" s="560"/>
      <c r="E102" s="560"/>
      <c r="F102" s="560"/>
      <c r="G102" s="561">
        <f>SUM(H102:I102)</f>
        <v>0</v>
      </c>
      <c r="H102" s="561">
        <f t="shared" ref="H102" si="76">SUM(H97:H101)</f>
        <v>0</v>
      </c>
      <c r="I102" s="561">
        <f t="shared" ref="I102" si="77">SUM(I97:I101)</f>
        <v>0</v>
      </c>
      <c r="J102" s="561">
        <f t="shared" ref="J102" si="78">SUM(J97:J101)</f>
        <v>0</v>
      </c>
      <c r="K102" s="561">
        <f t="shared" ref="K102" si="79">SUM(K97:K101)</f>
        <v>0</v>
      </c>
      <c r="L102" s="561">
        <f t="shared" ref="L102" si="80">SUM(L97:L101)</f>
        <v>0</v>
      </c>
      <c r="M102" s="561">
        <f t="shared" ref="M102" si="81">SUM(M97:M101)</f>
        <v>0</v>
      </c>
      <c r="N102" s="561">
        <f t="shared" ref="N102" si="82">SUM(N97:N101)</f>
        <v>0</v>
      </c>
      <c r="O102" s="561">
        <f t="shared" ref="O102" si="83">SUM(O97:O101)</f>
        <v>0</v>
      </c>
      <c r="P102" s="561">
        <f t="shared" ref="P102" si="84">SUM(P97:P101)</f>
        <v>0</v>
      </c>
      <c r="Q102" s="561">
        <f t="shared" ref="Q102" si="85">SUM(Q97:Q101)</f>
        <v>0</v>
      </c>
      <c r="R102" s="561">
        <f t="shared" ref="R102" si="86">SUM(R97:R101)</f>
        <v>0</v>
      </c>
      <c r="S102" s="561">
        <f t="shared" ref="S102" si="87">SUM(S97:S101)</f>
        <v>0</v>
      </c>
      <c r="T102" s="569">
        <f t="shared" ref="T102" si="88">SUM(T97:T101)</f>
        <v>0</v>
      </c>
    </row>
    <row r="103" spans="1:20" s="53" customFormat="1" hidden="1">
      <c r="A103" s="65"/>
      <c r="B103" s="58"/>
      <c r="C103" s="567" t="s">
        <v>288</v>
      </c>
      <c r="D103" s="558" t="str">
        <f>$C$94</f>
        <v>공통</v>
      </c>
      <c r="E103" s="558" t="s">
        <v>152</v>
      </c>
      <c r="F103" s="558" t="s">
        <v>153</v>
      </c>
      <c r="G103" s="577">
        <v>0</v>
      </c>
      <c r="H103" s="577">
        <v>0</v>
      </c>
      <c r="I103" s="577">
        <v>0</v>
      </c>
      <c r="J103" s="577">
        <v>0</v>
      </c>
      <c r="K103" s="577">
        <v>0</v>
      </c>
      <c r="L103" s="577">
        <v>0</v>
      </c>
      <c r="M103" s="577">
        <v>0</v>
      </c>
      <c r="N103" s="577">
        <v>0</v>
      </c>
      <c r="O103" s="577">
        <v>0</v>
      </c>
      <c r="P103" s="577">
        <v>0</v>
      </c>
      <c r="Q103" s="577">
        <v>0</v>
      </c>
      <c r="R103" s="577">
        <v>0</v>
      </c>
      <c r="S103" s="577">
        <v>0</v>
      </c>
      <c r="T103" s="581">
        <v>0</v>
      </c>
    </row>
    <row r="104" spans="1:20" s="53" customFormat="1" hidden="1">
      <c r="A104" s="65"/>
      <c r="B104" s="58"/>
      <c r="C104" s="567" t="s">
        <v>288</v>
      </c>
      <c r="D104" s="558" t="str">
        <f t="shared" ref="D104:D107" si="89">$C$94</f>
        <v>공통</v>
      </c>
      <c r="E104" s="558" t="s">
        <v>270</v>
      </c>
      <c r="F104" s="558" t="s">
        <v>272</v>
      </c>
      <c r="G104" s="577">
        <v>0</v>
      </c>
      <c r="H104" s="577">
        <v>0</v>
      </c>
      <c r="I104" s="577">
        <v>0</v>
      </c>
      <c r="J104" s="577">
        <v>0</v>
      </c>
      <c r="K104" s="577">
        <v>0</v>
      </c>
      <c r="L104" s="577">
        <v>0</v>
      </c>
      <c r="M104" s="577">
        <v>0</v>
      </c>
      <c r="N104" s="577">
        <v>0</v>
      </c>
      <c r="O104" s="577">
        <v>0</v>
      </c>
      <c r="P104" s="577">
        <v>0</v>
      </c>
      <c r="Q104" s="577">
        <v>0</v>
      </c>
      <c r="R104" s="577">
        <v>0</v>
      </c>
      <c r="S104" s="577">
        <v>0</v>
      </c>
      <c r="T104" s="581">
        <v>0</v>
      </c>
    </row>
    <row r="105" spans="1:20" s="53" customFormat="1" hidden="1">
      <c r="A105" s="65"/>
      <c r="B105" s="58"/>
      <c r="C105" s="567" t="s">
        <v>288</v>
      </c>
      <c r="D105" s="558" t="str">
        <f t="shared" si="89"/>
        <v>공통</v>
      </c>
      <c r="E105" s="558" t="s">
        <v>1495</v>
      </c>
      <c r="F105" s="558" t="s">
        <v>1496</v>
      </c>
      <c r="G105" s="577">
        <v>0</v>
      </c>
      <c r="H105" s="577">
        <v>0</v>
      </c>
      <c r="I105" s="577">
        <v>0</v>
      </c>
      <c r="J105" s="577">
        <v>0</v>
      </c>
      <c r="K105" s="577">
        <v>0</v>
      </c>
      <c r="L105" s="577">
        <v>0</v>
      </c>
      <c r="M105" s="577">
        <v>0</v>
      </c>
      <c r="N105" s="577">
        <v>0</v>
      </c>
      <c r="O105" s="577">
        <v>0</v>
      </c>
      <c r="P105" s="577">
        <v>0</v>
      </c>
      <c r="Q105" s="577">
        <v>0</v>
      </c>
      <c r="R105" s="577">
        <v>0</v>
      </c>
      <c r="S105" s="577">
        <v>0</v>
      </c>
      <c r="T105" s="581">
        <v>0</v>
      </c>
    </row>
    <row r="106" spans="1:20" s="53" customFormat="1" hidden="1">
      <c r="A106" s="65"/>
      <c r="B106" s="58"/>
      <c r="C106" s="567" t="s">
        <v>288</v>
      </c>
      <c r="D106" s="558" t="str">
        <f t="shared" si="89"/>
        <v>공통</v>
      </c>
      <c r="E106" s="559" t="s">
        <v>270</v>
      </c>
      <c r="F106" s="559" t="s">
        <v>151</v>
      </c>
      <c r="G106" s="577">
        <v>0</v>
      </c>
      <c r="H106" s="577">
        <v>0</v>
      </c>
      <c r="I106" s="577">
        <v>0</v>
      </c>
      <c r="J106" s="577">
        <v>0</v>
      </c>
      <c r="K106" s="577">
        <v>0</v>
      </c>
      <c r="L106" s="577">
        <v>0</v>
      </c>
      <c r="M106" s="577">
        <v>0</v>
      </c>
      <c r="N106" s="577">
        <v>0</v>
      </c>
      <c r="O106" s="577">
        <v>0</v>
      </c>
      <c r="P106" s="577">
        <v>0</v>
      </c>
      <c r="Q106" s="577">
        <v>0</v>
      </c>
      <c r="R106" s="577">
        <v>0</v>
      </c>
      <c r="S106" s="577">
        <v>0</v>
      </c>
      <c r="T106" s="581">
        <v>0</v>
      </c>
    </row>
    <row r="107" spans="1:20" s="53" customFormat="1" hidden="1">
      <c r="A107" s="65"/>
      <c r="B107" s="58"/>
      <c r="C107" s="567" t="s">
        <v>288</v>
      </c>
      <c r="D107" s="558" t="str">
        <f t="shared" si="89"/>
        <v>공통</v>
      </c>
      <c r="E107" s="559" t="s">
        <v>270</v>
      </c>
      <c r="F107" s="559" t="s">
        <v>151</v>
      </c>
      <c r="G107" s="577">
        <v>0</v>
      </c>
      <c r="H107" s="577">
        <v>0</v>
      </c>
      <c r="I107" s="577">
        <v>0</v>
      </c>
      <c r="J107" s="577">
        <v>0</v>
      </c>
      <c r="K107" s="577">
        <v>0</v>
      </c>
      <c r="L107" s="577">
        <v>0</v>
      </c>
      <c r="M107" s="577">
        <v>0</v>
      </c>
      <c r="N107" s="577">
        <v>0</v>
      </c>
      <c r="O107" s="577">
        <v>0</v>
      </c>
      <c r="P107" s="577">
        <v>0</v>
      </c>
      <c r="Q107" s="577">
        <v>0</v>
      </c>
      <c r="R107" s="577">
        <v>0</v>
      </c>
      <c r="S107" s="577">
        <v>0</v>
      </c>
      <c r="T107" s="581">
        <v>0</v>
      </c>
    </row>
    <row r="108" spans="1:20" s="53" customFormat="1" hidden="1">
      <c r="A108" s="65"/>
      <c r="B108" s="58"/>
      <c r="C108" s="568" t="s">
        <v>275</v>
      </c>
      <c r="D108" s="560"/>
      <c r="E108" s="560"/>
      <c r="F108" s="560"/>
      <c r="G108" s="561">
        <f>SUM(H108:I108)</f>
        <v>0</v>
      </c>
      <c r="H108" s="561">
        <f>SUM(H103:H107)</f>
        <v>0</v>
      </c>
      <c r="I108" s="561">
        <f>SUM(I103:I107)</f>
        <v>0</v>
      </c>
      <c r="J108" s="561">
        <f t="shared" ref="J108:T108" si="90">SUM(J103:J107)</f>
        <v>0</v>
      </c>
      <c r="K108" s="561">
        <f t="shared" si="90"/>
        <v>0</v>
      </c>
      <c r="L108" s="561">
        <f t="shared" si="90"/>
        <v>0</v>
      </c>
      <c r="M108" s="561">
        <f t="shared" si="90"/>
        <v>0</v>
      </c>
      <c r="N108" s="561">
        <f t="shared" si="90"/>
        <v>0</v>
      </c>
      <c r="O108" s="561">
        <f t="shared" si="90"/>
        <v>0</v>
      </c>
      <c r="P108" s="561">
        <f t="shared" si="90"/>
        <v>0</v>
      </c>
      <c r="Q108" s="561">
        <f t="shared" si="90"/>
        <v>0</v>
      </c>
      <c r="R108" s="561">
        <f t="shared" si="90"/>
        <v>0</v>
      </c>
      <c r="S108" s="561">
        <f t="shared" si="90"/>
        <v>0</v>
      </c>
      <c r="T108" s="569">
        <f t="shared" si="90"/>
        <v>0</v>
      </c>
    </row>
    <row r="109" spans="1:20" s="53" customFormat="1" hidden="1">
      <c r="A109" s="65"/>
      <c r="B109" s="58"/>
      <c r="C109" s="567" t="s">
        <v>288</v>
      </c>
      <c r="D109" s="558" t="str">
        <f>$C$94</f>
        <v>공통</v>
      </c>
      <c r="E109" s="558" t="s">
        <v>271</v>
      </c>
      <c r="F109" s="558" t="s">
        <v>267</v>
      </c>
      <c r="G109" s="577">
        <v>0</v>
      </c>
      <c r="H109" s="577">
        <v>0</v>
      </c>
      <c r="I109" s="577">
        <v>0</v>
      </c>
      <c r="J109" s="577">
        <v>0</v>
      </c>
      <c r="K109" s="577">
        <v>0</v>
      </c>
      <c r="L109" s="577">
        <v>0</v>
      </c>
      <c r="M109" s="577">
        <v>0</v>
      </c>
      <c r="N109" s="577">
        <v>0</v>
      </c>
      <c r="O109" s="577">
        <v>0</v>
      </c>
      <c r="P109" s="577">
        <v>0</v>
      </c>
      <c r="Q109" s="577">
        <v>0</v>
      </c>
      <c r="R109" s="577">
        <v>0</v>
      </c>
      <c r="S109" s="577">
        <v>0</v>
      </c>
      <c r="T109" s="581">
        <v>0</v>
      </c>
    </row>
    <row r="110" spans="1:20" s="53" customFormat="1" hidden="1">
      <c r="A110" s="65"/>
      <c r="B110" s="58"/>
      <c r="C110" s="567" t="s">
        <v>288</v>
      </c>
      <c r="D110" s="558" t="str">
        <f t="shared" ref="D110:D113" si="91">$C$94</f>
        <v>공통</v>
      </c>
      <c r="E110" s="558" t="s">
        <v>271</v>
      </c>
      <c r="F110" s="558" t="s">
        <v>268</v>
      </c>
      <c r="G110" s="577">
        <v>0</v>
      </c>
      <c r="H110" s="577">
        <v>0</v>
      </c>
      <c r="I110" s="577">
        <v>0</v>
      </c>
      <c r="J110" s="577">
        <v>0</v>
      </c>
      <c r="K110" s="577">
        <v>0</v>
      </c>
      <c r="L110" s="577">
        <v>0</v>
      </c>
      <c r="M110" s="577">
        <v>0</v>
      </c>
      <c r="N110" s="577">
        <v>0</v>
      </c>
      <c r="O110" s="577">
        <v>0</v>
      </c>
      <c r="P110" s="577">
        <v>0</v>
      </c>
      <c r="Q110" s="577">
        <v>0</v>
      </c>
      <c r="R110" s="577">
        <v>0</v>
      </c>
      <c r="S110" s="577">
        <v>0</v>
      </c>
      <c r="T110" s="581">
        <v>0</v>
      </c>
    </row>
    <row r="111" spans="1:20" s="53" customFormat="1" hidden="1">
      <c r="A111" s="65"/>
      <c r="B111" s="58"/>
      <c r="C111" s="567" t="s">
        <v>288</v>
      </c>
      <c r="D111" s="558" t="str">
        <f t="shared" si="91"/>
        <v>공통</v>
      </c>
      <c r="E111" s="558" t="s">
        <v>271</v>
      </c>
      <c r="F111" s="558" t="s">
        <v>269</v>
      </c>
      <c r="G111" s="577">
        <v>0</v>
      </c>
      <c r="H111" s="577">
        <v>0</v>
      </c>
      <c r="I111" s="577">
        <v>0</v>
      </c>
      <c r="J111" s="577">
        <v>0</v>
      </c>
      <c r="K111" s="577">
        <v>0</v>
      </c>
      <c r="L111" s="577">
        <v>0</v>
      </c>
      <c r="M111" s="577">
        <v>0</v>
      </c>
      <c r="N111" s="577">
        <v>0</v>
      </c>
      <c r="O111" s="577">
        <v>0</v>
      </c>
      <c r="P111" s="577">
        <v>0</v>
      </c>
      <c r="Q111" s="577">
        <v>0</v>
      </c>
      <c r="R111" s="577">
        <v>0</v>
      </c>
      <c r="S111" s="577">
        <v>0</v>
      </c>
      <c r="T111" s="581">
        <v>0</v>
      </c>
    </row>
    <row r="112" spans="1:20" s="53" customFormat="1" hidden="1">
      <c r="A112" s="65"/>
      <c r="B112" s="58"/>
      <c r="C112" s="567" t="s">
        <v>288</v>
      </c>
      <c r="D112" s="558" t="str">
        <f t="shared" si="91"/>
        <v>공통</v>
      </c>
      <c r="E112" s="559" t="s">
        <v>271</v>
      </c>
      <c r="F112" s="559" t="s">
        <v>151</v>
      </c>
      <c r="G112" s="577">
        <v>0</v>
      </c>
      <c r="H112" s="577">
        <v>0</v>
      </c>
      <c r="I112" s="577">
        <v>0</v>
      </c>
      <c r="J112" s="577">
        <v>0</v>
      </c>
      <c r="K112" s="577">
        <v>0</v>
      </c>
      <c r="L112" s="577">
        <v>0</v>
      </c>
      <c r="M112" s="577">
        <v>0</v>
      </c>
      <c r="N112" s="577">
        <v>0</v>
      </c>
      <c r="O112" s="577">
        <v>0</v>
      </c>
      <c r="P112" s="577">
        <v>0</v>
      </c>
      <c r="Q112" s="577">
        <v>0</v>
      </c>
      <c r="R112" s="577">
        <v>0</v>
      </c>
      <c r="S112" s="577">
        <v>0</v>
      </c>
      <c r="T112" s="581">
        <v>0</v>
      </c>
    </row>
    <row r="113" spans="1:20" s="53" customFormat="1" hidden="1">
      <c r="A113" s="65"/>
      <c r="B113" s="58"/>
      <c r="C113" s="567" t="s">
        <v>288</v>
      </c>
      <c r="D113" s="558" t="str">
        <f t="shared" si="91"/>
        <v>공통</v>
      </c>
      <c r="E113" s="559" t="s">
        <v>271</v>
      </c>
      <c r="F113" s="559" t="s">
        <v>151</v>
      </c>
      <c r="G113" s="577">
        <v>0</v>
      </c>
      <c r="H113" s="577">
        <v>0</v>
      </c>
      <c r="I113" s="577">
        <v>0</v>
      </c>
      <c r="J113" s="577">
        <v>0</v>
      </c>
      <c r="K113" s="577">
        <v>0</v>
      </c>
      <c r="L113" s="577">
        <v>0</v>
      </c>
      <c r="M113" s="577">
        <v>0</v>
      </c>
      <c r="N113" s="577">
        <v>0</v>
      </c>
      <c r="O113" s="577">
        <v>0</v>
      </c>
      <c r="P113" s="577">
        <v>0</v>
      </c>
      <c r="Q113" s="577">
        <v>0</v>
      </c>
      <c r="R113" s="577">
        <v>0</v>
      </c>
      <c r="S113" s="577">
        <v>0</v>
      </c>
      <c r="T113" s="581">
        <v>0</v>
      </c>
    </row>
    <row r="114" spans="1:20" s="53" customFormat="1" ht="18" hidden="1" thickBot="1">
      <c r="A114" s="65"/>
      <c r="B114" s="58"/>
      <c r="C114" s="570" t="s">
        <v>276</v>
      </c>
      <c r="D114" s="571"/>
      <c r="E114" s="571"/>
      <c r="F114" s="571"/>
      <c r="G114" s="572">
        <f>SUM(H114:I114)</f>
        <v>0</v>
      </c>
      <c r="H114" s="572">
        <f>SUM(H109:H113)</f>
        <v>0</v>
      </c>
      <c r="I114" s="572">
        <f>SUM(I109:I113)</f>
        <v>0</v>
      </c>
      <c r="J114" s="572">
        <f t="shared" ref="J114:T114" si="92">SUM(J109:J113)</f>
        <v>0</v>
      </c>
      <c r="K114" s="572">
        <f t="shared" si="92"/>
        <v>0</v>
      </c>
      <c r="L114" s="572">
        <f t="shared" si="92"/>
        <v>0</v>
      </c>
      <c r="M114" s="572">
        <f t="shared" si="92"/>
        <v>0</v>
      </c>
      <c r="N114" s="572">
        <f t="shared" si="92"/>
        <v>0</v>
      </c>
      <c r="O114" s="572">
        <f t="shared" si="92"/>
        <v>0</v>
      </c>
      <c r="P114" s="572">
        <f t="shared" si="92"/>
        <v>0</v>
      </c>
      <c r="Q114" s="572">
        <f t="shared" si="92"/>
        <v>0</v>
      </c>
      <c r="R114" s="572">
        <f t="shared" si="92"/>
        <v>0</v>
      </c>
      <c r="S114" s="572">
        <f t="shared" si="92"/>
        <v>0</v>
      </c>
      <c r="T114" s="573">
        <f t="shared" si="92"/>
        <v>0</v>
      </c>
    </row>
    <row r="115" spans="1:20" s="53" customFormat="1" hidden="1">
      <c r="A115" s="65"/>
      <c r="B115" s="58"/>
      <c r="C115" s="51"/>
      <c r="D115" s="51"/>
      <c r="E115" s="51"/>
      <c r="F115" s="51"/>
      <c r="G115" s="52"/>
      <c r="H115" s="52"/>
      <c r="I115" s="52"/>
      <c r="J115" s="52"/>
      <c r="K115" s="52"/>
      <c r="L115" s="52"/>
      <c r="M115" s="52"/>
      <c r="N115" s="52"/>
      <c r="O115" s="52"/>
      <c r="P115" s="52"/>
      <c r="Q115" s="52"/>
      <c r="R115" s="52"/>
      <c r="S115" s="52"/>
      <c r="T115" s="52"/>
    </row>
    <row r="116" spans="1:20" s="53" customFormat="1" ht="18" hidden="1" thickBot="1">
      <c r="A116" s="65"/>
      <c r="B116" s="58"/>
      <c r="C116" s="51"/>
      <c r="D116" s="51"/>
      <c r="E116" s="51"/>
      <c r="F116" s="51"/>
      <c r="G116" s="52"/>
      <c r="H116" s="52"/>
      <c r="I116" s="52"/>
      <c r="J116" s="52"/>
      <c r="K116" s="52"/>
      <c r="L116" s="52"/>
      <c r="M116" s="52"/>
      <c r="N116" s="52"/>
      <c r="O116" s="52"/>
      <c r="P116" s="52"/>
      <c r="Q116" s="52"/>
      <c r="R116" s="52"/>
      <c r="S116" s="52"/>
      <c r="T116" s="52"/>
    </row>
    <row r="117" spans="1:20" s="53" customFormat="1" hidden="1">
      <c r="A117" s="65"/>
      <c r="B117" s="58"/>
      <c r="C117" s="40"/>
      <c r="D117" s="2"/>
      <c r="E117" s="2"/>
      <c r="F117" s="2"/>
      <c r="G117" s="50">
        <f>SUM(G125,G131,G137)</f>
        <v>0</v>
      </c>
      <c r="H117" s="48">
        <f t="shared" ref="H117:T117" si="93">SUM(H125,H131,H137)</f>
        <v>0</v>
      </c>
      <c r="I117" s="48">
        <f t="shared" si="93"/>
        <v>0</v>
      </c>
      <c r="J117" s="48">
        <f t="shared" si="93"/>
        <v>0</v>
      </c>
      <c r="K117" s="48">
        <f t="shared" si="93"/>
        <v>0</v>
      </c>
      <c r="L117" s="48">
        <f t="shared" si="93"/>
        <v>0</v>
      </c>
      <c r="M117" s="48">
        <f t="shared" si="93"/>
        <v>0</v>
      </c>
      <c r="N117" s="48">
        <f t="shared" si="93"/>
        <v>0</v>
      </c>
      <c r="O117" s="48">
        <f t="shared" si="93"/>
        <v>0</v>
      </c>
      <c r="P117" s="48">
        <f t="shared" si="93"/>
        <v>0</v>
      </c>
      <c r="Q117" s="48">
        <f t="shared" si="93"/>
        <v>0</v>
      </c>
      <c r="R117" s="48">
        <f t="shared" si="93"/>
        <v>0</v>
      </c>
      <c r="S117" s="48">
        <f t="shared" si="93"/>
        <v>0</v>
      </c>
      <c r="T117" s="49">
        <f t="shared" si="93"/>
        <v>0</v>
      </c>
    </row>
    <row r="118" spans="1:20" s="53" customFormat="1" ht="18" hidden="1" thickBot="1">
      <c r="A118" s="65"/>
      <c r="B118" s="58"/>
      <c r="C118"/>
      <c r="D118"/>
      <c r="E118"/>
      <c r="F118"/>
      <c r="G118"/>
      <c r="H118"/>
      <c r="I118"/>
      <c r="J118"/>
      <c r="K118"/>
      <c r="L118"/>
      <c r="M118"/>
      <c r="N118"/>
      <c r="O118"/>
      <c r="P118"/>
      <c r="Q118"/>
      <c r="R118"/>
      <c r="S118"/>
      <c r="T118"/>
    </row>
    <row r="119" spans="1:20" s="53" customFormat="1" hidden="1">
      <c r="A119" s="65"/>
      <c r="B119" s="58"/>
      <c r="C119" s="563" t="s">
        <v>1</v>
      </c>
      <c r="D119" s="564" t="s">
        <v>1086</v>
      </c>
      <c r="E119" s="564" t="s">
        <v>3</v>
      </c>
      <c r="F119" s="564" t="s">
        <v>4</v>
      </c>
      <c r="G119" s="564" t="s">
        <v>265</v>
      </c>
      <c r="H119" s="564" t="s">
        <v>263</v>
      </c>
      <c r="I119" s="564" t="s">
        <v>264</v>
      </c>
      <c r="J119" s="564" t="s">
        <v>1089</v>
      </c>
      <c r="K119" s="564" t="s">
        <v>232</v>
      </c>
      <c r="L119" s="564" t="s">
        <v>233</v>
      </c>
      <c r="M119" s="564" t="s">
        <v>234</v>
      </c>
      <c r="N119" s="564" t="s">
        <v>235</v>
      </c>
      <c r="O119" s="564" t="s">
        <v>236</v>
      </c>
      <c r="P119" s="564" t="s">
        <v>237</v>
      </c>
      <c r="Q119" s="564" t="s">
        <v>238</v>
      </c>
      <c r="R119" s="564" t="s">
        <v>239</v>
      </c>
      <c r="S119" s="564" t="s">
        <v>240</v>
      </c>
      <c r="T119" s="565" t="s">
        <v>172</v>
      </c>
    </row>
    <row r="120" spans="1:20" s="53" customFormat="1" hidden="1">
      <c r="A120" s="65"/>
      <c r="B120" s="58"/>
      <c r="C120" s="566" t="s">
        <v>288</v>
      </c>
      <c r="D120" s="562">
        <f>$C$117</f>
        <v>0</v>
      </c>
      <c r="E120" s="562" t="s">
        <v>247</v>
      </c>
      <c r="F120" s="562" t="s">
        <v>266</v>
      </c>
      <c r="G120" s="574">
        <f>SUM(H120:I120)</f>
        <v>0</v>
      </c>
      <c r="H120" s="574">
        <f>SUMIFS(통합데이터!$O$5:$O$112,통합데이터!$E$5:$E$112,'2.구축비_요약'!$D120,통합데이터!$F$5:$F$112,'2.구축비_요약'!$E120,통합데이터!$G$5:$G$112,'2.구축비_요약'!$F120)</f>
        <v>0</v>
      </c>
      <c r="I120" s="574">
        <f>SUMIFS(통합데이터!T$5:T$112,통합데이터!$E$5:$E$112,'2.구축비_요약'!$D120,통합데이터!$F$5:$F$112,'2.구축비_요약'!$E120,통합데이터!$G$5:$G$112,'2.구축비_요약'!$F120)</f>
        <v>0</v>
      </c>
      <c r="J120" s="574">
        <f>SUMIFS(통합데이터!U$5:U$112,통합데이터!$E$5:$E$112,'2.구축비_요약'!$D120,통합데이터!$F$5:$F$112,'2.구축비_요약'!$E120,통합데이터!$G$5:$G$112,'2.구축비_요약'!$F120)</f>
        <v>0</v>
      </c>
      <c r="K120" s="574">
        <f>SUMIFS(통합데이터!V$5:V$112,통합데이터!$E$5:$E$112,'2.구축비_요약'!$D120,통합데이터!$F$5:$F$112,'2.구축비_요약'!$E120,통합데이터!$G$5:$G$112,'2.구축비_요약'!$F120)</f>
        <v>0</v>
      </c>
      <c r="L120" s="574">
        <f>SUMIFS(통합데이터!W$5:W$112,통합데이터!$E$5:$E$112,'2.구축비_요약'!$D120,통합데이터!$F$5:$F$112,'2.구축비_요약'!$E120,통합데이터!$G$5:$G$112,'2.구축비_요약'!$F120)</f>
        <v>0</v>
      </c>
      <c r="M120" s="574">
        <f>SUMIFS(통합데이터!X$5:X$112,통합데이터!$E$5:$E$112,'2.구축비_요약'!$D120,통합데이터!$F$5:$F$112,'2.구축비_요약'!$E120,통합데이터!$G$5:$G$112,'2.구축비_요약'!$F120)</f>
        <v>0</v>
      </c>
      <c r="N120" s="574">
        <f>SUMIFS(통합데이터!Y$5:Y$112,통합데이터!$E$5:$E$112,'2.구축비_요약'!$D120,통합데이터!$F$5:$F$112,'2.구축비_요약'!$E120,통합데이터!$G$5:$G$112,'2.구축비_요약'!$F120)</f>
        <v>0</v>
      </c>
      <c r="O120" s="574">
        <f>SUMIFS(통합데이터!Z$5:Z$112,통합데이터!$E$5:$E$112,'2.구축비_요약'!$D120,통합데이터!$F$5:$F$112,'2.구축비_요약'!$E120,통합데이터!$G$5:$G$112,'2.구축비_요약'!$F120)</f>
        <v>0</v>
      </c>
      <c r="P120" s="574">
        <f>SUMIFS(통합데이터!AA$5:AA$112,통합데이터!$E$5:$E$112,'2.구축비_요약'!$D120,통합데이터!$F$5:$F$112,'2.구축비_요약'!$E120,통합데이터!$G$5:$G$112,'2.구축비_요약'!$F120)</f>
        <v>0</v>
      </c>
      <c r="Q120" s="574">
        <f>SUMIFS(통합데이터!AB$5:AB$112,통합데이터!$E$5:$E$112,'2.구축비_요약'!$D120,통합데이터!$F$5:$F$112,'2.구축비_요약'!$E120,통합데이터!$G$5:$G$112,'2.구축비_요약'!$F120)</f>
        <v>0</v>
      </c>
      <c r="R120" s="574">
        <f>SUMIFS(통합데이터!AC$5:AC$112,통합데이터!$E$5:$E$112,'2.구축비_요약'!$D120,통합데이터!$F$5:$F$112,'2.구축비_요약'!$E120,통합데이터!$G$5:$G$112,'2.구축비_요약'!$F120)</f>
        <v>0</v>
      </c>
      <c r="S120" s="574">
        <f>SUMIFS(통합데이터!AD$5:AD$112,통합데이터!$E$5:$E$112,'2.구축비_요약'!$D120,통합데이터!$F$5:$F$112,'2.구축비_요약'!$E120,통합데이터!$G$5:$G$112,'2.구축비_요약'!$F120)</f>
        <v>0</v>
      </c>
      <c r="T120" s="585">
        <f>SUMIFS(통합데이터!AE$5:AE$112,통합데이터!$E$5:$E$112,'2.구축비_요약'!$D120,통합데이터!$F$5:$F$112,'2.구축비_요약'!$E120,통합데이터!$G$5:$G$112,'2.구축비_요약'!$F120)</f>
        <v>0</v>
      </c>
    </row>
    <row r="121" spans="1:20" s="53" customFormat="1" hidden="1">
      <c r="A121" s="65"/>
      <c r="B121" s="58"/>
      <c r="C121" s="567" t="s">
        <v>288</v>
      </c>
      <c r="D121" s="558">
        <f t="shared" ref="D121:D124" si="94">$C$117</f>
        <v>0</v>
      </c>
      <c r="E121" s="558" t="s">
        <v>247</v>
      </c>
      <c r="F121" s="558" t="s">
        <v>267</v>
      </c>
      <c r="G121" s="577">
        <f t="shared" ref="G121:G124" si="95">SUM(H121:I121)</f>
        <v>0</v>
      </c>
      <c r="H121" s="577">
        <f>SUMIFS(통합데이터!$O$5:$O$112,통합데이터!$E$5:$E$112,'2.구축비_요약'!$D121,통합데이터!$F$5:$F$112,'2.구축비_요약'!$E121,통합데이터!$G$5:$G$112,'2.구축비_요약'!$F121)</f>
        <v>0</v>
      </c>
      <c r="I121" s="577">
        <f>SUMIFS(통합데이터!T$5:T$112,통합데이터!$E$5:$E$112,'2.구축비_요약'!$D121,통합데이터!$F$5:$F$112,'2.구축비_요약'!$E121,통합데이터!$G$5:$G$112,'2.구축비_요약'!$F121)</f>
        <v>0</v>
      </c>
      <c r="J121" s="577">
        <f>SUMIFS(통합데이터!U$5:U$112,통합데이터!$E$5:$E$112,'2.구축비_요약'!$D121,통합데이터!$F$5:$F$112,'2.구축비_요약'!$E121,통합데이터!$G$5:$G$112,'2.구축비_요약'!$F121)</f>
        <v>0</v>
      </c>
      <c r="K121" s="577">
        <f>SUMIFS(통합데이터!V$5:V$112,통합데이터!$E$5:$E$112,'2.구축비_요약'!$D121,통합데이터!$F$5:$F$112,'2.구축비_요약'!$E121,통합데이터!$G$5:$G$112,'2.구축비_요약'!$F121)</f>
        <v>0</v>
      </c>
      <c r="L121" s="577">
        <f>SUMIFS(통합데이터!W$5:W$112,통합데이터!$E$5:$E$112,'2.구축비_요약'!$D121,통합데이터!$F$5:$F$112,'2.구축비_요약'!$E121,통합데이터!$G$5:$G$112,'2.구축비_요약'!$F121)</f>
        <v>0</v>
      </c>
      <c r="M121" s="577">
        <f>SUMIFS(통합데이터!X$5:X$112,통합데이터!$E$5:$E$112,'2.구축비_요약'!$D121,통합데이터!$F$5:$F$112,'2.구축비_요약'!$E121,통합데이터!$G$5:$G$112,'2.구축비_요약'!$F121)</f>
        <v>0</v>
      </c>
      <c r="N121" s="577">
        <f>SUMIFS(통합데이터!Y$5:Y$112,통합데이터!$E$5:$E$112,'2.구축비_요약'!$D121,통합데이터!$F$5:$F$112,'2.구축비_요약'!$E121,통합데이터!$G$5:$G$112,'2.구축비_요약'!$F121)</f>
        <v>0</v>
      </c>
      <c r="O121" s="577">
        <f>SUMIFS(통합데이터!Z$5:Z$112,통합데이터!$E$5:$E$112,'2.구축비_요약'!$D121,통합데이터!$F$5:$F$112,'2.구축비_요약'!$E121,통합데이터!$G$5:$G$112,'2.구축비_요약'!$F121)</f>
        <v>0</v>
      </c>
      <c r="P121" s="577">
        <f>SUMIFS(통합데이터!AA$5:AA$112,통합데이터!$E$5:$E$112,'2.구축비_요약'!$D121,통합데이터!$F$5:$F$112,'2.구축비_요약'!$E121,통합데이터!$G$5:$G$112,'2.구축비_요약'!$F121)</f>
        <v>0</v>
      </c>
      <c r="Q121" s="577">
        <f>SUMIFS(통합데이터!AB$5:AB$112,통합데이터!$E$5:$E$112,'2.구축비_요약'!$D121,통합데이터!$F$5:$F$112,'2.구축비_요약'!$E121,통합데이터!$G$5:$G$112,'2.구축비_요약'!$F121)</f>
        <v>0</v>
      </c>
      <c r="R121" s="577">
        <f>SUMIFS(통합데이터!AC$5:AC$112,통합데이터!$E$5:$E$112,'2.구축비_요약'!$D121,통합데이터!$F$5:$F$112,'2.구축비_요약'!$E121,통합데이터!$G$5:$G$112,'2.구축비_요약'!$F121)</f>
        <v>0</v>
      </c>
      <c r="S121" s="577">
        <f>SUMIFS(통합데이터!AD$5:AD$112,통합데이터!$E$5:$E$112,'2.구축비_요약'!$D121,통합데이터!$F$5:$F$112,'2.구축비_요약'!$E121,통합데이터!$G$5:$G$112,'2.구축비_요약'!$F121)</f>
        <v>0</v>
      </c>
      <c r="T121" s="581">
        <f>SUMIFS(통합데이터!AE$5:AE$112,통합데이터!$E$5:$E$112,'2.구축비_요약'!$D121,통합데이터!$F$5:$F$112,'2.구축비_요약'!$E121,통합데이터!$G$5:$G$112,'2.구축비_요약'!$F121)</f>
        <v>0</v>
      </c>
    </row>
    <row r="122" spans="1:20" s="53" customFormat="1" hidden="1">
      <c r="A122" s="65"/>
      <c r="B122" s="58"/>
      <c r="C122" s="567" t="s">
        <v>288</v>
      </c>
      <c r="D122" s="558">
        <f t="shared" si="94"/>
        <v>0</v>
      </c>
      <c r="E122" s="558" t="s">
        <v>247</v>
      </c>
      <c r="F122" s="558" t="s">
        <v>268</v>
      </c>
      <c r="G122" s="577">
        <f t="shared" si="95"/>
        <v>0</v>
      </c>
      <c r="H122" s="577">
        <f>SUMIFS(통합데이터!$O$5:$O$112,통합데이터!$E$5:$E$112,'2.구축비_요약'!$D122,통합데이터!$F$5:$F$112,'2.구축비_요약'!$E122,통합데이터!$G$5:$G$112,'2.구축비_요약'!$F122)</f>
        <v>0</v>
      </c>
      <c r="I122" s="577">
        <f>SUMIFS(통합데이터!T$5:T$112,통합데이터!$E$5:$E$112,'2.구축비_요약'!$D122,통합데이터!$F$5:$F$112,'2.구축비_요약'!$E122,통합데이터!$G$5:$G$112,'2.구축비_요약'!$F122)</f>
        <v>0</v>
      </c>
      <c r="J122" s="577">
        <f>SUMIFS(통합데이터!U$5:U$112,통합데이터!$E$5:$E$112,'2.구축비_요약'!$D122,통합데이터!$F$5:$F$112,'2.구축비_요약'!$E122,통합데이터!$G$5:$G$112,'2.구축비_요약'!$F122)</f>
        <v>0</v>
      </c>
      <c r="K122" s="577">
        <f>SUMIFS(통합데이터!V$5:V$112,통합데이터!$E$5:$E$112,'2.구축비_요약'!$D122,통합데이터!$F$5:$F$112,'2.구축비_요약'!$E122,통합데이터!$G$5:$G$112,'2.구축비_요약'!$F122)</f>
        <v>0</v>
      </c>
      <c r="L122" s="577">
        <f>SUMIFS(통합데이터!W$5:W$112,통합데이터!$E$5:$E$112,'2.구축비_요약'!$D122,통합데이터!$F$5:$F$112,'2.구축비_요약'!$E122,통합데이터!$G$5:$G$112,'2.구축비_요약'!$F122)</f>
        <v>0</v>
      </c>
      <c r="M122" s="577">
        <f>SUMIFS(통합데이터!X$5:X$112,통합데이터!$E$5:$E$112,'2.구축비_요약'!$D122,통합데이터!$F$5:$F$112,'2.구축비_요약'!$E122,통합데이터!$G$5:$G$112,'2.구축비_요약'!$F122)</f>
        <v>0</v>
      </c>
      <c r="N122" s="577">
        <f>SUMIFS(통합데이터!Y$5:Y$112,통합데이터!$E$5:$E$112,'2.구축비_요약'!$D122,통합데이터!$F$5:$F$112,'2.구축비_요약'!$E122,통합데이터!$G$5:$G$112,'2.구축비_요약'!$F122)</f>
        <v>0</v>
      </c>
      <c r="O122" s="577">
        <f>SUMIFS(통합데이터!Z$5:Z$112,통합데이터!$E$5:$E$112,'2.구축비_요약'!$D122,통합데이터!$F$5:$F$112,'2.구축비_요약'!$E122,통합데이터!$G$5:$G$112,'2.구축비_요약'!$F122)</f>
        <v>0</v>
      </c>
      <c r="P122" s="577">
        <f>SUMIFS(통합데이터!AA$5:AA$112,통합데이터!$E$5:$E$112,'2.구축비_요약'!$D122,통합데이터!$F$5:$F$112,'2.구축비_요약'!$E122,통합데이터!$G$5:$G$112,'2.구축비_요약'!$F122)</f>
        <v>0</v>
      </c>
      <c r="Q122" s="577">
        <f>SUMIFS(통합데이터!AB$5:AB$112,통합데이터!$E$5:$E$112,'2.구축비_요약'!$D122,통합데이터!$F$5:$F$112,'2.구축비_요약'!$E122,통합데이터!$G$5:$G$112,'2.구축비_요약'!$F122)</f>
        <v>0</v>
      </c>
      <c r="R122" s="577">
        <f>SUMIFS(통합데이터!AC$5:AC$112,통합데이터!$E$5:$E$112,'2.구축비_요약'!$D122,통합데이터!$F$5:$F$112,'2.구축비_요약'!$E122,통합데이터!$G$5:$G$112,'2.구축비_요약'!$F122)</f>
        <v>0</v>
      </c>
      <c r="S122" s="577">
        <f>SUMIFS(통합데이터!AD$5:AD$112,통합데이터!$E$5:$E$112,'2.구축비_요약'!$D122,통합데이터!$F$5:$F$112,'2.구축비_요약'!$E122,통합데이터!$G$5:$G$112,'2.구축비_요약'!$F122)</f>
        <v>0</v>
      </c>
      <c r="T122" s="581">
        <f>SUMIFS(통합데이터!AE$5:AE$112,통합데이터!$E$5:$E$112,'2.구축비_요약'!$D122,통합데이터!$F$5:$F$112,'2.구축비_요약'!$E122,통합데이터!$G$5:$G$112,'2.구축비_요약'!$F122)</f>
        <v>0</v>
      </c>
    </row>
    <row r="123" spans="1:20" s="53" customFormat="1" hidden="1">
      <c r="A123" s="65"/>
      <c r="B123" s="58"/>
      <c r="C123" s="567" t="s">
        <v>288</v>
      </c>
      <c r="D123" s="558">
        <f t="shared" si="94"/>
        <v>0</v>
      </c>
      <c r="E123" s="558" t="s">
        <v>247</v>
      </c>
      <c r="F123" s="558" t="s">
        <v>269</v>
      </c>
      <c r="G123" s="577">
        <f t="shared" si="95"/>
        <v>0</v>
      </c>
      <c r="H123" s="577">
        <f>SUMIFS(통합데이터!$O$5:$O$112,통합데이터!$E$5:$E$112,'2.구축비_요약'!$D123,통합데이터!$F$5:$F$112,'2.구축비_요약'!$E123,통합데이터!$G$5:$G$112,'2.구축비_요약'!$F123)</f>
        <v>0</v>
      </c>
      <c r="I123" s="577">
        <f>SUMIFS(통합데이터!T$5:T$112,통합데이터!$E$5:$E$112,'2.구축비_요약'!$D123,통합데이터!$F$5:$F$112,'2.구축비_요약'!$E123,통합데이터!$G$5:$G$112,'2.구축비_요약'!$F123)</f>
        <v>0</v>
      </c>
      <c r="J123" s="577">
        <f>SUMIFS(통합데이터!U$5:U$112,통합데이터!$E$5:$E$112,'2.구축비_요약'!$D123,통합데이터!$F$5:$F$112,'2.구축비_요약'!$E123,통합데이터!$G$5:$G$112,'2.구축비_요약'!$F123)</f>
        <v>0</v>
      </c>
      <c r="K123" s="577">
        <f>SUMIFS(통합데이터!V$5:V$112,통합데이터!$E$5:$E$112,'2.구축비_요약'!$D123,통합데이터!$F$5:$F$112,'2.구축비_요약'!$E123,통합데이터!$G$5:$G$112,'2.구축비_요약'!$F123)</f>
        <v>0</v>
      </c>
      <c r="L123" s="577">
        <f>SUMIFS(통합데이터!W$5:W$112,통합데이터!$E$5:$E$112,'2.구축비_요약'!$D123,통합데이터!$F$5:$F$112,'2.구축비_요약'!$E123,통합데이터!$G$5:$G$112,'2.구축비_요약'!$F123)</f>
        <v>0</v>
      </c>
      <c r="M123" s="577">
        <f>SUMIFS(통합데이터!X$5:X$112,통합데이터!$E$5:$E$112,'2.구축비_요약'!$D123,통합데이터!$F$5:$F$112,'2.구축비_요약'!$E123,통합데이터!$G$5:$G$112,'2.구축비_요약'!$F123)</f>
        <v>0</v>
      </c>
      <c r="N123" s="577">
        <f>SUMIFS(통합데이터!Y$5:Y$112,통합데이터!$E$5:$E$112,'2.구축비_요약'!$D123,통합데이터!$F$5:$F$112,'2.구축비_요약'!$E123,통합데이터!$G$5:$G$112,'2.구축비_요약'!$F123)</f>
        <v>0</v>
      </c>
      <c r="O123" s="577">
        <f>SUMIFS(통합데이터!Z$5:Z$112,통합데이터!$E$5:$E$112,'2.구축비_요약'!$D123,통합데이터!$F$5:$F$112,'2.구축비_요약'!$E123,통합데이터!$G$5:$G$112,'2.구축비_요약'!$F123)</f>
        <v>0</v>
      </c>
      <c r="P123" s="577">
        <f>SUMIFS(통합데이터!AA$5:AA$112,통합데이터!$E$5:$E$112,'2.구축비_요약'!$D123,통합데이터!$F$5:$F$112,'2.구축비_요약'!$E123,통합데이터!$G$5:$G$112,'2.구축비_요약'!$F123)</f>
        <v>0</v>
      </c>
      <c r="Q123" s="577">
        <f>SUMIFS(통합데이터!AB$5:AB$112,통합데이터!$E$5:$E$112,'2.구축비_요약'!$D123,통합데이터!$F$5:$F$112,'2.구축비_요약'!$E123,통합데이터!$G$5:$G$112,'2.구축비_요약'!$F123)</f>
        <v>0</v>
      </c>
      <c r="R123" s="577">
        <f>SUMIFS(통합데이터!AC$5:AC$112,통합데이터!$E$5:$E$112,'2.구축비_요약'!$D123,통합데이터!$F$5:$F$112,'2.구축비_요약'!$E123,통합데이터!$G$5:$G$112,'2.구축비_요약'!$F123)</f>
        <v>0</v>
      </c>
      <c r="S123" s="577">
        <f>SUMIFS(통합데이터!AD$5:AD$112,통합데이터!$E$5:$E$112,'2.구축비_요약'!$D123,통합데이터!$F$5:$F$112,'2.구축비_요약'!$E123,통합데이터!$G$5:$G$112,'2.구축비_요약'!$F123)</f>
        <v>0</v>
      </c>
      <c r="T123" s="581">
        <f>SUMIFS(통합데이터!AE$5:AE$112,통합데이터!$E$5:$E$112,'2.구축비_요약'!$D123,통합데이터!$F$5:$F$112,'2.구축비_요약'!$E123,통합데이터!$G$5:$G$112,'2.구축비_요약'!$F123)</f>
        <v>0</v>
      </c>
    </row>
    <row r="124" spans="1:20" s="53" customFormat="1" hidden="1">
      <c r="A124" s="65"/>
      <c r="B124" s="58"/>
      <c r="C124" s="583" t="s">
        <v>288</v>
      </c>
      <c r="D124" s="558">
        <f t="shared" si="94"/>
        <v>0</v>
      </c>
      <c r="E124" s="559" t="s">
        <v>247</v>
      </c>
      <c r="F124" s="559" t="s">
        <v>151</v>
      </c>
      <c r="G124" s="577">
        <f t="shared" si="95"/>
        <v>0</v>
      </c>
      <c r="H124" s="577">
        <f>SUMIFS(통합데이터!$O$5:$O$112,통합데이터!$E$5:$E$112,'2.구축비_요약'!$D124,통합데이터!$F$5:$F$112,'2.구축비_요약'!$E124,통합데이터!$G$5:$G$112,'2.구축비_요약'!$F124)</f>
        <v>0</v>
      </c>
      <c r="I124" s="577">
        <f>SUMIFS(통합데이터!T$5:T$112,통합데이터!$E$5:$E$112,'2.구축비_요약'!$D124,통합데이터!$F$5:$F$112,'2.구축비_요약'!$E124,통합데이터!$G$5:$G$112,'2.구축비_요약'!$F124)</f>
        <v>0</v>
      </c>
      <c r="J124" s="577">
        <f>SUMIFS(통합데이터!U$5:U$112,통합데이터!$E$5:$E$112,'2.구축비_요약'!$D124,통합데이터!$F$5:$F$112,'2.구축비_요약'!$E124,통합데이터!$G$5:$G$112,'2.구축비_요약'!$F124)</f>
        <v>0</v>
      </c>
      <c r="K124" s="577">
        <f>SUMIFS(통합데이터!V$5:V$112,통합데이터!$E$5:$E$112,'2.구축비_요약'!$D124,통합데이터!$F$5:$F$112,'2.구축비_요약'!$E124,통합데이터!$G$5:$G$112,'2.구축비_요약'!$F124)</f>
        <v>0</v>
      </c>
      <c r="L124" s="577">
        <f>SUMIFS(통합데이터!W$5:W$112,통합데이터!$E$5:$E$112,'2.구축비_요약'!$D124,통합데이터!$F$5:$F$112,'2.구축비_요약'!$E124,통합데이터!$G$5:$G$112,'2.구축비_요약'!$F124)</f>
        <v>0</v>
      </c>
      <c r="M124" s="577">
        <f>SUMIFS(통합데이터!X$5:X$112,통합데이터!$E$5:$E$112,'2.구축비_요약'!$D124,통합데이터!$F$5:$F$112,'2.구축비_요약'!$E124,통합데이터!$G$5:$G$112,'2.구축비_요약'!$F124)</f>
        <v>0</v>
      </c>
      <c r="N124" s="577">
        <f>SUMIFS(통합데이터!Y$5:Y$112,통합데이터!$E$5:$E$112,'2.구축비_요약'!$D124,통합데이터!$F$5:$F$112,'2.구축비_요약'!$E124,통합데이터!$G$5:$G$112,'2.구축비_요약'!$F124)</f>
        <v>0</v>
      </c>
      <c r="O124" s="577">
        <f>SUMIFS(통합데이터!Z$5:Z$112,통합데이터!$E$5:$E$112,'2.구축비_요약'!$D124,통합데이터!$F$5:$F$112,'2.구축비_요약'!$E124,통합데이터!$G$5:$G$112,'2.구축비_요약'!$F124)</f>
        <v>0</v>
      </c>
      <c r="P124" s="577">
        <f>SUMIFS(통합데이터!AA$5:AA$112,통합데이터!$E$5:$E$112,'2.구축비_요약'!$D124,통합데이터!$F$5:$F$112,'2.구축비_요약'!$E124,통합데이터!$G$5:$G$112,'2.구축비_요약'!$F124)</f>
        <v>0</v>
      </c>
      <c r="Q124" s="577">
        <f>SUMIFS(통합데이터!AB$5:AB$112,통합데이터!$E$5:$E$112,'2.구축비_요약'!$D124,통합데이터!$F$5:$F$112,'2.구축비_요약'!$E124,통합데이터!$G$5:$G$112,'2.구축비_요약'!$F124)</f>
        <v>0</v>
      </c>
      <c r="R124" s="577">
        <f>SUMIFS(통합데이터!AC$5:AC$112,통합데이터!$E$5:$E$112,'2.구축비_요약'!$D124,통합데이터!$F$5:$F$112,'2.구축비_요약'!$E124,통합데이터!$G$5:$G$112,'2.구축비_요약'!$F124)</f>
        <v>0</v>
      </c>
      <c r="S124" s="577">
        <f>SUMIFS(통합데이터!AD$5:AD$112,통합데이터!$E$5:$E$112,'2.구축비_요약'!$D124,통합데이터!$F$5:$F$112,'2.구축비_요약'!$E124,통합데이터!$G$5:$G$112,'2.구축비_요약'!$F124)</f>
        <v>0</v>
      </c>
      <c r="T124" s="581">
        <f>SUMIFS(통합데이터!AE$5:AE$112,통합데이터!$E$5:$E$112,'2.구축비_요약'!$D124,통합데이터!$F$5:$F$112,'2.구축비_요약'!$E124,통합데이터!$G$5:$G$112,'2.구축비_요약'!$F124)</f>
        <v>0</v>
      </c>
    </row>
    <row r="125" spans="1:20" s="53" customFormat="1" hidden="1">
      <c r="A125" s="65"/>
      <c r="B125" s="58"/>
      <c r="C125" s="568" t="s">
        <v>274</v>
      </c>
      <c r="D125" s="560"/>
      <c r="E125" s="560"/>
      <c r="F125" s="560"/>
      <c r="G125" s="577">
        <v>0</v>
      </c>
      <c r="H125" s="577">
        <v>0</v>
      </c>
      <c r="I125" s="578">
        <v>0</v>
      </c>
      <c r="J125" s="578">
        <v>0</v>
      </c>
      <c r="K125" s="578">
        <v>0</v>
      </c>
      <c r="L125" s="578">
        <v>0</v>
      </c>
      <c r="M125" s="578">
        <v>0</v>
      </c>
      <c r="N125" s="578">
        <v>0</v>
      </c>
      <c r="O125" s="578">
        <v>0</v>
      </c>
      <c r="P125" s="578">
        <v>0</v>
      </c>
      <c r="Q125" s="578">
        <v>0</v>
      </c>
      <c r="R125" s="578">
        <v>0</v>
      </c>
      <c r="S125" s="578">
        <v>0</v>
      </c>
      <c r="T125" s="579">
        <v>0</v>
      </c>
    </row>
    <row r="126" spans="1:20" s="53" customFormat="1" hidden="1">
      <c r="A126" s="65"/>
      <c r="B126" s="58"/>
      <c r="C126" s="567" t="s">
        <v>288</v>
      </c>
      <c r="D126" s="558">
        <f>$C$117</f>
        <v>0</v>
      </c>
      <c r="E126" s="558" t="s">
        <v>152</v>
      </c>
      <c r="F126" s="558" t="s">
        <v>153</v>
      </c>
      <c r="G126" s="577">
        <v>0</v>
      </c>
      <c r="H126" s="577">
        <v>0</v>
      </c>
      <c r="I126" s="578">
        <v>0</v>
      </c>
      <c r="J126" s="578">
        <v>0</v>
      </c>
      <c r="K126" s="578">
        <v>0</v>
      </c>
      <c r="L126" s="578">
        <v>0</v>
      </c>
      <c r="M126" s="578">
        <v>0</v>
      </c>
      <c r="N126" s="578">
        <v>0</v>
      </c>
      <c r="O126" s="578">
        <v>0</v>
      </c>
      <c r="P126" s="578">
        <v>0</v>
      </c>
      <c r="Q126" s="578">
        <v>0</v>
      </c>
      <c r="R126" s="578">
        <v>0</v>
      </c>
      <c r="S126" s="578">
        <v>0</v>
      </c>
      <c r="T126" s="579">
        <v>0</v>
      </c>
    </row>
    <row r="127" spans="1:20" s="53" customFormat="1" hidden="1">
      <c r="A127" s="65"/>
      <c r="B127" s="58"/>
      <c r="C127" s="567" t="s">
        <v>288</v>
      </c>
      <c r="D127" s="558">
        <f t="shared" ref="D127:D130" si="96">$C$117</f>
        <v>0</v>
      </c>
      <c r="E127" s="558" t="s">
        <v>270</v>
      </c>
      <c r="F127" s="558" t="s">
        <v>272</v>
      </c>
      <c r="G127" s="577">
        <v>0</v>
      </c>
      <c r="H127" s="577">
        <v>0</v>
      </c>
      <c r="I127" s="578">
        <v>0</v>
      </c>
      <c r="J127" s="578">
        <v>0</v>
      </c>
      <c r="K127" s="578">
        <v>0</v>
      </c>
      <c r="L127" s="578">
        <v>0</v>
      </c>
      <c r="M127" s="578">
        <v>0</v>
      </c>
      <c r="N127" s="578">
        <v>0</v>
      </c>
      <c r="O127" s="578">
        <v>0</v>
      </c>
      <c r="P127" s="578">
        <v>0</v>
      </c>
      <c r="Q127" s="578">
        <v>0</v>
      </c>
      <c r="R127" s="578">
        <v>0</v>
      </c>
      <c r="S127" s="578">
        <v>0</v>
      </c>
      <c r="T127" s="579">
        <v>0</v>
      </c>
    </row>
    <row r="128" spans="1:20" s="53" customFormat="1" hidden="1">
      <c r="A128" s="65"/>
      <c r="B128" s="58"/>
      <c r="C128" s="567" t="s">
        <v>288</v>
      </c>
      <c r="D128" s="558">
        <f t="shared" si="96"/>
        <v>0</v>
      </c>
      <c r="E128" s="558" t="s">
        <v>1495</v>
      </c>
      <c r="F128" s="558" t="s">
        <v>1496</v>
      </c>
      <c r="G128" s="577">
        <v>0</v>
      </c>
      <c r="H128" s="577">
        <v>0</v>
      </c>
      <c r="I128" s="578">
        <v>0</v>
      </c>
      <c r="J128" s="578">
        <v>0</v>
      </c>
      <c r="K128" s="578">
        <v>0</v>
      </c>
      <c r="L128" s="578">
        <v>0</v>
      </c>
      <c r="M128" s="578">
        <v>0</v>
      </c>
      <c r="N128" s="578">
        <v>0</v>
      </c>
      <c r="O128" s="578">
        <v>0</v>
      </c>
      <c r="P128" s="578">
        <v>0</v>
      </c>
      <c r="Q128" s="578">
        <v>0</v>
      </c>
      <c r="R128" s="578">
        <v>0</v>
      </c>
      <c r="S128" s="578">
        <v>0</v>
      </c>
      <c r="T128" s="579">
        <v>0</v>
      </c>
    </row>
    <row r="129" spans="1:20" s="53" customFormat="1" hidden="1">
      <c r="A129" s="65"/>
      <c r="B129" s="58"/>
      <c r="C129" s="567" t="s">
        <v>288</v>
      </c>
      <c r="D129" s="558">
        <f t="shared" si="96"/>
        <v>0</v>
      </c>
      <c r="E129" s="559" t="s">
        <v>270</v>
      </c>
      <c r="F129" s="559" t="s">
        <v>151</v>
      </c>
      <c r="G129" s="577">
        <v>0</v>
      </c>
      <c r="H129" s="577">
        <v>0</v>
      </c>
      <c r="I129" s="578">
        <v>0</v>
      </c>
      <c r="J129" s="578">
        <v>0</v>
      </c>
      <c r="K129" s="578">
        <v>0</v>
      </c>
      <c r="L129" s="578">
        <v>0</v>
      </c>
      <c r="M129" s="578">
        <v>0</v>
      </c>
      <c r="N129" s="578">
        <v>0</v>
      </c>
      <c r="O129" s="578">
        <v>0</v>
      </c>
      <c r="P129" s="578">
        <v>0</v>
      </c>
      <c r="Q129" s="578">
        <v>0</v>
      </c>
      <c r="R129" s="578">
        <v>0</v>
      </c>
      <c r="S129" s="578">
        <v>0</v>
      </c>
      <c r="T129" s="579">
        <v>0</v>
      </c>
    </row>
    <row r="130" spans="1:20" s="53" customFormat="1" hidden="1">
      <c r="A130" s="65"/>
      <c r="B130" s="58"/>
      <c r="C130" s="567" t="s">
        <v>288</v>
      </c>
      <c r="D130" s="558">
        <f t="shared" si="96"/>
        <v>0</v>
      </c>
      <c r="E130" s="559" t="s">
        <v>270</v>
      </c>
      <c r="F130" s="559" t="s">
        <v>151</v>
      </c>
      <c r="G130" s="577">
        <f t="shared" ref="G130" si="97">SUM(H130:I130)</f>
        <v>0</v>
      </c>
      <c r="H130" s="577">
        <f>SUMIFS(통합데이터!$O$5:$O$112,통합데이터!$E$5:$E$112,'2.구축비_요약'!$D130,통합데이터!$F$5:$F$112,'2.구축비_요약'!$E130,통합데이터!$G$5:$G$112,'2.구축비_요약'!$F130)</f>
        <v>0</v>
      </c>
      <c r="I130" s="577">
        <f>SUMIFS(통합데이터!T$5:T$112,통합데이터!$E$5:$E$112,'2.구축비_요약'!$D130,통합데이터!$F$5:$F$112,'2.구축비_요약'!$E130,통합데이터!$G$5:$G$112,'2.구축비_요약'!$F130)</f>
        <v>0</v>
      </c>
      <c r="J130" s="577">
        <f>SUMIFS(통합데이터!U$5:U$112,통합데이터!$E$5:$E$112,'2.구축비_요약'!$D130,통합데이터!$F$5:$F$112,'2.구축비_요약'!$E130,통합데이터!$G$5:$G$112,'2.구축비_요약'!$F130)</f>
        <v>0</v>
      </c>
      <c r="K130" s="577">
        <f>SUMIFS(통합데이터!V$5:V$112,통합데이터!$E$5:$E$112,'2.구축비_요약'!$D130,통합데이터!$F$5:$F$112,'2.구축비_요약'!$E130,통합데이터!$G$5:$G$112,'2.구축비_요약'!$F130)</f>
        <v>0</v>
      </c>
      <c r="L130" s="577">
        <f>SUMIFS(통합데이터!W$5:W$112,통합데이터!$E$5:$E$112,'2.구축비_요약'!$D130,통합데이터!$F$5:$F$112,'2.구축비_요약'!$E130,통합데이터!$G$5:$G$112,'2.구축비_요약'!$F130)</f>
        <v>0</v>
      </c>
      <c r="M130" s="577">
        <f>SUMIFS(통합데이터!X$5:X$112,통합데이터!$E$5:$E$112,'2.구축비_요약'!$D130,통합데이터!$F$5:$F$112,'2.구축비_요약'!$E130,통합데이터!$G$5:$G$112,'2.구축비_요약'!$F130)</f>
        <v>0</v>
      </c>
      <c r="N130" s="577">
        <f>SUMIFS(통합데이터!Y$5:Y$112,통합데이터!$E$5:$E$112,'2.구축비_요약'!$D130,통합데이터!$F$5:$F$112,'2.구축비_요약'!$E130,통합데이터!$G$5:$G$112,'2.구축비_요약'!$F130)</f>
        <v>0</v>
      </c>
      <c r="O130" s="577">
        <f>SUMIFS(통합데이터!Z$5:Z$112,통합데이터!$E$5:$E$112,'2.구축비_요약'!$D130,통합데이터!$F$5:$F$112,'2.구축비_요약'!$E130,통합데이터!$G$5:$G$112,'2.구축비_요약'!$F130)</f>
        <v>0</v>
      </c>
      <c r="P130" s="577">
        <f>SUMIFS(통합데이터!AA$5:AA$112,통합데이터!$E$5:$E$112,'2.구축비_요약'!$D130,통합데이터!$F$5:$F$112,'2.구축비_요약'!$E130,통합데이터!$G$5:$G$112,'2.구축비_요약'!$F130)</f>
        <v>0</v>
      </c>
      <c r="Q130" s="577">
        <f>SUMIFS(통합데이터!AB$5:AB$112,통합데이터!$E$5:$E$112,'2.구축비_요약'!$D130,통합데이터!$F$5:$F$112,'2.구축비_요약'!$E130,통합데이터!$G$5:$G$112,'2.구축비_요약'!$F130)</f>
        <v>0</v>
      </c>
      <c r="R130" s="577">
        <f>SUMIFS(통합데이터!AC$5:AC$112,통합데이터!$E$5:$E$112,'2.구축비_요약'!$D130,통합데이터!$F$5:$F$112,'2.구축비_요약'!$E130,통합데이터!$G$5:$G$112,'2.구축비_요약'!$F130)</f>
        <v>0</v>
      </c>
      <c r="S130" s="577">
        <f>SUMIFS(통합데이터!AD$5:AD$112,통합데이터!$E$5:$E$112,'2.구축비_요약'!$D130,통합데이터!$F$5:$F$112,'2.구축비_요약'!$E130,통합데이터!$G$5:$G$112,'2.구축비_요약'!$F130)</f>
        <v>0</v>
      </c>
      <c r="T130" s="581">
        <f>SUMIFS(통합데이터!AE$5:AE$112,통합데이터!$E$5:$E$112,'2.구축비_요약'!$D130,통합데이터!$F$5:$F$112,'2.구축비_요약'!$E130,통합데이터!$G$5:$G$112,'2.구축비_요약'!$F130)</f>
        <v>0</v>
      </c>
    </row>
    <row r="131" spans="1:20" s="53" customFormat="1" hidden="1">
      <c r="A131" s="65"/>
      <c r="B131" s="58"/>
      <c r="C131" s="568" t="s">
        <v>275</v>
      </c>
      <c r="D131" s="560"/>
      <c r="E131" s="560"/>
      <c r="F131" s="560"/>
      <c r="G131" s="577">
        <v>0</v>
      </c>
      <c r="H131" s="577">
        <v>0</v>
      </c>
      <c r="I131" s="577">
        <v>0</v>
      </c>
      <c r="J131" s="577">
        <v>0</v>
      </c>
      <c r="K131" s="577">
        <v>0</v>
      </c>
      <c r="L131" s="577">
        <v>0</v>
      </c>
      <c r="M131" s="577">
        <v>0</v>
      </c>
      <c r="N131" s="577">
        <v>0</v>
      </c>
      <c r="O131" s="577">
        <v>0</v>
      </c>
      <c r="P131" s="577">
        <v>0</v>
      </c>
      <c r="Q131" s="577">
        <v>0</v>
      </c>
      <c r="R131" s="577">
        <v>0</v>
      </c>
      <c r="S131" s="577">
        <v>0</v>
      </c>
      <c r="T131" s="581">
        <v>0</v>
      </c>
    </row>
    <row r="132" spans="1:20" s="53" customFormat="1" hidden="1">
      <c r="A132" s="65"/>
      <c r="B132" s="58"/>
      <c r="C132" s="567" t="s">
        <v>288</v>
      </c>
      <c r="D132" s="558">
        <f>$C$117</f>
        <v>0</v>
      </c>
      <c r="E132" s="558" t="s">
        <v>271</v>
      </c>
      <c r="F132" s="558" t="s">
        <v>267</v>
      </c>
      <c r="G132" s="577">
        <v>0</v>
      </c>
      <c r="H132" s="577">
        <v>0</v>
      </c>
      <c r="I132" s="577">
        <v>0</v>
      </c>
      <c r="J132" s="577">
        <v>0</v>
      </c>
      <c r="K132" s="577">
        <v>0</v>
      </c>
      <c r="L132" s="577">
        <v>0</v>
      </c>
      <c r="M132" s="577">
        <v>0</v>
      </c>
      <c r="N132" s="577">
        <v>0</v>
      </c>
      <c r="O132" s="577">
        <v>0</v>
      </c>
      <c r="P132" s="577">
        <v>0</v>
      </c>
      <c r="Q132" s="577">
        <v>0</v>
      </c>
      <c r="R132" s="577">
        <v>0</v>
      </c>
      <c r="S132" s="577">
        <v>0</v>
      </c>
      <c r="T132" s="581">
        <v>0</v>
      </c>
    </row>
    <row r="133" spans="1:20" s="53" customFormat="1" hidden="1">
      <c r="A133" s="65"/>
      <c r="B133" s="58"/>
      <c r="C133" s="567" t="s">
        <v>288</v>
      </c>
      <c r="D133" s="558">
        <f t="shared" ref="D133:D136" si="98">$C$117</f>
        <v>0</v>
      </c>
      <c r="E133" s="558" t="s">
        <v>271</v>
      </c>
      <c r="F133" s="558" t="s">
        <v>268</v>
      </c>
      <c r="G133" s="577">
        <v>0</v>
      </c>
      <c r="H133" s="577">
        <v>0</v>
      </c>
      <c r="I133" s="577">
        <v>0</v>
      </c>
      <c r="J133" s="577">
        <v>0</v>
      </c>
      <c r="K133" s="577">
        <v>0</v>
      </c>
      <c r="L133" s="577">
        <v>0</v>
      </c>
      <c r="M133" s="577">
        <v>0</v>
      </c>
      <c r="N133" s="577">
        <v>0</v>
      </c>
      <c r="O133" s="577">
        <v>0</v>
      </c>
      <c r="P133" s="577">
        <v>0</v>
      </c>
      <c r="Q133" s="577">
        <v>0</v>
      </c>
      <c r="R133" s="577">
        <v>0</v>
      </c>
      <c r="S133" s="577">
        <v>0</v>
      </c>
      <c r="T133" s="581">
        <v>0</v>
      </c>
    </row>
    <row r="134" spans="1:20" s="53" customFormat="1" hidden="1">
      <c r="A134" s="65"/>
      <c r="B134" s="58"/>
      <c r="C134" s="567" t="s">
        <v>288</v>
      </c>
      <c r="D134" s="558">
        <f t="shared" si="98"/>
        <v>0</v>
      </c>
      <c r="E134" s="558" t="s">
        <v>271</v>
      </c>
      <c r="F134" s="558" t="s">
        <v>269</v>
      </c>
      <c r="G134" s="577">
        <v>0</v>
      </c>
      <c r="H134" s="577">
        <v>0</v>
      </c>
      <c r="I134" s="577">
        <v>0</v>
      </c>
      <c r="J134" s="577">
        <v>0</v>
      </c>
      <c r="K134" s="577">
        <v>0</v>
      </c>
      <c r="L134" s="577">
        <v>0</v>
      </c>
      <c r="M134" s="577">
        <v>0</v>
      </c>
      <c r="N134" s="577">
        <v>0</v>
      </c>
      <c r="O134" s="577">
        <v>0</v>
      </c>
      <c r="P134" s="577">
        <v>0</v>
      </c>
      <c r="Q134" s="577">
        <v>0</v>
      </c>
      <c r="R134" s="577">
        <v>0</v>
      </c>
      <c r="S134" s="577">
        <v>0</v>
      </c>
      <c r="T134" s="581">
        <v>0</v>
      </c>
    </row>
    <row r="135" spans="1:20" s="53" customFormat="1" hidden="1">
      <c r="A135" s="65"/>
      <c r="B135" s="58"/>
      <c r="C135" s="567" t="s">
        <v>288</v>
      </c>
      <c r="D135" s="558">
        <f t="shared" si="98"/>
        <v>0</v>
      </c>
      <c r="E135" s="559" t="s">
        <v>271</v>
      </c>
      <c r="F135" s="559" t="s">
        <v>151</v>
      </c>
      <c r="G135" s="577">
        <v>0</v>
      </c>
      <c r="H135" s="577">
        <v>0</v>
      </c>
      <c r="I135" s="577">
        <v>0</v>
      </c>
      <c r="J135" s="577">
        <v>0</v>
      </c>
      <c r="K135" s="577">
        <v>0</v>
      </c>
      <c r="L135" s="577">
        <v>0</v>
      </c>
      <c r="M135" s="577">
        <v>0</v>
      </c>
      <c r="N135" s="577">
        <v>0</v>
      </c>
      <c r="O135" s="577">
        <v>0</v>
      </c>
      <c r="P135" s="577">
        <v>0</v>
      </c>
      <c r="Q135" s="577">
        <v>0</v>
      </c>
      <c r="R135" s="577">
        <v>0</v>
      </c>
      <c r="S135" s="577">
        <v>0</v>
      </c>
      <c r="T135" s="581">
        <v>0</v>
      </c>
    </row>
    <row r="136" spans="1:20" s="53" customFormat="1" hidden="1">
      <c r="A136" s="65"/>
      <c r="B136" s="58"/>
      <c r="C136" s="567" t="s">
        <v>288</v>
      </c>
      <c r="D136" s="558">
        <f t="shared" si="98"/>
        <v>0</v>
      </c>
      <c r="E136" s="559" t="s">
        <v>271</v>
      </c>
      <c r="F136" s="559" t="s">
        <v>151</v>
      </c>
      <c r="G136" s="577">
        <f t="shared" ref="G136" si="99">SUM(H136:I136)</f>
        <v>0</v>
      </c>
      <c r="H136" s="577">
        <f>SUMIFS(통합데이터!$O$5:$O$112,통합데이터!$E$5:$E$112,'2.구축비_요약'!$D136,통합데이터!$F$5:$F$112,'2.구축비_요약'!$E136,통합데이터!$G$5:$G$112,'2.구축비_요약'!$F136)</f>
        <v>0</v>
      </c>
      <c r="I136" s="577">
        <f>SUMIFS(통합데이터!T$5:T$112,통합데이터!$E$5:$E$112,'2.구축비_요약'!$D136,통합데이터!$F$5:$F$112,'2.구축비_요약'!$E136,통합데이터!$G$5:$G$112,'2.구축비_요약'!$F136)</f>
        <v>0</v>
      </c>
      <c r="J136" s="577">
        <f>SUMIFS(통합데이터!U$5:U$112,통합데이터!$E$5:$E$112,'2.구축비_요약'!$D136,통합데이터!$F$5:$F$112,'2.구축비_요약'!$E136,통합데이터!$G$5:$G$112,'2.구축비_요약'!$F136)</f>
        <v>0</v>
      </c>
      <c r="K136" s="577">
        <f>SUMIFS(통합데이터!V$5:V$112,통합데이터!$E$5:$E$112,'2.구축비_요약'!$D136,통합데이터!$F$5:$F$112,'2.구축비_요약'!$E136,통합데이터!$G$5:$G$112,'2.구축비_요약'!$F136)</f>
        <v>0</v>
      </c>
      <c r="L136" s="577">
        <f>SUMIFS(통합데이터!W$5:W$112,통합데이터!$E$5:$E$112,'2.구축비_요약'!$D136,통합데이터!$F$5:$F$112,'2.구축비_요약'!$E136,통합데이터!$G$5:$G$112,'2.구축비_요약'!$F136)</f>
        <v>0</v>
      </c>
      <c r="M136" s="577">
        <f>SUMIFS(통합데이터!X$5:X$112,통합데이터!$E$5:$E$112,'2.구축비_요약'!$D136,통합데이터!$F$5:$F$112,'2.구축비_요약'!$E136,통합데이터!$G$5:$G$112,'2.구축비_요약'!$F136)</f>
        <v>0</v>
      </c>
      <c r="N136" s="577">
        <f>SUMIFS(통합데이터!Y$5:Y$112,통합데이터!$E$5:$E$112,'2.구축비_요약'!$D136,통합데이터!$F$5:$F$112,'2.구축비_요약'!$E136,통합데이터!$G$5:$G$112,'2.구축비_요약'!$F136)</f>
        <v>0</v>
      </c>
      <c r="O136" s="577">
        <f>SUMIFS(통합데이터!Z$5:Z$112,통합데이터!$E$5:$E$112,'2.구축비_요약'!$D136,통합데이터!$F$5:$F$112,'2.구축비_요약'!$E136,통합데이터!$G$5:$G$112,'2.구축비_요약'!$F136)</f>
        <v>0</v>
      </c>
      <c r="P136" s="577">
        <f>SUMIFS(통합데이터!AA$5:AA$112,통합데이터!$E$5:$E$112,'2.구축비_요약'!$D136,통합데이터!$F$5:$F$112,'2.구축비_요약'!$E136,통합데이터!$G$5:$G$112,'2.구축비_요약'!$F136)</f>
        <v>0</v>
      </c>
      <c r="Q136" s="577">
        <f>SUMIFS(통합데이터!AB$5:AB$112,통합데이터!$E$5:$E$112,'2.구축비_요약'!$D136,통합데이터!$F$5:$F$112,'2.구축비_요약'!$E136,통합데이터!$G$5:$G$112,'2.구축비_요약'!$F136)</f>
        <v>0</v>
      </c>
      <c r="R136" s="577">
        <f>SUMIFS(통합데이터!AC$5:AC$112,통합데이터!$E$5:$E$112,'2.구축비_요약'!$D136,통합데이터!$F$5:$F$112,'2.구축비_요약'!$E136,통합데이터!$G$5:$G$112,'2.구축비_요약'!$F136)</f>
        <v>0</v>
      </c>
      <c r="S136" s="577">
        <f>SUMIFS(통합데이터!AD$5:AD$112,통합데이터!$E$5:$E$112,'2.구축비_요약'!$D136,통합데이터!$F$5:$F$112,'2.구축비_요약'!$E136,통합데이터!$G$5:$G$112,'2.구축비_요약'!$F136)</f>
        <v>0</v>
      </c>
      <c r="T136" s="581">
        <f>SUMIFS(통합데이터!AE$5:AE$112,통합데이터!$E$5:$E$112,'2.구축비_요약'!$D136,통합데이터!$F$5:$F$112,'2.구축비_요약'!$E136,통합데이터!$G$5:$G$112,'2.구축비_요약'!$F136)</f>
        <v>0</v>
      </c>
    </row>
    <row r="137" spans="1:20" s="53" customFormat="1" hidden="1">
      <c r="A137" s="65"/>
      <c r="B137" s="58"/>
      <c r="C137" s="568" t="s">
        <v>276</v>
      </c>
      <c r="D137" s="560"/>
      <c r="E137" s="560"/>
      <c r="F137" s="560"/>
      <c r="G137" s="577">
        <v>0</v>
      </c>
      <c r="H137" s="577">
        <v>0</v>
      </c>
      <c r="I137" s="577">
        <v>0</v>
      </c>
      <c r="J137" s="577">
        <v>0</v>
      </c>
      <c r="K137" s="577">
        <v>0</v>
      </c>
      <c r="L137" s="577">
        <v>0</v>
      </c>
      <c r="M137" s="577">
        <v>0</v>
      </c>
      <c r="N137" s="577">
        <v>0</v>
      </c>
      <c r="O137" s="577">
        <v>0</v>
      </c>
      <c r="P137" s="577">
        <v>0</v>
      </c>
      <c r="Q137" s="577">
        <v>0</v>
      </c>
      <c r="R137" s="577">
        <v>0</v>
      </c>
      <c r="S137" s="577">
        <v>0</v>
      </c>
      <c r="T137" s="581">
        <v>0</v>
      </c>
    </row>
    <row r="138" spans="1:20" s="53" customFormat="1" hidden="1">
      <c r="A138" s="65"/>
      <c r="B138" s="58"/>
      <c r="C138" s="586"/>
      <c r="D138" s="584"/>
      <c r="E138" s="584"/>
      <c r="F138" s="584"/>
      <c r="G138" s="443">
        <v>0</v>
      </c>
      <c r="H138" s="443">
        <v>0</v>
      </c>
      <c r="I138" s="443">
        <v>0</v>
      </c>
      <c r="J138" s="443">
        <v>0</v>
      </c>
      <c r="K138" s="443">
        <v>0</v>
      </c>
      <c r="L138" s="443">
        <v>0</v>
      </c>
      <c r="M138" s="443">
        <v>0</v>
      </c>
      <c r="N138" s="443">
        <v>0</v>
      </c>
      <c r="O138" s="443">
        <v>0</v>
      </c>
      <c r="P138" s="443">
        <v>0</v>
      </c>
      <c r="Q138" s="443">
        <v>0</v>
      </c>
      <c r="R138" s="443">
        <v>0</v>
      </c>
      <c r="S138" s="443">
        <v>0</v>
      </c>
      <c r="T138" s="33">
        <v>0</v>
      </c>
    </row>
    <row r="139" spans="1:20" s="53" customFormat="1" hidden="1">
      <c r="A139" s="65"/>
      <c r="B139" s="58"/>
      <c r="C139" s="586"/>
      <c r="D139" s="584"/>
      <c r="E139" s="584"/>
      <c r="F139" s="584"/>
      <c r="G139" s="443">
        <v>0</v>
      </c>
      <c r="H139" s="443">
        <v>0</v>
      </c>
      <c r="I139" s="443">
        <v>0</v>
      </c>
      <c r="J139" s="443">
        <v>0</v>
      </c>
      <c r="K139" s="443">
        <v>0</v>
      </c>
      <c r="L139" s="443">
        <v>0</v>
      </c>
      <c r="M139" s="443">
        <v>0</v>
      </c>
      <c r="N139" s="443">
        <v>0</v>
      </c>
      <c r="O139" s="443">
        <v>0</v>
      </c>
      <c r="P139" s="443">
        <v>0</v>
      </c>
      <c r="Q139" s="443">
        <v>0</v>
      </c>
      <c r="R139" s="443">
        <v>0</v>
      </c>
      <c r="S139" s="443">
        <v>0</v>
      </c>
      <c r="T139" s="33">
        <v>0</v>
      </c>
    </row>
    <row r="140" spans="1:20" s="53" customFormat="1" hidden="1">
      <c r="A140" s="65"/>
      <c r="B140" s="58"/>
      <c r="C140" s="586"/>
      <c r="D140" s="584"/>
      <c r="E140" s="584"/>
      <c r="F140" s="584"/>
      <c r="G140" s="443">
        <v>0</v>
      </c>
      <c r="H140" s="443">
        <v>0</v>
      </c>
      <c r="I140" s="443">
        <v>0</v>
      </c>
      <c r="J140" s="443">
        <v>0</v>
      </c>
      <c r="K140" s="443">
        <v>0</v>
      </c>
      <c r="L140" s="443">
        <v>0</v>
      </c>
      <c r="M140" s="443">
        <v>0</v>
      </c>
      <c r="N140" s="443">
        <v>0</v>
      </c>
      <c r="O140" s="443">
        <v>0</v>
      </c>
      <c r="P140" s="443">
        <v>0</v>
      </c>
      <c r="Q140" s="443">
        <v>0</v>
      </c>
      <c r="R140" s="443">
        <v>0</v>
      </c>
      <c r="S140" s="443">
        <v>0</v>
      </c>
      <c r="T140" s="33">
        <v>0</v>
      </c>
    </row>
    <row r="141" spans="1:20" s="53" customFormat="1" ht="18" hidden="1" thickBot="1">
      <c r="A141" s="65"/>
      <c r="B141" s="58"/>
      <c r="C141" s="587"/>
      <c r="D141" s="588"/>
      <c r="E141" s="588"/>
      <c r="F141" s="588"/>
      <c r="G141" s="452">
        <v>0</v>
      </c>
      <c r="H141" s="452">
        <v>0</v>
      </c>
      <c r="I141" s="452">
        <v>0</v>
      </c>
      <c r="J141" s="452">
        <v>0</v>
      </c>
      <c r="K141" s="452">
        <v>0</v>
      </c>
      <c r="L141" s="452">
        <v>0</v>
      </c>
      <c r="M141" s="452">
        <v>0</v>
      </c>
      <c r="N141" s="452">
        <v>0</v>
      </c>
      <c r="O141" s="452">
        <v>0</v>
      </c>
      <c r="P141" s="452">
        <v>0</v>
      </c>
      <c r="Q141" s="452">
        <v>0</v>
      </c>
      <c r="R141" s="452">
        <v>0</v>
      </c>
      <c r="S141" s="452">
        <v>0</v>
      </c>
      <c r="T141" s="31">
        <v>0</v>
      </c>
    </row>
    <row r="142" spans="1:20" s="53" customFormat="1">
      <c r="A142" s="65"/>
      <c r="B142" s="58"/>
      <c r="C142" s="54"/>
      <c r="D142" s="54"/>
      <c r="E142" s="54"/>
      <c r="F142" s="54"/>
      <c r="G142" s="55"/>
      <c r="H142" s="55"/>
      <c r="I142" s="55"/>
      <c r="J142" s="55"/>
      <c r="K142" s="55"/>
      <c r="L142" s="55"/>
      <c r="M142" s="55"/>
      <c r="N142" s="55"/>
      <c r="O142" s="55"/>
      <c r="P142" s="55"/>
      <c r="Q142" s="55"/>
      <c r="R142" s="55"/>
      <c r="S142" s="55"/>
      <c r="T142" s="55"/>
    </row>
    <row r="143" spans="1:20" s="53" customFormat="1">
      <c r="A143" s="65"/>
      <c r="B143" s="58"/>
      <c r="C143" s="54"/>
      <c r="D143" s="54"/>
      <c r="E143" s="54"/>
      <c r="F143" s="54"/>
      <c r="G143" s="55"/>
      <c r="H143" s="55"/>
      <c r="I143" s="55"/>
      <c r="J143" s="55"/>
      <c r="K143" s="55"/>
      <c r="L143" s="55"/>
      <c r="M143" s="55"/>
      <c r="N143" s="55"/>
      <c r="O143" s="55"/>
      <c r="P143" s="55"/>
      <c r="Q143" s="55"/>
      <c r="R143" s="55"/>
      <c r="S143" s="55"/>
      <c r="T143" s="55"/>
    </row>
    <row r="144" spans="1:20" s="53" customFormat="1">
      <c r="A144" s="65"/>
      <c r="B144" s="58"/>
      <c r="C144" s="51"/>
      <c r="D144" s="51"/>
      <c r="E144" s="51"/>
      <c r="F144" s="51"/>
      <c r="G144" s="52">
        <f>SUM(G146,G170,G194,G218)</f>
        <v>1246214060.8</v>
      </c>
      <c r="H144" s="52"/>
      <c r="I144" s="52"/>
      <c r="J144" s="52"/>
      <c r="K144" s="52"/>
      <c r="L144" s="52"/>
      <c r="M144" s="52"/>
      <c r="N144" s="52"/>
      <c r="O144" s="52"/>
      <c r="P144" s="52"/>
      <c r="Q144" s="52"/>
      <c r="R144" s="52"/>
      <c r="S144" s="52"/>
      <c r="T144" s="52"/>
    </row>
    <row r="145" spans="1:20" s="53" customFormat="1" ht="18" thickBot="1">
      <c r="A145" s="65"/>
      <c r="B145" s="58"/>
      <c r="C145" s="51"/>
      <c r="D145" s="51"/>
      <c r="E145" s="51"/>
      <c r="F145" s="51"/>
      <c r="G145" s="52"/>
      <c r="H145" s="52"/>
      <c r="I145" s="52"/>
      <c r="J145" s="52"/>
      <c r="K145" s="52"/>
      <c r="L145" s="52"/>
      <c r="M145" s="52"/>
      <c r="N145" s="52"/>
      <c r="O145" s="52"/>
      <c r="P145" s="52"/>
      <c r="Q145" s="52"/>
      <c r="R145" s="52"/>
      <c r="S145" s="52"/>
      <c r="T145" s="52"/>
    </row>
    <row r="146" spans="1:20">
      <c r="C146" s="43" t="s">
        <v>277</v>
      </c>
      <c r="G146" s="50">
        <f>SUM(G154,G160,G166)</f>
        <v>896840000</v>
      </c>
      <c r="H146" s="48">
        <f t="shared" ref="H146:S146" si="100">SUM(H154,H160,H166)</f>
        <v>466000000</v>
      </c>
      <c r="I146" s="48">
        <f t="shared" si="100"/>
        <v>430840000</v>
      </c>
      <c r="J146" s="48">
        <f t="shared" si="100"/>
        <v>31500000</v>
      </c>
      <c r="K146" s="48">
        <f t="shared" si="100"/>
        <v>68200000</v>
      </c>
      <c r="L146" s="48">
        <f t="shared" si="100"/>
        <v>88080000</v>
      </c>
      <c r="M146" s="48">
        <f t="shared" si="100"/>
        <v>38580000</v>
      </c>
      <c r="N146" s="48">
        <f t="shared" si="100"/>
        <v>34080000</v>
      </c>
      <c r="O146" s="48">
        <f t="shared" si="100"/>
        <v>34080000</v>
      </c>
      <c r="P146" s="48">
        <f t="shared" si="100"/>
        <v>34080000</v>
      </c>
      <c r="Q146" s="48">
        <f t="shared" si="100"/>
        <v>34080000</v>
      </c>
      <c r="R146" s="48">
        <f t="shared" si="100"/>
        <v>34080000</v>
      </c>
      <c r="S146" s="48">
        <f t="shared" si="100"/>
        <v>34080000</v>
      </c>
      <c r="T146" s="49"/>
    </row>
    <row r="147" spans="1:20" ht="5.4" customHeight="1" thickBot="1"/>
    <row r="148" spans="1:20">
      <c r="C148" s="563" t="s">
        <v>273</v>
      </c>
      <c r="D148" s="564" t="s">
        <v>1130</v>
      </c>
      <c r="E148" s="564" t="s">
        <v>1131</v>
      </c>
      <c r="F148" s="564" t="s">
        <v>1087</v>
      </c>
      <c r="G148" s="564" t="s">
        <v>265</v>
      </c>
      <c r="H148" s="564" t="s">
        <v>1133</v>
      </c>
      <c r="I148" s="564" t="s">
        <v>264</v>
      </c>
      <c r="J148" s="564" t="s">
        <v>1089</v>
      </c>
      <c r="K148" s="564" t="s">
        <v>232</v>
      </c>
      <c r="L148" s="564" t="s">
        <v>233</v>
      </c>
      <c r="M148" s="564" t="s">
        <v>234</v>
      </c>
      <c r="N148" s="564" t="s">
        <v>235</v>
      </c>
      <c r="O148" s="564" t="s">
        <v>236</v>
      </c>
      <c r="P148" s="564" t="s">
        <v>237</v>
      </c>
      <c r="Q148" s="564" t="s">
        <v>238</v>
      </c>
      <c r="R148" s="564" t="s">
        <v>239</v>
      </c>
      <c r="S148" s="564" t="s">
        <v>240</v>
      </c>
      <c r="T148" s="565" t="s">
        <v>172</v>
      </c>
    </row>
    <row r="149" spans="1:20">
      <c r="C149" s="566" t="s">
        <v>1523</v>
      </c>
      <c r="D149" s="562" t="str">
        <f>$C$146</f>
        <v>KTH</v>
      </c>
      <c r="E149" s="562" t="s">
        <v>247</v>
      </c>
      <c r="F149" s="562" t="s">
        <v>1137</v>
      </c>
      <c r="G149" s="574">
        <v>182000000</v>
      </c>
      <c r="H149" s="574">
        <v>182000000</v>
      </c>
      <c r="I149" s="575">
        <v>0</v>
      </c>
      <c r="J149" s="575">
        <v>0</v>
      </c>
      <c r="K149" s="575">
        <v>0</v>
      </c>
      <c r="L149" s="575">
        <v>0</v>
      </c>
      <c r="M149" s="575">
        <v>0</v>
      </c>
      <c r="N149" s="575">
        <v>0</v>
      </c>
      <c r="O149" s="575">
        <v>0</v>
      </c>
      <c r="P149" s="575">
        <v>0</v>
      </c>
      <c r="Q149" s="575">
        <v>0</v>
      </c>
      <c r="R149" s="575">
        <v>0</v>
      </c>
      <c r="S149" s="575">
        <v>0</v>
      </c>
      <c r="T149" s="576">
        <v>0</v>
      </c>
    </row>
    <row r="150" spans="1:20">
      <c r="C150" s="567" t="s">
        <v>157</v>
      </c>
      <c r="D150" s="558" t="str">
        <f t="shared" ref="D150:D153" si="101">$C$146</f>
        <v>KTH</v>
      </c>
      <c r="E150" s="558" t="s">
        <v>247</v>
      </c>
      <c r="F150" s="558" t="s">
        <v>1095</v>
      </c>
      <c r="G150" s="577">
        <v>236000000</v>
      </c>
      <c r="H150" s="577">
        <v>236000000</v>
      </c>
      <c r="I150" s="578">
        <v>0</v>
      </c>
      <c r="J150" s="578">
        <v>0</v>
      </c>
      <c r="K150" s="578">
        <v>0</v>
      </c>
      <c r="L150" s="578">
        <v>0</v>
      </c>
      <c r="M150" s="578">
        <v>0</v>
      </c>
      <c r="N150" s="578">
        <v>0</v>
      </c>
      <c r="O150" s="578">
        <v>0</v>
      </c>
      <c r="P150" s="578">
        <v>0</v>
      </c>
      <c r="Q150" s="578">
        <v>0</v>
      </c>
      <c r="R150" s="578">
        <v>0</v>
      </c>
      <c r="S150" s="578">
        <v>0</v>
      </c>
      <c r="T150" s="579">
        <v>0</v>
      </c>
    </row>
    <row r="151" spans="1:20">
      <c r="C151" s="567" t="s">
        <v>1523</v>
      </c>
      <c r="D151" s="558" t="str">
        <f t="shared" si="101"/>
        <v>KTH</v>
      </c>
      <c r="E151" s="558" t="s">
        <v>247</v>
      </c>
      <c r="F151" s="558" t="s">
        <v>1135</v>
      </c>
      <c r="G151" s="577">
        <v>0</v>
      </c>
      <c r="H151" s="577">
        <v>0</v>
      </c>
      <c r="I151" s="578">
        <v>0</v>
      </c>
      <c r="J151" s="578">
        <v>0</v>
      </c>
      <c r="K151" s="578">
        <v>0</v>
      </c>
      <c r="L151" s="578">
        <v>0</v>
      </c>
      <c r="M151" s="578">
        <v>0</v>
      </c>
      <c r="N151" s="578">
        <v>0</v>
      </c>
      <c r="O151" s="578">
        <v>0</v>
      </c>
      <c r="P151" s="578">
        <v>0</v>
      </c>
      <c r="Q151" s="578">
        <v>0</v>
      </c>
      <c r="R151" s="578">
        <v>0</v>
      </c>
      <c r="S151" s="578">
        <v>0</v>
      </c>
      <c r="T151" s="579">
        <v>0</v>
      </c>
    </row>
    <row r="152" spans="1:20">
      <c r="C152" s="567" t="s">
        <v>157</v>
      </c>
      <c r="D152" s="558" t="str">
        <f t="shared" si="101"/>
        <v>KTH</v>
      </c>
      <c r="E152" s="558" t="s">
        <v>1138</v>
      </c>
      <c r="F152" s="558" t="s">
        <v>269</v>
      </c>
      <c r="G152" s="577">
        <v>48000000</v>
      </c>
      <c r="H152" s="577">
        <v>48000000</v>
      </c>
      <c r="I152" s="578">
        <v>0</v>
      </c>
      <c r="J152" s="578">
        <v>0</v>
      </c>
      <c r="K152" s="578">
        <v>0</v>
      </c>
      <c r="L152" s="578">
        <v>0</v>
      </c>
      <c r="M152" s="578">
        <v>0</v>
      </c>
      <c r="N152" s="578">
        <v>0</v>
      </c>
      <c r="O152" s="578">
        <v>0</v>
      </c>
      <c r="P152" s="578">
        <v>0</v>
      </c>
      <c r="Q152" s="578">
        <v>0</v>
      </c>
      <c r="R152" s="578">
        <v>0</v>
      </c>
      <c r="S152" s="578">
        <v>0</v>
      </c>
      <c r="T152" s="579">
        <v>0</v>
      </c>
    </row>
    <row r="153" spans="1:20">
      <c r="C153" s="567" t="s">
        <v>157</v>
      </c>
      <c r="D153" s="558" t="str">
        <f t="shared" si="101"/>
        <v>KTH</v>
      </c>
      <c r="E153" s="559" t="s">
        <v>247</v>
      </c>
      <c r="F153" s="559" t="s">
        <v>151</v>
      </c>
      <c r="G153" s="577">
        <v>0</v>
      </c>
      <c r="H153" s="577">
        <v>0</v>
      </c>
      <c r="I153" s="578">
        <v>0</v>
      </c>
      <c r="J153" s="578">
        <v>0</v>
      </c>
      <c r="K153" s="578">
        <v>0</v>
      </c>
      <c r="L153" s="578">
        <v>0</v>
      </c>
      <c r="M153" s="578">
        <v>0</v>
      </c>
      <c r="N153" s="578">
        <v>0</v>
      </c>
      <c r="O153" s="578">
        <v>0</v>
      </c>
      <c r="P153" s="578">
        <v>0</v>
      </c>
      <c r="Q153" s="578">
        <v>0</v>
      </c>
      <c r="R153" s="578">
        <v>0</v>
      </c>
      <c r="S153" s="578">
        <v>0</v>
      </c>
      <c r="T153" s="579">
        <v>0</v>
      </c>
    </row>
    <row r="154" spans="1:20">
      <c r="C154" s="568" t="s">
        <v>1139</v>
      </c>
      <c r="D154" s="560"/>
      <c r="E154" s="560"/>
      <c r="F154" s="560"/>
      <c r="G154" s="561">
        <f t="shared" ref="G154" si="102">SUM(H154:I154)</f>
        <v>466000000</v>
      </c>
      <c r="H154" s="561">
        <f>SUM(H149:H153)</f>
        <v>466000000</v>
      </c>
      <c r="I154" s="561">
        <f>SUM(I149:I153)</f>
        <v>0</v>
      </c>
      <c r="J154" s="561">
        <f t="shared" ref="J154" si="103">SUM(J149:J153)</f>
        <v>0</v>
      </c>
      <c r="K154" s="561">
        <f t="shared" ref="K154" si="104">SUM(K149:K153)</f>
        <v>0</v>
      </c>
      <c r="L154" s="561">
        <f t="shared" ref="L154" si="105">SUM(L149:L153)</f>
        <v>0</v>
      </c>
      <c r="M154" s="561">
        <f t="shared" ref="M154" si="106">SUM(M149:M153)</f>
        <v>0</v>
      </c>
      <c r="N154" s="561">
        <f t="shared" ref="N154" si="107">SUM(N149:N153)</f>
        <v>0</v>
      </c>
      <c r="O154" s="561">
        <f t="shared" ref="O154" si="108">SUM(O149:O153)</f>
        <v>0</v>
      </c>
      <c r="P154" s="561">
        <f t="shared" ref="P154" si="109">SUM(P149:P153)</f>
        <v>0</v>
      </c>
      <c r="Q154" s="561">
        <f t="shared" ref="Q154" si="110">SUM(Q149:Q153)</f>
        <v>0</v>
      </c>
      <c r="R154" s="561">
        <f t="shared" ref="R154" si="111">SUM(R149:R153)</f>
        <v>0</v>
      </c>
      <c r="S154" s="561">
        <f t="shared" ref="S154" si="112">SUM(S149:S153)</f>
        <v>0</v>
      </c>
      <c r="T154" s="569">
        <f t="shared" ref="T154" si="113">SUM(T149:T153)</f>
        <v>0</v>
      </c>
    </row>
    <row r="155" spans="1:20" ht="20.399999999999999" customHeight="1">
      <c r="C155" s="567" t="s">
        <v>1523</v>
      </c>
      <c r="D155" s="558" t="str">
        <f>$C$146</f>
        <v>KTH</v>
      </c>
      <c r="E155" s="558" t="s">
        <v>152</v>
      </c>
      <c r="F155" s="558" t="s">
        <v>153</v>
      </c>
      <c r="G155" s="577">
        <v>144000000</v>
      </c>
      <c r="H155" s="577">
        <v>0</v>
      </c>
      <c r="I155" s="577">
        <v>144000000</v>
      </c>
      <c r="J155" s="577">
        <v>31500000</v>
      </c>
      <c r="K155" s="577">
        <v>54000000</v>
      </c>
      <c r="L155" s="577">
        <v>54000000</v>
      </c>
      <c r="M155" s="577">
        <v>4500000</v>
      </c>
      <c r="N155" s="577">
        <v>0</v>
      </c>
      <c r="O155" s="577">
        <v>0</v>
      </c>
      <c r="P155" s="577">
        <v>0</v>
      </c>
      <c r="Q155" s="577">
        <v>0</v>
      </c>
      <c r="R155" s="577">
        <v>0</v>
      </c>
      <c r="S155" s="577">
        <v>0</v>
      </c>
      <c r="T155" s="581">
        <v>0</v>
      </c>
    </row>
    <row r="156" spans="1:20">
      <c r="C156" s="567" t="s">
        <v>157</v>
      </c>
      <c r="D156" s="558" t="str">
        <f t="shared" ref="D156:D159" si="114">$C$146</f>
        <v>KTH</v>
      </c>
      <c r="E156" s="558" t="s">
        <v>270</v>
      </c>
      <c r="F156" s="558" t="s">
        <v>272</v>
      </c>
      <c r="G156" s="577">
        <v>0</v>
      </c>
      <c r="H156" s="577">
        <v>0</v>
      </c>
      <c r="I156" s="577">
        <v>0</v>
      </c>
      <c r="J156" s="577">
        <v>0</v>
      </c>
      <c r="K156" s="577">
        <v>0</v>
      </c>
      <c r="L156" s="577">
        <v>0</v>
      </c>
      <c r="M156" s="577">
        <v>0</v>
      </c>
      <c r="N156" s="577">
        <v>0</v>
      </c>
      <c r="O156" s="577">
        <v>0</v>
      </c>
      <c r="P156" s="577">
        <v>0</v>
      </c>
      <c r="Q156" s="577">
        <v>0</v>
      </c>
      <c r="R156" s="577">
        <v>0</v>
      </c>
      <c r="S156" s="577">
        <v>0</v>
      </c>
      <c r="T156" s="581">
        <v>0</v>
      </c>
    </row>
    <row r="157" spans="1:20">
      <c r="C157" s="567" t="s">
        <v>1523</v>
      </c>
      <c r="D157" s="558" t="str">
        <f t="shared" si="114"/>
        <v>KTH</v>
      </c>
      <c r="E157" s="559" t="s">
        <v>1099</v>
      </c>
      <c r="F157" s="559" t="s">
        <v>151</v>
      </c>
      <c r="G157" s="577">
        <v>0</v>
      </c>
      <c r="H157" s="577">
        <v>0</v>
      </c>
      <c r="I157" s="577">
        <v>0</v>
      </c>
      <c r="J157" s="577">
        <v>0</v>
      </c>
      <c r="K157" s="577">
        <v>0</v>
      </c>
      <c r="L157" s="577">
        <v>0</v>
      </c>
      <c r="M157" s="577">
        <v>0</v>
      </c>
      <c r="N157" s="577">
        <v>0</v>
      </c>
      <c r="O157" s="577">
        <v>0</v>
      </c>
      <c r="P157" s="577">
        <v>0</v>
      </c>
      <c r="Q157" s="577">
        <v>0</v>
      </c>
      <c r="R157" s="577">
        <v>0</v>
      </c>
      <c r="S157" s="577">
        <v>0</v>
      </c>
      <c r="T157" s="581">
        <v>0</v>
      </c>
    </row>
    <row r="158" spans="1:20">
      <c r="C158" s="567" t="s">
        <v>157</v>
      </c>
      <c r="D158" s="558" t="str">
        <f t="shared" si="114"/>
        <v>KTH</v>
      </c>
      <c r="E158" s="559" t="s">
        <v>1099</v>
      </c>
      <c r="F158" s="559" t="s">
        <v>151</v>
      </c>
      <c r="G158" s="577">
        <v>0</v>
      </c>
      <c r="H158" s="577">
        <v>0</v>
      </c>
      <c r="I158" s="577">
        <v>0</v>
      </c>
      <c r="J158" s="577">
        <v>0</v>
      </c>
      <c r="K158" s="577">
        <v>0</v>
      </c>
      <c r="L158" s="577">
        <v>0</v>
      </c>
      <c r="M158" s="577">
        <v>0</v>
      </c>
      <c r="N158" s="577">
        <v>0</v>
      </c>
      <c r="O158" s="577">
        <v>0</v>
      </c>
      <c r="P158" s="577">
        <v>0</v>
      </c>
      <c r="Q158" s="577">
        <v>0</v>
      </c>
      <c r="R158" s="577">
        <v>0</v>
      </c>
      <c r="S158" s="577">
        <v>0</v>
      </c>
      <c r="T158" s="581">
        <v>0</v>
      </c>
    </row>
    <row r="159" spans="1:20">
      <c r="C159" s="567" t="s">
        <v>157</v>
      </c>
      <c r="D159" s="558" t="str">
        <f t="shared" si="114"/>
        <v>KTH</v>
      </c>
      <c r="E159" s="559" t="s">
        <v>270</v>
      </c>
      <c r="F159" s="559" t="s">
        <v>151</v>
      </c>
      <c r="G159" s="577">
        <v>0</v>
      </c>
      <c r="H159" s="577">
        <v>0</v>
      </c>
      <c r="I159" s="577">
        <v>0</v>
      </c>
      <c r="J159" s="577">
        <v>0</v>
      </c>
      <c r="K159" s="577">
        <v>0</v>
      </c>
      <c r="L159" s="577">
        <v>0</v>
      </c>
      <c r="M159" s="577">
        <v>0</v>
      </c>
      <c r="N159" s="577">
        <v>0</v>
      </c>
      <c r="O159" s="577">
        <v>0</v>
      </c>
      <c r="P159" s="577">
        <v>0</v>
      </c>
      <c r="Q159" s="577">
        <v>0</v>
      </c>
      <c r="R159" s="577">
        <v>0</v>
      </c>
      <c r="S159" s="577">
        <v>0</v>
      </c>
      <c r="T159" s="581">
        <v>0</v>
      </c>
    </row>
    <row r="160" spans="1:20">
      <c r="C160" s="568" t="s">
        <v>1136</v>
      </c>
      <c r="D160" s="560"/>
      <c r="E160" s="560"/>
      <c r="F160" s="560"/>
      <c r="G160" s="561">
        <f t="shared" ref="G160:G166" si="115">SUM(H160:I160)</f>
        <v>144000000</v>
      </c>
      <c r="H160" s="561">
        <f>SUM(H155:H159)</f>
        <v>0</v>
      </c>
      <c r="I160" s="561">
        <f>SUM(I155:I159)</f>
        <v>144000000</v>
      </c>
      <c r="J160" s="561">
        <f t="shared" ref="J160:T160" si="116">SUM(J155:J159)</f>
        <v>31500000</v>
      </c>
      <c r="K160" s="561">
        <f t="shared" si="116"/>
        <v>54000000</v>
      </c>
      <c r="L160" s="561">
        <f t="shared" si="116"/>
        <v>54000000</v>
      </c>
      <c r="M160" s="561">
        <f t="shared" si="116"/>
        <v>4500000</v>
      </c>
      <c r="N160" s="561">
        <f t="shared" si="116"/>
        <v>0</v>
      </c>
      <c r="O160" s="561">
        <f t="shared" si="116"/>
        <v>0</v>
      </c>
      <c r="P160" s="561">
        <f t="shared" si="116"/>
        <v>0</v>
      </c>
      <c r="Q160" s="561">
        <f t="shared" si="116"/>
        <v>0</v>
      </c>
      <c r="R160" s="561">
        <f t="shared" si="116"/>
        <v>0</v>
      </c>
      <c r="S160" s="561">
        <f t="shared" si="116"/>
        <v>0</v>
      </c>
      <c r="T160" s="569">
        <f t="shared" si="116"/>
        <v>0</v>
      </c>
    </row>
    <row r="161" spans="3:20">
      <c r="C161" s="567" t="s">
        <v>288</v>
      </c>
      <c r="D161" s="558" t="str">
        <f>$C$146</f>
        <v>KTH</v>
      </c>
      <c r="E161" s="558" t="s">
        <v>1103</v>
      </c>
      <c r="F161" s="558" t="s">
        <v>1140</v>
      </c>
      <c r="G161" s="577">
        <v>238360000</v>
      </c>
      <c r="H161" s="577">
        <v>0</v>
      </c>
      <c r="I161" s="577">
        <v>238360000</v>
      </c>
      <c r="J161" s="577">
        <v>0</v>
      </c>
      <c r="K161" s="577">
        <v>11800000</v>
      </c>
      <c r="L161" s="577">
        <v>28320000</v>
      </c>
      <c r="M161" s="577">
        <v>28320000</v>
      </c>
      <c r="N161" s="577">
        <v>28320000</v>
      </c>
      <c r="O161" s="577">
        <v>28320000</v>
      </c>
      <c r="P161" s="577">
        <v>28320000</v>
      </c>
      <c r="Q161" s="577">
        <v>28320000</v>
      </c>
      <c r="R161" s="577">
        <v>28320000</v>
      </c>
      <c r="S161" s="577">
        <v>28320000</v>
      </c>
      <c r="T161" s="581">
        <v>0</v>
      </c>
    </row>
    <row r="162" spans="3:20">
      <c r="C162" s="567" t="s">
        <v>288</v>
      </c>
      <c r="D162" s="558" t="str">
        <f t="shared" ref="D162:D165" si="117">$C$146</f>
        <v>KTH</v>
      </c>
      <c r="E162" s="558" t="s">
        <v>271</v>
      </c>
      <c r="F162" s="558" t="s">
        <v>1135</v>
      </c>
      <c r="G162" s="577">
        <v>0</v>
      </c>
      <c r="H162" s="577">
        <v>0</v>
      </c>
      <c r="I162" s="577">
        <v>0</v>
      </c>
      <c r="J162" s="577">
        <v>0</v>
      </c>
      <c r="K162" s="577">
        <v>0</v>
      </c>
      <c r="L162" s="577">
        <v>0</v>
      </c>
      <c r="M162" s="577">
        <v>0</v>
      </c>
      <c r="N162" s="577">
        <v>0</v>
      </c>
      <c r="O162" s="577">
        <v>0</v>
      </c>
      <c r="P162" s="577">
        <v>0</v>
      </c>
      <c r="Q162" s="577">
        <v>0</v>
      </c>
      <c r="R162" s="577">
        <v>0</v>
      </c>
      <c r="S162" s="577">
        <v>0</v>
      </c>
      <c r="T162" s="581">
        <v>0</v>
      </c>
    </row>
    <row r="163" spans="3:20">
      <c r="C163" s="567" t="s">
        <v>288</v>
      </c>
      <c r="D163" s="558" t="str">
        <f t="shared" si="117"/>
        <v>KTH</v>
      </c>
      <c r="E163" s="558" t="s">
        <v>271</v>
      </c>
      <c r="F163" s="558" t="s">
        <v>269</v>
      </c>
      <c r="G163" s="577">
        <v>48480000</v>
      </c>
      <c r="H163" s="577">
        <v>0</v>
      </c>
      <c r="I163" s="577">
        <v>48480000</v>
      </c>
      <c r="J163" s="577">
        <v>0</v>
      </c>
      <c r="K163" s="577">
        <v>2400000</v>
      </c>
      <c r="L163" s="577">
        <v>5760000</v>
      </c>
      <c r="M163" s="577">
        <v>5760000</v>
      </c>
      <c r="N163" s="577">
        <v>5760000</v>
      </c>
      <c r="O163" s="577">
        <v>5760000</v>
      </c>
      <c r="P163" s="577">
        <v>5760000</v>
      </c>
      <c r="Q163" s="577">
        <v>5760000</v>
      </c>
      <c r="R163" s="577">
        <v>5760000</v>
      </c>
      <c r="S163" s="577">
        <v>5760000</v>
      </c>
      <c r="T163" s="581">
        <v>0</v>
      </c>
    </row>
    <row r="164" spans="3:20">
      <c r="C164" s="567" t="s">
        <v>1141</v>
      </c>
      <c r="D164" s="558" t="str">
        <f t="shared" si="117"/>
        <v>KTH</v>
      </c>
      <c r="E164" s="559" t="s">
        <v>1103</v>
      </c>
      <c r="F164" s="559" t="s">
        <v>151</v>
      </c>
      <c r="G164" s="577">
        <v>0</v>
      </c>
      <c r="H164" s="577">
        <v>0</v>
      </c>
      <c r="I164" s="577">
        <v>0</v>
      </c>
      <c r="J164" s="577">
        <v>0</v>
      </c>
      <c r="K164" s="577">
        <v>0</v>
      </c>
      <c r="L164" s="577">
        <v>0</v>
      </c>
      <c r="M164" s="577">
        <v>0</v>
      </c>
      <c r="N164" s="577">
        <v>0</v>
      </c>
      <c r="O164" s="577">
        <v>0</v>
      </c>
      <c r="P164" s="577">
        <v>0</v>
      </c>
      <c r="Q164" s="577">
        <v>0</v>
      </c>
      <c r="R164" s="577">
        <v>0</v>
      </c>
      <c r="S164" s="577">
        <v>0</v>
      </c>
      <c r="T164" s="581">
        <v>0</v>
      </c>
    </row>
    <row r="165" spans="3:20">
      <c r="C165" s="567" t="s">
        <v>288</v>
      </c>
      <c r="D165" s="558" t="str">
        <f t="shared" si="117"/>
        <v>KTH</v>
      </c>
      <c r="E165" s="559" t="s">
        <v>1142</v>
      </c>
      <c r="F165" s="559" t="s">
        <v>1143</v>
      </c>
      <c r="G165" s="577">
        <v>0</v>
      </c>
      <c r="H165" s="577">
        <v>0</v>
      </c>
      <c r="I165" s="577">
        <v>0</v>
      </c>
      <c r="J165" s="577">
        <v>0</v>
      </c>
      <c r="K165" s="577">
        <v>0</v>
      </c>
      <c r="L165" s="577">
        <v>0</v>
      </c>
      <c r="M165" s="577">
        <v>0</v>
      </c>
      <c r="N165" s="577">
        <v>0</v>
      </c>
      <c r="O165" s="577">
        <v>0</v>
      </c>
      <c r="P165" s="577">
        <v>0</v>
      </c>
      <c r="Q165" s="577">
        <v>0</v>
      </c>
      <c r="R165" s="577">
        <v>0</v>
      </c>
      <c r="S165" s="577">
        <v>0</v>
      </c>
      <c r="T165" s="581">
        <v>0</v>
      </c>
    </row>
    <row r="166" spans="3:20" ht="18" thickBot="1">
      <c r="C166" s="570" t="s">
        <v>231</v>
      </c>
      <c r="D166" s="571"/>
      <c r="E166" s="571"/>
      <c r="F166" s="571"/>
      <c r="G166" s="572">
        <f t="shared" si="115"/>
        <v>286840000</v>
      </c>
      <c r="H166" s="572">
        <f>SUM(H161:H165)</f>
        <v>0</v>
      </c>
      <c r="I166" s="572">
        <f>SUM(I161:I165)</f>
        <v>286840000</v>
      </c>
      <c r="J166" s="572">
        <f t="shared" ref="J166:T166" si="118">SUM(J161:J165)</f>
        <v>0</v>
      </c>
      <c r="K166" s="572">
        <f t="shared" si="118"/>
        <v>14200000</v>
      </c>
      <c r="L166" s="572">
        <f t="shared" si="118"/>
        <v>34080000</v>
      </c>
      <c r="M166" s="572">
        <f t="shared" si="118"/>
        <v>34080000</v>
      </c>
      <c r="N166" s="572">
        <f t="shared" si="118"/>
        <v>34080000</v>
      </c>
      <c r="O166" s="572">
        <f t="shared" si="118"/>
        <v>34080000</v>
      </c>
      <c r="P166" s="572">
        <f t="shared" si="118"/>
        <v>34080000</v>
      </c>
      <c r="Q166" s="572">
        <f t="shared" si="118"/>
        <v>34080000</v>
      </c>
      <c r="R166" s="572">
        <f t="shared" si="118"/>
        <v>34080000</v>
      </c>
      <c r="S166" s="572">
        <f t="shared" si="118"/>
        <v>34080000</v>
      </c>
      <c r="T166" s="573">
        <f t="shared" si="118"/>
        <v>0</v>
      </c>
    </row>
    <row r="167" spans="3:20">
      <c r="G167" s="47"/>
      <c r="H167" s="47"/>
      <c r="I167" s="47"/>
      <c r="J167" s="47"/>
      <c r="K167" s="47"/>
      <c r="L167" s="47"/>
      <c r="M167" s="47"/>
      <c r="N167" s="47"/>
      <c r="O167" s="47"/>
      <c r="P167" s="47"/>
      <c r="Q167" s="47"/>
      <c r="R167" s="47"/>
      <c r="S167" s="47"/>
      <c r="T167" s="47"/>
    </row>
    <row r="168" spans="3:20">
      <c r="G168" s="47"/>
      <c r="H168" s="47"/>
      <c r="I168" s="47"/>
      <c r="J168" s="47"/>
      <c r="K168" s="47"/>
      <c r="L168" s="47"/>
      <c r="M168" s="47"/>
      <c r="N168" s="47"/>
      <c r="O168" s="47"/>
      <c r="P168" s="47"/>
      <c r="Q168" s="47"/>
      <c r="R168" s="47"/>
      <c r="S168" s="47"/>
      <c r="T168" s="47"/>
    </row>
    <row r="169" spans="3:20" ht="18" thickBot="1">
      <c r="G169" s="47"/>
      <c r="H169" s="47"/>
      <c r="I169" s="47"/>
      <c r="J169" s="47"/>
      <c r="K169" s="47"/>
      <c r="L169" s="47"/>
      <c r="M169" s="47"/>
      <c r="N169" s="47"/>
      <c r="O169" s="47"/>
      <c r="P169" s="47"/>
      <c r="Q169" s="47"/>
      <c r="R169" s="47"/>
      <c r="S169" s="47"/>
      <c r="T169" s="47"/>
    </row>
    <row r="170" spans="3:20">
      <c r="C170" s="43" t="s">
        <v>278</v>
      </c>
      <c r="G170" s="50">
        <f>SUM(G178,G184,G190)</f>
        <v>349374060.79999995</v>
      </c>
      <c r="H170" s="48">
        <f t="shared" ref="H170:T170" si="119">SUM(H178,H184,H190)</f>
        <v>142157860</v>
      </c>
      <c r="I170" s="48">
        <f t="shared" si="119"/>
        <v>207216200.79999998</v>
      </c>
      <c r="J170" s="48">
        <f t="shared" si="119"/>
        <v>0</v>
      </c>
      <c r="K170" s="48">
        <f t="shared" si="119"/>
        <v>19992000</v>
      </c>
      <c r="L170" s="48">
        <f t="shared" si="119"/>
        <v>19992000</v>
      </c>
      <c r="M170" s="48">
        <f t="shared" si="119"/>
        <v>23890314.400000002</v>
      </c>
      <c r="N170" s="48">
        <f t="shared" si="119"/>
        <v>23890314.400000002</v>
      </c>
      <c r="O170" s="48">
        <f t="shared" si="119"/>
        <v>23890314.400000002</v>
      </c>
      <c r="P170" s="48">
        <f t="shared" si="119"/>
        <v>23890314.400000002</v>
      </c>
      <c r="Q170" s="48">
        <f t="shared" si="119"/>
        <v>23890314.400000002</v>
      </c>
      <c r="R170" s="48">
        <f t="shared" si="119"/>
        <v>23890314.400000002</v>
      </c>
      <c r="S170" s="48">
        <f t="shared" si="119"/>
        <v>23890314.400000002</v>
      </c>
      <c r="T170" s="49">
        <f t="shared" si="119"/>
        <v>0</v>
      </c>
    </row>
    <row r="171" spans="3:20" ht="6" customHeight="1" thickBot="1">
      <c r="G171" s="47"/>
      <c r="H171" s="47"/>
      <c r="I171" s="47"/>
      <c r="J171" s="47"/>
      <c r="K171" s="47"/>
      <c r="L171" s="47"/>
      <c r="M171" s="47"/>
      <c r="N171" s="47"/>
      <c r="O171" s="47"/>
      <c r="P171" s="47"/>
      <c r="Q171" s="47"/>
      <c r="R171" s="47"/>
      <c r="S171" s="47"/>
      <c r="T171" s="47"/>
    </row>
    <row r="172" spans="3:20">
      <c r="C172" s="563" t="s">
        <v>1144</v>
      </c>
      <c r="D172" s="564" t="s">
        <v>1145</v>
      </c>
      <c r="E172" s="564" t="s">
        <v>1146</v>
      </c>
      <c r="F172" s="564" t="s">
        <v>1147</v>
      </c>
      <c r="G172" s="564" t="s">
        <v>1148</v>
      </c>
      <c r="H172" s="564" t="s">
        <v>1149</v>
      </c>
      <c r="I172" s="564" t="s">
        <v>1150</v>
      </c>
      <c r="J172" s="564" t="s">
        <v>1151</v>
      </c>
      <c r="K172" s="564" t="s">
        <v>232</v>
      </c>
      <c r="L172" s="564" t="s">
        <v>233</v>
      </c>
      <c r="M172" s="564" t="s">
        <v>234</v>
      </c>
      <c r="N172" s="564" t="s">
        <v>235</v>
      </c>
      <c r="O172" s="564" t="s">
        <v>236</v>
      </c>
      <c r="P172" s="564" t="s">
        <v>237</v>
      </c>
      <c r="Q172" s="564" t="s">
        <v>238</v>
      </c>
      <c r="R172" s="564" t="s">
        <v>239</v>
      </c>
      <c r="S172" s="564" t="s">
        <v>240</v>
      </c>
      <c r="T172" s="565" t="s">
        <v>172</v>
      </c>
    </row>
    <row r="173" spans="3:20">
      <c r="C173" s="566" t="s">
        <v>157</v>
      </c>
      <c r="D173" s="562" t="str">
        <f>$C$170</f>
        <v>도연시스템즈</v>
      </c>
      <c r="E173" s="562" t="s">
        <v>1153</v>
      </c>
      <c r="F173" s="562" t="s">
        <v>1154</v>
      </c>
      <c r="G173" s="574">
        <v>0</v>
      </c>
      <c r="H173" s="574">
        <v>0</v>
      </c>
      <c r="I173" s="575">
        <v>0</v>
      </c>
      <c r="J173" s="575">
        <v>0</v>
      </c>
      <c r="K173" s="575">
        <v>0</v>
      </c>
      <c r="L173" s="575">
        <v>0</v>
      </c>
      <c r="M173" s="575">
        <v>0</v>
      </c>
      <c r="N173" s="575">
        <v>0</v>
      </c>
      <c r="O173" s="575">
        <v>0</v>
      </c>
      <c r="P173" s="575">
        <v>0</v>
      </c>
      <c r="Q173" s="575">
        <v>0</v>
      </c>
      <c r="R173" s="575">
        <v>0</v>
      </c>
      <c r="S173" s="575">
        <v>0</v>
      </c>
      <c r="T173" s="576">
        <v>0</v>
      </c>
    </row>
    <row r="174" spans="3:20">
      <c r="C174" s="567" t="s">
        <v>157</v>
      </c>
      <c r="D174" s="558" t="str">
        <f t="shared" ref="D174:D177" si="120">$C$170</f>
        <v>도연시스템즈</v>
      </c>
      <c r="E174" s="558" t="s">
        <v>1090</v>
      </c>
      <c r="F174" s="558" t="s">
        <v>1155</v>
      </c>
      <c r="G174" s="577">
        <v>0</v>
      </c>
      <c r="H174" s="577">
        <v>0</v>
      </c>
      <c r="I174" s="578">
        <v>0</v>
      </c>
      <c r="J174" s="578">
        <v>0</v>
      </c>
      <c r="K174" s="578">
        <v>0</v>
      </c>
      <c r="L174" s="578">
        <v>0</v>
      </c>
      <c r="M174" s="578">
        <v>0</v>
      </c>
      <c r="N174" s="578">
        <v>0</v>
      </c>
      <c r="O174" s="578">
        <v>0</v>
      </c>
      <c r="P174" s="578">
        <v>0</v>
      </c>
      <c r="Q174" s="578">
        <v>0</v>
      </c>
      <c r="R174" s="578">
        <v>0</v>
      </c>
      <c r="S174" s="578">
        <v>0</v>
      </c>
      <c r="T174" s="579">
        <v>0</v>
      </c>
    </row>
    <row r="175" spans="3:20">
      <c r="C175" s="567" t="s">
        <v>1522</v>
      </c>
      <c r="D175" s="558" t="str">
        <f t="shared" si="120"/>
        <v>도연시스템즈</v>
      </c>
      <c r="E175" s="558" t="s">
        <v>1153</v>
      </c>
      <c r="F175" s="558" t="s">
        <v>1156</v>
      </c>
      <c r="G175" s="577">
        <v>86957860</v>
      </c>
      <c r="H175" s="577">
        <v>86957860</v>
      </c>
      <c r="I175" s="578">
        <v>0</v>
      </c>
      <c r="J175" s="578">
        <v>0</v>
      </c>
      <c r="K175" s="578">
        <v>0</v>
      </c>
      <c r="L175" s="578">
        <v>0</v>
      </c>
      <c r="M175" s="578">
        <v>0</v>
      </c>
      <c r="N175" s="578">
        <v>0</v>
      </c>
      <c r="O175" s="578">
        <v>0</v>
      </c>
      <c r="P175" s="578">
        <v>0</v>
      </c>
      <c r="Q175" s="578">
        <v>0</v>
      </c>
      <c r="R175" s="578">
        <v>0</v>
      </c>
      <c r="S175" s="578">
        <v>0</v>
      </c>
      <c r="T175" s="579">
        <v>0</v>
      </c>
    </row>
    <row r="176" spans="3:20">
      <c r="C176" s="567" t="s">
        <v>157</v>
      </c>
      <c r="D176" s="558" t="str">
        <f t="shared" si="120"/>
        <v>도연시스템즈</v>
      </c>
      <c r="E176" s="558" t="s">
        <v>1153</v>
      </c>
      <c r="F176" s="558" t="s">
        <v>1157</v>
      </c>
      <c r="G176" s="577">
        <v>55200000</v>
      </c>
      <c r="H176" s="577">
        <v>55200000</v>
      </c>
      <c r="I176" s="578">
        <v>0</v>
      </c>
      <c r="J176" s="578">
        <v>0</v>
      </c>
      <c r="K176" s="578">
        <v>0</v>
      </c>
      <c r="L176" s="578">
        <v>0</v>
      </c>
      <c r="M176" s="578">
        <v>0</v>
      </c>
      <c r="N176" s="578">
        <v>0</v>
      </c>
      <c r="O176" s="578">
        <v>0</v>
      </c>
      <c r="P176" s="578">
        <v>0</v>
      </c>
      <c r="Q176" s="578">
        <v>0</v>
      </c>
      <c r="R176" s="578">
        <v>0</v>
      </c>
      <c r="S176" s="578">
        <v>0</v>
      </c>
      <c r="T176" s="579">
        <v>0</v>
      </c>
    </row>
    <row r="177" spans="3:20">
      <c r="C177" s="567" t="s">
        <v>157</v>
      </c>
      <c r="D177" s="558" t="str">
        <f t="shared" si="120"/>
        <v>도연시스템즈</v>
      </c>
      <c r="E177" s="559" t="s">
        <v>1153</v>
      </c>
      <c r="F177" s="559" t="s">
        <v>1158</v>
      </c>
      <c r="G177" s="577">
        <v>0</v>
      </c>
      <c r="H177" s="577">
        <v>0</v>
      </c>
      <c r="I177" s="578">
        <v>0</v>
      </c>
      <c r="J177" s="578">
        <v>0</v>
      </c>
      <c r="K177" s="578">
        <v>0</v>
      </c>
      <c r="L177" s="578">
        <v>0</v>
      </c>
      <c r="M177" s="578">
        <v>0</v>
      </c>
      <c r="N177" s="578">
        <v>0</v>
      </c>
      <c r="O177" s="578">
        <v>0</v>
      </c>
      <c r="P177" s="578">
        <v>0</v>
      </c>
      <c r="Q177" s="578">
        <v>0</v>
      </c>
      <c r="R177" s="578">
        <v>0</v>
      </c>
      <c r="S177" s="578">
        <v>0</v>
      </c>
      <c r="T177" s="579">
        <v>0</v>
      </c>
    </row>
    <row r="178" spans="3:20">
      <c r="C178" s="568" t="s">
        <v>1159</v>
      </c>
      <c r="D178" s="560"/>
      <c r="E178" s="560"/>
      <c r="F178" s="560"/>
      <c r="G178" s="561">
        <f t="shared" ref="G178:G190" si="121">SUM(H178:I178)</f>
        <v>142157860</v>
      </c>
      <c r="H178" s="561">
        <f>SUM(H173:H177)</f>
        <v>142157860</v>
      </c>
      <c r="I178" s="561">
        <f>SUM(I173:I177)</f>
        <v>0</v>
      </c>
      <c r="J178" s="561">
        <f t="shared" ref="J178:T178" si="122">SUM(J173:J177)</f>
        <v>0</v>
      </c>
      <c r="K178" s="561">
        <f t="shared" si="122"/>
        <v>0</v>
      </c>
      <c r="L178" s="561">
        <f t="shared" si="122"/>
        <v>0</v>
      </c>
      <c r="M178" s="561">
        <f t="shared" si="122"/>
        <v>0</v>
      </c>
      <c r="N178" s="561">
        <f t="shared" si="122"/>
        <v>0</v>
      </c>
      <c r="O178" s="561">
        <f t="shared" si="122"/>
        <v>0</v>
      </c>
      <c r="P178" s="561">
        <f t="shared" si="122"/>
        <v>0</v>
      </c>
      <c r="Q178" s="561">
        <f t="shared" si="122"/>
        <v>0</v>
      </c>
      <c r="R178" s="561">
        <f t="shared" si="122"/>
        <v>0</v>
      </c>
      <c r="S178" s="561">
        <f t="shared" si="122"/>
        <v>0</v>
      </c>
      <c r="T178" s="569">
        <f t="shared" si="122"/>
        <v>0</v>
      </c>
    </row>
    <row r="179" spans="3:20">
      <c r="C179" s="567" t="s">
        <v>157</v>
      </c>
      <c r="D179" s="558" t="str">
        <f>$C$170</f>
        <v>도연시스템즈</v>
      </c>
      <c r="E179" s="558" t="s">
        <v>152</v>
      </c>
      <c r="F179" s="558" t="s">
        <v>153</v>
      </c>
      <c r="G179" s="577">
        <v>0</v>
      </c>
      <c r="H179" s="577">
        <v>0</v>
      </c>
      <c r="I179" s="577">
        <v>0</v>
      </c>
      <c r="J179" s="577">
        <v>0</v>
      </c>
      <c r="K179" s="577">
        <v>0</v>
      </c>
      <c r="L179" s="577">
        <v>0</v>
      </c>
      <c r="M179" s="577">
        <v>0</v>
      </c>
      <c r="N179" s="577">
        <v>0</v>
      </c>
      <c r="O179" s="577">
        <v>0</v>
      </c>
      <c r="P179" s="577">
        <v>0</v>
      </c>
      <c r="Q179" s="577">
        <v>0</v>
      </c>
      <c r="R179" s="577">
        <v>0</v>
      </c>
      <c r="S179" s="577">
        <v>0</v>
      </c>
      <c r="T179" s="581">
        <v>0</v>
      </c>
    </row>
    <row r="180" spans="3:20">
      <c r="C180" s="567" t="s">
        <v>157</v>
      </c>
      <c r="D180" s="558" t="str">
        <f t="shared" ref="D180:D183" si="123">$C$170</f>
        <v>도연시스템즈</v>
      </c>
      <c r="E180" s="558" t="s">
        <v>1160</v>
      </c>
      <c r="F180" s="558" t="s">
        <v>1161</v>
      </c>
      <c r="G180" s="577">
        <v>0</v>
      </c>
      <c r="H180" s="577">
        <v>0</v>
      </c>
      <c r="I180" s="577">
        <v>0</v>
      </c>
      <c r="J180" s="577">
        <v>0</v>
      </c>
      <c r="K180" s="577">
        <v>0</v>
      </c>
      <c r="L180" s="577">
        <v>0</v>
      </c>
      <c r="M180" s="577">
        <v>0</v>
      </c>
      <c r="N180" s="577">
        <v>0</v>
      </c>
      <c r="O180" s="577">
        <v>0</v>
      </c>
      <c r="P180" s="577">
        <v>0</v>
      </c>
      <c r="Q180" s="577">
        <v>0</v>
      </c>
      <c r="R180" s="577">
        <v>0</v>
      </c>
      <c r="S180" s="577">
        <v>0</v>
      </c>
      <c r="T180" s="581">
        <v>0</v>
      </c>
    </row>
    <row r="181" spans="3:20">
      <c r="C181" s="567" t="s">
        <v>1522</v>
      </c>
      <c r="D181" s="558" t="str">
        <f t="shared" si="123"/>
        <v>도연시스템즈</v>
      </c>
      <c r="E181" s="559" t="s">
        <v>1160</v>
      </c>
      <c r="F181" s="559" t="s">
        <v>1158</v>
      </c>
      <c r="G181" s="577">
        <v>0</v>
      </c>
      <c r="H181" s="577">
        <v>0</v>
      </c>
      <c r="I181" s="577">
        <v>0</v>
      </c>
      <c r="J181" s="577">
        <v>0</v>
      </c>
      <c r="K181" s="577">
        <v>0</v>
      </c>
      <c r="L181" s="577">
        <v>0</v>
      </c>
      <c r="M181" s="577">
        <v>0</v>
      </c>
      <c r="N181" s="577">
        <v>0</v>
      </c>
      <c r="O181" s="577">
        <v>0</v>
      </c>
      <c r="P181" s="577">
        <v>0</v>
      </c>
      <c r="Q181" s="577">
        <v>0</v>
      </c>
      <c r="R181" s="577">
        <v>0</v>
      </c>
      <c r="S181" s="577">
        <v>0</v>
      </c>
      <c r="T181" s="581">
        <v>0</v>
      </c>
    </row>
    <row r="182" spans="3:20">
      <c r="C182" s="567" t="s">
        <v>157</v>
      </c>
      <c r="D182" s="558" t="str">
        <f t="shared" si="123"/>
        <v>도연시스템즈</v>
      </c>
      <c r="E182" s="559" t="s">
        <v>1160</v>
      </c>
      <c r="F182" s="559" t="s">
        <v>151</v>
      </c>
      <c r="G182" s="577">
        <v>0</v>
      </c>
      <c r="H182" s="577">
        <v>0</v>
      </c>
      <c r="I182" s="577">
        <v>0</v>
      </c>
      <c r="J182" s="577">
        <v>0</v>
      </c>
      <c r="K182" s="577">
        <v>0</v>
      </c>
      <c r="L182" s="577">
        <v>0</v>
      </c>
      <c r="M182" s="577">
        <v>0</v>
      </c>
      <c r="N182" s="577">
        <v>0</v>
      </c>
      <c r="O182" s="577">
        <v>0</v>
      </c>
      <c r="P182" s="577">
        <v>0</v>
      </c>
      <c r="Q182" s="577">
        <v>0</v>
      </c>
      <c r="R182" s="577">
        <v>0</v>
      </c>
      <c r="S182" s="577">
        <v>0</v>
      </c>
      <c r="T182" s="581">
        <v>0</v>
      </c>
    </row>
    <row r="183" spans="3:20">
      <c r="C183" s="567" t="s">
        <v>157</v>
      </c>
      <c r="D183" s="558" t="str">
        <f t="shared" si="123"/>
        <v>도연시스템즈</v>
      </c>
      <c r="E183" s="559" t="s">
        <v>270</v>
      </c>
      <c r="F183" s="559" t="s">
        <v>151</v>
      </c>
      <c r="G183" s="577">
        <v>0</v>
      </c>
      <c r="H183" s="577">
        <v>0</v>
      </c>
      <c r="I183" s="577">
        <v>0</v>
      </c>
      <c r="J183" s="577">
        <v>0</v>
      </c>
      <c r="K183" s="577">
        <v>0</v>
      </c>
      <c r="L183" s="577">
        <v>0</v>
      </c>
      <c r="M183" s="577">
        <v>0</v>
      </c>
      <c r="N183" s="577">
        <v>0</v>
      </c>
      <c r="O183" s="577">
        <v>0</v>
      </c>
      <c r="P183" s="577">
        <v>0</v>
      </c>
      <c r="Q183" s="577">
        <v>0</v>
      </c>
      <c r="R183" s="577">
        <v>0</v>
      </c>
      <c r="S183" s="577">
        <v>0</v>
      </c>
      <c r="T183" s="581">
        <v>0</v>
      </c>
    </row>
    <row r="184" spans="3:20">
      <c r="C184" s="568" t="s">
        <v>231</v>
      </c>
      <c r="D184" s="560"/>
      <c r="E184" s="560"/>
      <c r="F184" s="560"/>
      <c r="G184" s="561">
        <f t="shared" si="121"/>
        <v>0</v>
      </c>
      <c r="H184" s="561">
        <f>SUM(H179:H183)</f>
        <v>0</v>
      </c>
      <c r="I184" s="561">
        <f>SUM(I179:I183)</f>
        <v>0</v>
      </c>
      <c r="J184" s="561">
        <f t="shared" ref="J184:T184" si="124">SUM(J179:J183)</f>
        <v>0</v>
      </c>
      <c r="K184" s="561">
        <f t="shared" si="124"/>
        <v>0</v>
      </c>
      <c r="L184" s="561">
        <f t="shared" si="124"/>
        <v>0</v>
      </c>
      <c r="M184" s="561">
        <f t="shared" si="124"/>
        <v>0</v>
      </c>
      <c r="N184" s="561">
        <f t="shared" si="124"/>
        <v>0</v>
      </c>
      <c r="O184" s="561">
        <f t="shared" si="124"/>
        <v>0</v>
      </c>
      <c r="P184" s="561">
        <f t="shared" si="124"/>
        <v>0</v>
      </c>
      <c r="Q184" s="561">
        <f t="shared" si="124"/>
        <v>0</v>
      </c>
      <c r="R184" s="561">
        <f t="shared" si="124"/>
        <v>0</v>
      </c>
      <c r="S184" s="561">
        <f t="shared" si="124"/>
        <v>0</v>
      </c>
      <c r="T184" s="569">
        <f t="shared" si="124"/>
        <v>0</v>
      </c>
    </row>
    <row r="185" spans="3:20">
      <c r="C185" s="567" t="s">
        <v>157</v>
      </c>
      <c r="D185" s="558" t="str">
        <f>$C$170</f>
        <v>도연시스템즈</v>
      </c>
      <c r="E185" s="558" t="s">
        <v>271</v>
      </c>
      <c r="F185" s="558" t="s">
        <v>267</v>
      </c>
      <c r="G185" s="577">
        <v>0</v>
      </c>
      <c r="H185" s="577">
        <v>0</v>
      </c>
      <c r="I185" s="577">
        <v>0</v>
      </c>
      <c r="J185" s="577">
        <v>0</v>
      </c>
      <c r="K185" s="577">
        <v>0</v>
      </c>
      <c r="L185" s="577">
        <v>0</v>
      </c>
      <c r="M185" s="577">
        <v>0</v>
      </c>
      <c r="N185" s="577">
        <v>0</v>
      </c>
      <c r="O185" s="577">
        <v>0</v>
      </c>
      <c r="P185" s="577">
        <v>0</v>
      </c>
      <c r="Q185" s="577">
        <v>0</v>
      </c>
      <c r="R185" s="577">
        <v>0</v>
      </c>
      <c r="S185" s="577">
        <v>0</v>
      </c>
      <c r="T185" s="581">
        <v>0</v>
      </c>
    </row>
    <row r="186" spans="3:20">
      <c r="C186" s="567" t="s">
        <v>157</v>
      </c>
      <c r="D186" s="558" t="str">
        <f t="shared" ref="D186:D189" si="125">$C$170</f>
        <v>도연시스템즈</v>
      </c>
      <c r="E186" s="558" t="s">
        <v>271</v>
      </c>
      <c r="F186" s="558" t="s">
        <v>1162</v>
      </c>
      <c r="G186" s="577">
        <v>152136200.79999998</v>
      </c>
      <c r="H186" s="577">
        <v>0</v>
      </c>
      <c r="I186" s="577">
        <v>152136200.79999998</v>
      </c>
      <c r="J186" s="577">
        <v>0</v>
      </c>
      <c r="K186" s="577">
        <v>13872000</v>
      </c>
      <c r="L186" s="577">
        <v>13872000</v>
      </c>
      <c r="M186" s="577">
        <v>17770314.400000002</v>
      </c>
      <c r="N186" s="577">
        <v>17770314.400000002</v>
      </c>
      <c r="O186" s="577">
        <v>17770314.400000002</v>
      </c>
      <c r="P186" s="577">
        <v>17770314.400000002</v>
      </c>
      <c r="Q186" s="577">
        <v>17770314.400000002</v>
      </c>
      <c r="R186" s="577">
        <v>17770314.400000002</v>
      </c>
      <c r="S186" s="577">
        <v>17770314.400000002</v>
      </c>
      <c r="T186" s="581">
        <v>0</v>
      </c>
    </row>
    <row r="187" spans="3:20">
      <c r="C187" s="567" t="s">
        <v>1522</v>
      </c>
      <c r="D187" s="558" t="str">
        <f t="shared" si="125"/>
        <v>도연시스템즈</v>
      </c>
      <c r="E187" s="558" t="s">
        <v>1163</v>
      </c>
      <c r="F187" s="558" t="s">
        <v>269</v>
      </c>
      <c r="G187" s="577">
        <v>55080000</v>
      </c>
      <c r="H187" s="577">
        <v>0</v>
      </c>
      <c r="I187" s="577">
        <v>55080000</v>
      </c>
      <c r="J187" s="577">
        <v>0</v>
      </c>
      <c r="K187" s="577">
        <v>6120000</v>
      </c>
      <c r="L187" s="577">
        <v>6120000</v>
      </c>
      <c r="M187" s="577">
        <v>6120000</v>
      </c>
      <c r="N187" s="577">
        <v>6120000</v>
      </c>
      <c r="O187" s="577">
        <v>6120000</v>
      </c>
      <c r="P187" s="577">
        <v>6120000</v>
      </c>
      <c r="Q187" s="577">
        <v>6120000</v>
      </c>
      <c r="R187" s="577">
        <v>6120000</v>
      </c>
      <c r="S187" s="577">
        <v>6120000</v>
      </c>
      <c r="T187" s="581">
        <v>0</v>
      </c>
    </row>
    <row r="188" spans="3:20">
      <c r="C188" s="567" t="s">
        <v>157</v>
      </c>
      <c r="D188" s="558" t="str">
        <f t="shared" si="125"/>
        <v>도연시스템즈</v>
      </c>
      <c r="E188" s="559" t="s">
        <v>271</v>
      </c>
      <c r="F188" s="559" t="s">
        <v>151</v>
      </c>
      <c r="G188" s="577">
        <v>0</v>
      </c>
      <c r="H188" s="577">
        <v>0</v>
      </c>
      <c r="I188" s="577">
        <v>0</v>
      </c>
      <c r="J188" s="577">
        <v>0</v>
      </c>
      <c r="K188" s="577">
        <v>0</v>
      </c>
      <c r="L188" s="577">
        <v>0</v>
      </c>
      <c r="M188" s="577">
        <v>0</v>
      </c>
      <c r="N188" s="577">
        <v>0</v>
      </c>
      <c r="O188" s="577">
        <v>0</v>
      </c>
      <c r="P188" s="577">
        <v>0</v>
      </c>
      <c r="Q188" s="577">
        <v>0</v>
      </c>
      <c r="R188" s="577">
        <v>0</v>
      </c>
      <c r="S188" s="577">
        <v>0</v>
      </c>
      <c r="T188" s="581">
        <v>0</v>
      </c>
    </row>
    <row r="189" spans="3:20">
      <c r="C189" s="567" t="s">
        <v>157</v>
      </c>
      <c r="D189" s="558" t="str">
        <f t="shared" si="125"/>
        <v>도연시스템즈</v>
      </c>
      <c r="E189" s="559" t="s">
        <v>271</v>
      </c>
      <c r="F189" s="559" t="s">
        <v>1158</v>
      </c>
      <c r="G189" s="577">
        <v>0</v>
      </c>
      <c r="H189" s="577">
        <v>0</v>
      </c>
      <c r="I189" s="577">
        <v>0</v>
      </c>
      <c r="J189" s="577">
        <v>0</v>
      </c>
      <c r="K189" s="577">
        <v>0</v>
      </c>
      <c r="L189" s="577">
        <v>0</v>
      </c>
      <c r="M189" s="577">
        <v>0</v>
      </c>
      <c r="N189" s="577">
        <v>0</v>
      </c>
      <c r="O189" s="577">
        <v>0</v>
      </c>
      <c r="P189" s="577">
        <v>0</v>
      </c>
      <c r="Q189" s="577">
        <v>0</v>
      </c>
      <c r="R189" s="577">
        <v>0</v>
      </c>
      <c r="S189" s="577">
        <v>0</v>
      </c>
      <c r="T189" s="581">
        <v>0</v>
      </c>
    </row>
    <row r="190" spans="3:20" ht="18" thickBot="1">
      <c r="C190" s="570" t="s">
        <v>231</v>
      </c>
      <c r="D190" s="571"/>
      <c r="E190" s="571"/>
      <c r="F190" s="571"/>
      <c r="G190" s="572">
        <f t="shared" si="121"/>
        <v>207216200.79999998</v>
      </c>
      <c r="H190" s="572">
        <f>SUM(H185:H189)</f>
        <v>0</v>
      </c>
      <c r="I190" s="572">
        <f>SUM(I185:I189)</f>
        <v>207216200.79999998</v>
      </c>
      <c r="J190" s="572">
        <f t="shared" ref="J190:T190" si="126">SUM(J185:J189)</f>
        <v>0</v>
      </c>
      <c r="K190" s="572">
        <f t="shared" si="126"/>
        <v>19992000</v>
      </c>
      <c r="L190" s="572">
        <f t="shared" si="126"/>
        <v>19992000</v>
      </c>
      <c r="M190" s="572">
        <f t="shared" si="126"/>
        <v>23890314.400000002</v>
      </c>
      <c r="N190" s="572">
        <f t="shared" si="126"/>
        <v>23890314.400000002</v>
      </c>
      <c r="O190" s="572">
        <f t="shared" si="126"/>
        <v>23890314.400000002</v>
      </c>
      <c r="P190" s="572">
        <f t="shared" si="126"/>
        <v>23890314.400000002</v>
      </c>
      <c r="Q190" s="572">
        <f t="shared" si="126"/>
        <v>23890314.400000002</v>
      </c>
      <c r="R190" s="572">
        <f t="shared" si="126"/>
        <v>23890314.400000002</v>
      </c>
      <c r="S190" s="572">
        <f t="shared" si="126"/>
        <v>23890314.400000002</v>
      </c>
      <c r="T190" s="573">
        <f t="shared" si="126"/>
        <v>0</v>
      </c>
    </row>
    <row r="193" spans="3:20" ht="18" hidden="1" thickBot="1"/>
    <row r="194" spans="3:20" hidden="1">
      <c r="C194" s="43" t="s">
        <v>672</v>
      </c>
      <c r="G194" s="50">
        <f>SUM(G202,G208,G214)</f>
        <v>0</v>
      </c>
      <c r="H194" s="48">
        <f t="shared" ref="H194:T194" si="127">SUM(H202,H208,H214)</f>
        <v>0</v>
      </c>
      <c r="I194" s="48">
        <f t="shared" si="127"/>
        <v>0</v>
      </c>
      <c r="J194" s="48">
        <f t="shared" si="127"/>
        <v>0</v>
      </c>
      <c r="K194" s="48">
        <f t="shared" si="127"/>
        <v>0</v>
      </c>
      <c r="L194" s="48">
        <f t="shared" si="127"/>
        <v>0</v>
      </c>
      <c r="M194" s="48">
        <f t="shared" si="127"/>
        <v>0</v>
      </c>
      <c r="N194" s="48">
        <f t="shared" si="127"/>
        <v>0</v>
      </c>
      <c r="O194" s="48">
        <f t="shared" si="127"/>
        <v>0</v>
      </c>
      <c r="P194" s="48">
        <f t="shared" si="127"/>
        <v>0</v>
      </c>
      <c r="Q194" s="48">
        <f t="shared" si="127"/>
        <v>0</v>
      </c>
      <c r="R194" s="48">
        <f t="shared" si="127"/>
        <v>0</v>
      </c>
      <c r="S194" s="48">
        <f t="shared" si="127"/>
        <v>0</v>
      </c>
      <c r="T194" s="49">
        <f t="shared" si="127"/>
        <v>0</v>
      </c>
    </row>
    <row r="195" spans="3:20" ht="18" hidden="1" thickBot="1">
      <c r="G195" s="47"/>
      <c r="H195" s="47"/>
      <c r="I195" s="47"/>
      <c r="J195" s="47"/>
      <c r="K195" s="47"/>
      <c r="L195" s="47"/>
      <c r="M195" s="47"/>
      <c r="N195" s="47"/>
      <c r="O195" s="47"/>
      <c r="P195" s="47"/>
      <c r="Q195" s="47"/>
      <c r="R195" s="47"/>
      <c r="S195" s="47"/>
      <c r="T195" s="47"/>
    </row>
    <row r="196" spans="3:20" hidden="1">
      <c r="C196" s="563" t="s">
        <v>273</v>
      </c>
      <c r="D196" s="564" t="s">
        <v>1086</v>
      </c>
      <c r="E196" s="564" t="s">
        <v>1107</v>
      </c>
      <c r="F196" s="564" t="s">
        <v>1164</v>
      </c>
      <c r="G196" s="564" t="s">
        <v>265</v>
      </c>
      <c r="H196" s="564" t="s">
        <v>263</v>
      </c>
      <c r="I196" s="564" t="s">
        <v>264</v>
      </c>
      <c r="J196" s="564" t="s">
        <v>1165</v>
      </c>
      <c r="K196" s="564" t="s">
        <v>232</v>
      </c>
      <c r="L196" s="564" t="s">
        <v>233</v>
      </c>
      <c r="M196" s="564" t="s">
        <v>234</v>
      </c>
      <c r="N196" s="564" t="s">
        <v>235</v>
      </c>
      <c r="O196" s="564" t="s">
        <v>236</v>
      </c>
      <c r="P196" s="564" t="s">
        <v>237</v>
      </c>
      <c r="Q196" s="564" t="s">
        <v>238</v>
      </c>
      <c r="R196" s="564" t="s">
        <v>239</v>
      </c>
      <c r="S196" s="564" t="s">
        <v>240</v>
      </c>
      <c r="T196" s="565" t="s">
        <v>172</v>
      </c>
    </row>
    <row r="197" spans="3:20" hidden="1">
      <c r="C197" s="566" t="s">
        <v>1121</v>
      </c>
      <c r="D197" s="562" t="str">
        <f>$C$194</f>
        <v>지어소프트</v>
      </c>
      <c r="E197" s="562" t="s">
        <v>1153</v>
      </c>
      <c r="F197" s="562" t="s">
        <v>1154</v>
      </c>
      <c r="G197" s="574">
        <v>0</v>
      </c>
      <c r="H197" s="574">
        <v>0</v>
      </c>
      <c r="I197" s="575">
        <v>0</v>
      </c>
      <c r="J197" s="575">
        <v>0</v>
      </c>
      <c r="K197" s="575">
        <v>0</v>
      </c>
      <c r="L197" s="575">
        <v>0</v>
      </c>
      <c r="M197" s="575">
        <v>0</v>
      </c>
      <c r="N197" s="575">
        <v>0</v>
      </c>
      <c r="O197" s="575">
        <v>0</v>
      </c>
      <c r="P197" s="575">
        <v>0</v>
      </c>
      <c r="Q197" s="575">
        <v>0</v>
      </c>
      <c r="R197" s="575">
        <v>0</v>
      </c>
      <c r="S197" s="575">
        <v>0</v>
      </c>
      <c r="T197" s="576">
        <v>0</v>
      </c>
    </row>
    <row r="198" spans="3:20" hidden="1">
      <c r="C198" s="567" t="s">
        <v>288</v>
      </c>
      <c r="D198" s="558" t="str">
        <f t="shared" ref="D198:D201" si="128">$C$194</f>
        <v>지어소프트</v>
      </c>
      <c r="E198" s="558" t="s">
        <v>247</v>
      </c>
      <c r="F198" s="558" t="s">
        <v>1166</v>
      </c>
      <c r="G198" s="577">
        <v>0</v>
      </c>
      <c r="H198" s="577">
        <v>0</v>
      </c>
      <c r="I198" s="578">
        <v>0</v>
      </c>
      <c r="J198" s="578">
        <v>0</v>
      </c>
      <c r="K198" s="578">
        <v>0</v>
      </c>
      <c r="L198" s="578">
        <v>0</v>
      </c>
      <c r="M198" s="578">
        <v>0</v>
      </c>
      <c r="N198" s="578">
        <v>0</v>
      </c>
      <c r="O198" s="578">
        <v>0</v>
      </c>
      <c r="P198" s="578">
        <v>0</v>
      </c>
      <c r="Q198" s="578">
        <v>0</v>
      </c>
      <c r="R198" s="578">
        <v>0</v>
      </c>
      <c r="S198" s="578">
        <v>0</v>
      </c>
      <c r="T198" s="579">
        <v>0</v>
      </c>
    </row>
    <row r="199" spans="3:20" hidden="1">
      <c r="C199" s="567" t="s">
        <v>288</v>
      </c>
      <c r="D199" s="558" t="str">
        <f t="shared" si="128"/>
        <v>지어소프트</v>
      </c>
      <c r="E199" s="558" t="s">
        <v>247</v>
      </c>
      <c r="F199" s="558" t="s">
        <v>268</v>
      </c>
      <c r="G199" s="577">
        <v>0</v>
      </c>
      <c r="H199" s="577">
        <v>0</v>
      </c>
      <c r="I199" s="578">
        <v>0</v>
      </c>
      <c r="J199" s="578">
        <v>0</v>
      </c>
      <c r="K199" s="578">
        <v>0</v>
      </c>
      <c r="L199" s="578">
        <v>0</v>
      </c>
      <c r="M199" s="578">
        <v>0</v>
      </c>
      <c r="N199" s="578">
        <v>0</v>
      </c>
      <c r="O199" s="578">
        <v>0</v>
      </c>
      <c r="P199" s="578">
        <v>0</v>
      </c>
      <c r="Q199" s="578">
        <v>0</v>
      </c>
      <c r="R199" s="578">
        <v>0</v>
      </c>
      <c r="S199" s="578">
        <v>0</v>
      </c>
      <c r="T199" s="579">
        <v>0</v>
      </c>
    </row>
    <row r="200" spans="3:20" hidden="1">
      <c r="C200" s="567" t="s">
        <v>288</v>
      </c>
      <c r="D200" s="558" t="str">
        <f t="shared" si="128"/>
        <v>지어소프트</v>
      </c>
      <c r="E200" s="558" t="s">
        <v>247</v>
      </c>
      <c r="F200" s="558" t="s">
        <v>1167</v>
      </c>
      <c r="G200" s="577">
        <v>0</v>
      </c>
      <c r="H200" s="577">
        <v>0</v>
      </c>
      <c r="I200" s="578">
        <v>0</v>
      </c>
      <c r="J200" s="578">
        <v>0</v>
      </c>
      <c r="K200" s="578">
        <v>0</v>
      </c>
      <c r="L200" s="578">
        <v>0</v>
      </c>
      <c r="M200" s="578">
        <v>0</v>
      </c>
      <c r="N200" s="578">
        <v>0</v>
      </c>
      <c r="O200" s="578">
        <v>0</v>
      </c>
      <c r="P200" s="578">
        <v>0</v>
      </c>
      <c r="Q200" s="578">
        <v>0</v>
      </c>
      <c r="R200" s="578">
        <v>0</v>
      </c>
      <c r="S200" s="578">
        <v>0</v>
      </c>
      <c r="T200" s="579">
        <v>0</v>
      </c>
    </row>
    <row r="201" spans="3:20" hidden="1">
      <c r="C201" s="583" t="s">
        <v>288</v>
      </c>
      <c r="D201" s="558" t="str">
        <f t="shared" si="128"/>
        <v>지어소프트</v>
      </c>
      <c r="E201" s="559" t="s">
        <v>247</v>
      </c>
      <c r="F201" s="559" t="s">
        <v>1158</v>
      </c>
      <c r="G201" s="577">
        <v>0</v>
      </c>
      <c r="H201" s="577">
        <v>0</v>
      </c>
      <c r="I201" s="578">
        <v>0</v>
      </c>
      <c r="J201" s="578">
        <v>0</v>
      </c>
      <c r="K201" s="578">
        <v>0</v>
      </c>
      <c r="L201" s="578">
        <v>0</v>
      </c>
      <c r="M201" s="578">
        <v>0</v>
      </c>
      <c r="N201" s="578">
        <v>0</v>
      </c>
      <c r="O201" s="578">
        <v>0</v>
      </c>
      <c r="P201" s="578">
        <v>0</v>
      </c>
      <c r="Q201" s="578">
        <v>0</v>
      </c>
      <c r="R201" s="578">
        <v>0</v>
      </c>
      <c r="S201" s="578">
        <v>0</v>
      </c>
      <c r="T201" s="579">
        <v>0</v>
      </c>
    </row>
    <row r="202" spans="3:20" hidden="1">
      <c r="C202" s="568" t="s">
        <v>231</v>
      </c>
      <c r="D202" s="560"/>
      <c r="E202" s="560"/>
      <c r="F202" s="560"/>
      <c r="G202" s="561">
        <f t="shared" ref="G202:G214" si="129">SUM(H202:I202)</f>
        <v>0</v>
      </c>
      <c r="H202" s="561">
        <f>SUM(H197:H201)</f>
        <v>0</v>
      </c>
      <c r="I202" s="561">
        <f>SUM(I197:I201)</f>
        <v>0</v>
      </c>
      <c r="J202" s="561">
        <f t="shared" ref="J202:T202" si="130">SUM(J197:J201)</f>
        <v>0</v>
      </c>
      <c r="K202" s="561">
        <f t="shared" si="130"/>
        <v>0</v>
      </c>
      <c r="L202" s="561">
        <f t="shared" si="130"/>
        <v>0</v>
      </c>
      <c r="M202" s="561">
        <f t="shared" si="130"/>
        <v>0</v>
      </c>
      <c r="N202" s="561">
        <f t="shared" si="130"/>
        <v>0</v>
      </c>
      <c r="O202" s="561">
        <f t="shared" si="130"/>
        <v>0</v>
      </c>
      <c r="P202" s="561">
        <f t="shared" si="130"/>
        <v>0</v>
      </c>
      <c r="Q202" s="561">
        <f t="shared" si="130"/>
        <v>0</v>
      </c>
      <c r="R202" s="561">
        <f t="shared" si="130"/>
        <v>0</v>
      </c>
      <c r="S202" s="561">
        <f t="shared" si="130"/>
        <v>0</v>
      </c>
      <c r="T202" s="569">
        <f t="shared" si="130"/>
        <v>0</v>
      </c>
    </row>
    <row r="203" spans="3:20" hidden="1">
      <c r="C203" s="567" t="s">
        <v>288</v>
      </c>
      <c r="D203" s="558" t="str">
        <f>$C$194</f>
        <v>지어소프트</v>
      </c>
      <c r="E203" s="558" t="s">
        <v>152</v>
      </c>
      <c r="F203" s="558" t="s">
        <v>153</v>
      </c>
      <c r="G203" s="577">
        <v>0</v>
      </c>
      <c r="H203" s="577">
        <v>0</v>
      </c>
      <c r="I203" s="577">
        <v>0</v>
      </c>
      <c r="J203" s="577">
        <v>0</v>
      </c>
      <c r="K203" s="577">
        <v>0</v>
      </c>
      <c r="L203" s="577">
        <v>0</v>
      </c>
      <c r="M203" s="577">
        <v>0</v>
      </c>
      <c r="N203" s="577">
        <v>0</v>
      </c>
      <c r="O203" s="577">
        <v>0</v>
      </c>
      <c r="P203" s="577">
        <v>0</v>
      </c>
      <c r="Q203" s="577">
        <v>0</v>
      </c>
      <c r="R203" s="577">
        <v>0</v>
      </c>
      <c r="S203" s="577">
        <v>0</v>
      </c>
      <c r="T203" s="581">
        <v>0</v>
      </c>
    </row>
    <row r="204" spans="3:20" hidden="1">
      <c r="C204" s="567" t="s">
        <v>288</v>
      </c>
      <c r="D204" s="558" t="str">
        <f t="shared" ref="D204:D207" si="131">$C$194</f>
        <v>지어소프트</v>
      </c>
      <c r="E204" s="558" t="s">
        <v>1168</v>
      </c>
      <c r="F204" s="558" t="s">
        <v>1161</v>
      </c>
      <c r="G204" s="577">
        <v>0</v>
      </c>
      <c r="H204" s="577">
        <v>0</v>
      </c>
      <c r="I204" s="577">
        <v>0</v>
      </c>
      <c r="J204" s="577">
        <v>0</v>
      </c>
      <c r="K204" s="577">
        <v>0</v>
      </c>
      <c r="L204" s="577">
        <v>0</v>
      </c>
      <c r="M204" s="577">
        <v>0</v>
      </c>
      <c r="N204" s="577">
        <v>0</v>
      </c>
      <c r="O204" s="577">
        <v>0</v>
      </c>
      <c r="P204" s="577">
        <v>0</v>
      </c>
      <c r="Q204" s="577">
        <v>0</v>
      </c>
      <c r="R204" s="577">
        <v>0</v>
      </c>
      <c r="S204" s="577">
        <v>0</v>
      </c>
      <c r="T204" s="581">
        <v>0</v>
      </c>
    </row>
    <row r="205" spans="3:20" hidden="1">
      <c r="C205" s="567" t="s">
        <v>288</v>
      </c>
      <c r="D205" s="558" t="str">
        <f t="shared" si="131"/>
        <v>지어소프트</v>
      </c>
      <c r="E205" s="559" t="s">
        <v>270</v>
      </c>
      <c r="F205" s="559" t="s">
        <v>1169</v>
      </c>
      <c r="G205" s="577">
        <v>0</v>
      </c>
      <c r="H205" s="577">
        <v>0</v>
      </c>
      <c r="I205" s="577">
        <v>0</v>
      </c>
      <c r="J205" s="577">
        <v>0</v>
      </c>
      <c r="K205" s="577">
        <v>0</v>
      </c>
      <c r="L205" s="577">
        <v>0</v>
      </c>
      <c r="M205" s="577">
        <v>0</v>
      </c>
      <c r="N205" s="577">
        <v>0</v>
      </c>
      <c r="O205" s="577">
        <v>0</v>
      </c>
      <c r="P205" s="577">
        <v>0</v>
      </c>
      <c r="Q205" s="577">
        <v>0</v>
      </c>
      <c r="R205" s="577">
        <v>0</v>
      </c>
      <c r="S205" s="577">
        <v>0</v>
      </c>
      <c r="T205" s="581">
        <v>0</v>
      </c>
    </row>
    <row r="206" spans="3:20" hidden="1">
      <c r="C206" s="567" t="s">
        <v>1152</v>
      </c>
      <c r="D206" s="558" t="str">
        <f t="shared" si="131"/>
        <v>지어소프트</v>
      </c>
      <c r="E206" s="559" t="s">
        <v>270</v>
      </c>
      <c r="F206" s="559" t="s">
        <v>151</v>
      </c>
      <c r="G206" s="577">
        <v>0</v>
      </c>
      <c r="H206" s="577">
        <v>0</v>
      </c>
      <c r="I206" s="577">
        <v>0</v>
      </c>
      <c r="J206" s="577">
        <v>0</v>
      </c>
      <c r="K206" s="577">
        <v>0</v>
      </c>
      <c r="L206" s="577">
        <v>0</v>
      </c>
      <c r="M206" s="577">
        <v>0</v>
      </c>
      <c r="N206" s="577">
        <v>0</v>
      </c>
      <c r="O206" s="577">
        <v>0</v>
      </c>
      <c r="P206" s="577">
        <v>0</v>
      </c>
      <c r="Q206" s="577">
        <v>0</v>
      </c>
      <c r="R206" s="577">
        <v>0</v>
      </c>
      <c r="S206" s="577">
        <v>0</v>
      </c>
      <c r="T206" s="581">
        <v>0</v>
      </c>
    </row>
    <row r="207" spans="3:20" hidden="1">
      <c r="C207" s="567" t="s">
        <v>1118</v>
      </c>
      <c r="D207" s="558" t="str">
        <f t="shared" si="131"/>
        <v>지어소프트</v>
      </c>
      <c r="E207" s="559" t="s">
        <v>1160</v>
      </c>
      <c r="F207" s="559" t="s">
        <v>1158</v>
      </c>
      <c r="G207" s="577">
        <v>0</v>
      </c>
      <c r="H207" s="577">
        <v>0</v>
      </c>
      <c r="I207" s="577">
        <v>0</v>
      </c>
      <c r="J207" s="577">
        <v>0</v>
      </c>
      <c r="K207" s="577">
        <v>0</v>
      </c>
      <c r="L207" s="577">
        <v>0</v>
      </c>
      <c r="M207" s="577">
        <v>0</v>
      </c>
      <c r="N207" s="577">
        <v>0</v>
      </c>
      <c r="O207" s="577">
        <v>0</v>
      </c>
      <c r="P207" s="577">
        <v>0</v>
      </c>
      <c r="Q207" s="577">
        <v>0</v>
      </c>
      <c r="R207" s="577">
        <v>0</v>
      </c>
      <c r="S207" s="577">
        <v>0</v>
      </c>
      <c r="T207" s="581">
        <v>0</v>
      </c>
    </row>
    <row r="208" spans="3:20" hidden="1">
      <c r="C208" s="568" t="s">
        <v>231</v>
      </c>
      <c r="D208" s="560"/>
      <c r="E208" s="560"/>
      <c r="F208" s="560"/>
      <c r="G208" s="561">
        <f t="shared" si="129"/>
        <v>0</v>
      </c>
      <c r="H208" s="561">
        <f>SUM(H203:H207)</f>
        <v>0</v>
      </c>
      <c r="I208" s="561">
        <f>SUM(I203:I207)</f>
        <v>0</v>
      </c>
      <c r="J208" s="561">
        <f t="shared" ref="J208:T208" si="132">SUM(J203:J207)</f>
        <v>0</v>
      </c>
      <c r="K208" s="561">
        <f t="shared" si="132"/>
        <v>0</v>
      </c>
      <c r="L208" s="561">
        <f t="shared" si="132"/>
        <v>0</v>
      </c>
      <c r="M208" s="561">
        <f t="shared" si="132"/>
        <v>0</v>
      </c>
      <c r="N208" s="561">
        <f t="shared" si="132"/>
        <v>0</v>
      </c>
      <c r="O208" s="561">
        <f t="shared" si="132"/>
        <v>0</v>
      </c>
      <c r="P208" s="561">
        <f t="shared" si="132"/>
        <v>0</v>
      </c>
      <c r="Q208" s="561">
        <f t="shared" si="132"/>
        <v>0</v>
      </c>
      <c r="R208" s="561">
        <f t="shared" si="132"/>
        <v>0</v>
      </c>
      <c r="S208" s="561">
        <f t="shared" si="132"/>
        <v>0</v>
      </c>
      <c r="T208" s="569">
        <f t="shared" si="132"/>
        <v>0</v>
      </c>
    </row>
    <row r="209" spans="3:20" hidden="1">
      <c r="C209" s="567" t="s">
        <v>1121</v>
      </c>
      <c r="D209" s="558" t="str">
        <f>$C$194</f>
        <v>지어소프트</v>
      </c>
      <c r="E209" s="558" t="s">
        <v>1170</v>
      </c>
      <c r="F209" s="558" t="s">
        <v>267</v>
      </c>
      <c r="G209" s="577">
        <v>0</v>
      </c>
      <c r="H209" s="577">
        <v>0</v>
      </c>
      <c r="I209" s="577">
        <v>0</v>
      </c>
      <c r="J209" s="577">
        <v>0</v>
      </c>
      <c r="K209" s="577">
        <v>0</v>
      </c>
      <c r="L209" s="577">
        <v>0</v>
      </c>
      <c r="M209" s="577">
        <v>0</v>
      </c>
      <c r="N209" s="577">
        <v>0</v>
      </c>
      <c r="O209" s="577">
        <v>0</v>
      </c>
      <c r="P209" s="577">
        <v>0</v>
      </c>
      <c r="Q209" s="577">
        <v>0</v>
      </c>
      <c r="R209" s="577">
        <v>0</v>
      </c>
      <c r="S209" s="577">
        <v>0</v>
      </c>
      <c r="T209" s="581">
        <v>0</v>
      </c>
    </row>
    <row r="210" spans="3:20" hidden="1">
      <c r="C210" s="567" t="s">
        <v>288</v>
      </c>
      <c r="D210" s="558" t="str">
        <f t="shared" ref="D210:D213" si="133">$C$194</f>
        <v>지어소프트</v>
      </c>
      <c r="E210" s="558" t="s">
        <v>271</v>
      </c>
      <c r="F210" s="558" t="s">
        <v>268</v>
      </c>
      <c r="G210" s="577">
        <v>0</v>
      </c>
      <c r="H210" s="577">
        <v>0</v>
      </c>
      <c r="I210" s="577">
        <v>0</v>
      </c>
      <c r="J210" s="577">
        <v>0</v>
      </c>
      <c r="K210" s="577">
        <v>0</v>
      </c>
      <c r="L210" s="577">
        <v>0</v>
      </c>
      <c r="M210" s="577">
        <v>0</v>
      </c>
      <c r="N210" s="577">
        <v>0</v>
      </c>
      <c r="O210" s="577">
        <v>0</v>
      </c>
      <c r="P210" s="577">
        <v>0</v>
      </c>
      <c r="Q210" s="577">
        <v>0</v>
      </c>
      <c r="R210" s="577">
        <v>0</v>
      </c>
      <c r="S210" s="577">
        <v>0</v>
      </c>
      <c r="T210" s="581">
        <v>0</v>
      </c>
    </row>
    <row r="211" spans="3:20" hidden="1">
      <c r="C211" s="567" t="s">
        <v>1171</v>
      </c>
      <c r="D211" s="558" t="str">
        <f t="shared" si="133"/>
        <v>지어소프트</v>
      </c>
      <c r="E211" s="558" t="s">
        <v>271</v>
      </c>
      <c r="F211" s="558" t="s">
        <v>1157</v>
      </c>
      <c r="G211" s="577">
        <v>0</v>
      </c>
      <c r="H211" s="577">
        <v>0</v>
      </c>
      <c r="I211" s="577">
        <v>0</v>
      </c>
      <c r="J211" s="577">
        <v>0</v>
      </c>
      <c r="K211" s="577">
        <v>0</v>
      </c>
      <c r="L211" s="577">
        <v>0</v>
      </c>
      <c r="M211" s="577">
        <v>0</v>
      </c>
      <c r="N211" s="577">
        <v>0</v>
      </c>
      <c r="O211" s="577">
        <v>0</v>
      </c>
      <c r="P211" s="577">
        <v>0</v>
      </c>
      <c r="Q211" s="577">
        <v>0</v>
      </c>
      <c r="R211" s="577">
        <v>0</v>
      </c>
      <c r="S211" s="577">
        <v>0</v>
      </c>
      <c r="T211" s="581">
        <v>0</v>
      </c>
    </row>
    <row r="212" spans="3:20" hidden="1">
      <c r="C212" s="567" t="s">
        <v>288</v>
      </c>
      <c r="D212" s="558" t="str">
        <f t="shared" si="133"/>
        <v>지어소프트</v>
      </c>
      <c r="E212" s="559" t="s">
        <v>271</v>
      </c>
      <c r="F212" s="559" t="s">
        <v>151</v>
      </c>
      <c r="G212" s="577">
        <v>0</v>
      </c>
      <c r="H212" s="577">
        <v>0</v>
      </c>
      <c r="I212" s="577">
        <v>0</v>
      </c>
      <c r="J212" s="577">
        <v>0</v>
      </c>
      <c r="K212" s="577">
        <v>0</v>
      </c>
      <c r="L212" s="577">
        <v>0</v>
      </c>
      <c r="M212" s="577">
        <v>0</v>
      </c>
      <c r="N212" s="577">
        <v>0</v>
      </c>
      <c r="O212" s="577">
        <v>0</v>
      </c>
      <c r="P212" s="577">
        <v>0</v>
      </c>
      <c r="Q212" s="577">
        <v>0</v>
      </c>
      <c r="R212" s="577">
        <v>0</v>
      </c>
      <c r="S212" s="577">
        <v>0</v>
      </c>
      <c r="T212" s="581">
        <v>0</v>
      </c>
    </row>
    <row r="213" spans="3:20" hidden="1">
      <c r="C213" s="567" t="s">
        <v>288</v>
      </c>
      <c r="D213" s="558" t="str">
        <f t="shared" si="133"/>
        <v>지어소프트</v>
      </c>
      <c r="E213" s="559" t="s">
        <v>271</v>
      </c>
      <c r="F213" s="559" t="s">
        <v>1158</v>
      </c>
      <c r="G213" s="577">
        <v>0</v>
      </c>
      <c r="H213" s="577">
        <v>0</v>
      </c>
      <c r="I213" s="577">
        <v>0</v>
      </c>
      <c r="J213" s="577">
        <v>0</v>
      </c>
      <c r="K213" s="577">
        <v>0</v>
      </c>
      <c r="L213" s="577">
        <v>0</v>
      </c>
      <c r="M213" s="577">
        <v>0</v>
      </c>
      <c r="N213" s="577">
        <v>0</v>
      </c>
      <c r="O213" s="577">
        <v>0</v>
      </c>
      <c r="P213" s="577">
        <v>0</v>
      </c>
      <c r="Q213" s="577">
        <v>0</v>
      </c>
      <c r="R213" s="577">
        <v>0</v>
      </c>
      <c r="S213" s="577">
        <v>0</v>
      </c>
      <c r="T213" s="581">
        <v>0</v>
      </c>
    </row>
    <row r="214" spans="3:20" ht="18" hidden="1" thickBot="1">
      <c r="C214" s="570" t="s">
        <v>1172</v>
      </c>
      <c r="D214" s="571"/>
      <c r="E214" s="571"/>
      <c r="F214" s="571"/>
      <c r="G214" s="572">
        <f t="shared" si="129"/>
        <v>0</v>
      </c>
      <c r="H214" s="572">
        <f>SUM(H209:H213)</f>
        <v>0</v>
      </c>
      <c r="I214" s="572">
        <f>SUM(I209:I213)</f>
        <v>0</v>
      </c>
      <c r="J214" s="572">
        <f t="shared" ref="J214:T214" si="134">SUM(J209:J213)</f>
        <v>0</v>
      </c>
      <c r="K214" s="572">
        <f t="shared" si="134"/>
        <v>0</v>
      </c>
      <c r="L214" s="572">
        <f t="shared" si="134"/>
        <v>0</v>
      </c>
      <c r="M214" s="572">
        <f t="shared" si="134"/>
        <v>0</v>
      </c>
      <c r="N214" s="572">
        <f t="shared" si="134"/>
        <v>0</v>
      </c>
      <c r="O214" s="572">
        <f t="shared" si="134"/>
        <v>0</v>
      </c>
      <c r="P214" s="572">
        <f t="shared" si="134"/>
        <v>0</v>
      </c>
      <c r="Q214" s="572">
        <f t="shared" si="134"/>
        <v>0</v>
      </c>
      <c r="R214" s="572">
        <f t="shared" si="134"/>
        <v>0</v>
      </c>
      <c r="S214" s="572">
        <f t="shared" si="134"/>
        <v>0</v>
      </c>
      <c r="T214" s="573">
        <f t="shared" si="134"/>
        <v>0</v>
      </c>
    </row>
    <row r="215" spans="3:20" hidden="1"/>
    <row r="216" spans="3:20" hidden="1"/>
    <row r="217" spans="3:20" ht="18" hidden="1" thickBot="1"/>
    <row r="218" spans="3:20" hidden="1">
      <c r="C218" s="43" t="s">
        <v>838</v>
      </c>
      <c r="G218" s="50">
        <f>SUM(G226,G232,G238)</f>
        <v>0</v>
      </c>
      <c r="H218" s="48">
        <f t="shared" ref="H218:T218" si="135">SUM(H226,H232,H238)</f>
        <v>0</v>
      </c>
      <c r="I218" s="48">
        <f t="shared" si="135"/>
        <v>0</v>
      </c>
      <c r="J218" s="48">
        <f t="shared" si="135"/>
        <v>0</v>
      </c>
      <c r="K218" s="48">
        <f t="shared" si="135"/>
        <v>0</v>
      </c>
      <c r="L218" s="48">
        <f t="shared" si="135"/>
        <v>0</v>
      </c>
      <c r="M218" s="48">
        <f t="shared" si="135"/>
        <v>0</v>
      </c>
      <c r="N218" s="48">
        <f t="shared" si="135"/>
        <v>0</v>
      </c>
      <c r="O218" s="48">
        <f t="shared" si="135"/>
        <v>0</v>
      </c>
      <c r="P218" s="48">
        <f t="shared" si="135"/>
        <v>0</v>
      </c>
      <c r="Q218" s="48">
        <f t="shared" si="135"/>
        <v>0</v>
      </c>
      <c r="R218" s="48">
        <f t="shared" si="135"/>
        <v>0</v>
      </c>
      <c r="S218" s="48">
        <f t="shared" si="135"/>
        <v>0</v>
      </c>
      <c r="T218" s="49">
        <f t="shared" si="135"/>
        <v>0</v>
      </c>
    </row>
    <row r="219" spans="3:20" ht="18" hidden="1" thickBot="1">
      <c r="G219" s="47"/>
      <c r="H219" s="47"/>
      <c r="I219" s="47"/>
      <c r="J219" s="47"/>
      <c r="K219" s="47"/>
      <c r="L219" s="47"/>
      <c r="M219" s="47"/>
      <c r="N219" s="47"/>
      <c r="O219" s="47"/>
      <c r="P219" s="47"/>
      <c r="Q219" s="47"/>
      <c r="R219" s="47"/>
      <c r="S219" s="47"/>
      <c r="T219" s="47"/>
    </row>
    <row r="220" spans="3:20" hidden="1">
      <c r="C220" s="474" t="s">
        <v>273</v>
      </c>
      <c r="D220" s="475" t="s">
        <v>1173</v>
      </c>
      <c r="E220" s="475" t="s">
        <v>3</v>
      </c>
      <c r="F220" s="475" t="s">
        <v>1087</v>
      </c>
      <c r="G220" s="475" t="s">
        <v>1132</v>
      </c>
      <c r="H220" s="475" t="s">
        <v>1174</v>
      </c>
      <c r="I220" s="475" t="s">
        <v>264</v>
      </c>
      <c r="J220" s="475" t="s">
        <v>1089</v>
      </c>
      <c r="K220" s="475" t="s">
        <v>232</v>
      </c>
      <c r="L220" s="475" t="s">
        <v>233</v>
      </c>
      <c r="M220" s="475" t="s">
        <v>234</v>
      </c>
      <c r="N220" s="475" t="s">
        <v>235</v>
      </c>
      <c r="O220" s="475" t="s">
        <v>236</v>
      </c>
      <c r="P220" s="475" t="s">
        <v>237</v>
      </c>
      <c r="Q220" s="475" t="s">
        <v>238</v>
      </c>
      <c r="R220" s="475" t="s">
        <v>239</v>
      </c>
      <c r="S220" s="475" t="s">
        <v>240</v>
      </c>
      <c r="T220" s="476" t="s">
        <v>172</v>
      </c>
    </row>
    <row r="221" spans="3:20" hidden="1">
      <c r="C221" s="477" t="s">
        <v>288</v>
      </c>
      <c r="D221" s="478" t="str">
        <f>$C$218</f>
        <v>에이피위즈덤</v>
      </c>
      <c r="E221" s="478" t="s">
        <v>247</v>
      </c>
      <c r="F221" s="478" t="s">
        <v>1134</v>
      </c>
      <c r="G221" s="479">
        <f t="shared" ref="G221:G238" si="136">SUM(H221:I221)</f>
        <v>0</v>
      </c>
      <c r="H221" s="479">
        <f>SUMIFS(통합데이터!$O$5:$O$112,통합데이터!$AF$5:$AF$112,'2.구축비_요약'!$D221,통합데이터!$F$5:$F$112,'2.구축비_요약'!$E221,통합데이터!$G$5:$G$112,'2.구축비_요약'!$F221)</f>
        <v>0</v>
      </c>
      <c r="I221" s="479">
        <f>SUMIFS(통합데이터!T$5:T$112,통합데이터!$AF$5:$AF$112,'2.구축비_요약'!$D221,통합데이터!$F$5:$F$112,'2.구축비_요약'!$E221,통합데이터!$G$5:$G$112,'2.구축비_요약'!$F221)</f>
        <v>0</v>
      </c>
      <c r="J221" s="479">
        <f>SUMIFS(통합데이터!U$5:U$112,통합데이터!$AF$5:$AF$112,'2.구축비_요약'!$D221,통합데이터!$F$5:$F$112,'2.구축비_요약'!$E221,통합데이터!$G$5:$G$112,'2.구축비_요약'!$F221)</f>
        <v>0</v>
      </c>
      <c r="K221" s="479">
        <f>SUMIFS(통합데이터!V$5:V$112,통합데이터!$AF$5:$AF$112,'2.구축비_요약'!$D221,통합데이터!$F$5:$F$112,'2.구축비_요약'!$E221,통합데이터!$G$5:$G$112,'2.구축비_요약'!$F221)</f>
        <v>0</v>
      </c>
      <c r="L221" s="479">
        <f>SUMIFS(통합데이터!W$5:W$112,통합데이터!$AF$5:$AF$112,'2.구축비_요약'!$D221,통합데이터!$F$5:$F$112,'2.구축비_요약'!$E221,통합데이터!$G$5:$G$112,'2.구축비_요약'!$F221)</f>
        <v>0</v>
      </c>
      <c r="M221" s="479">
        <f>SUMIFS(통합데이터!X$5:X$112,통합데이터!$AF$5:$AF$112,'2.구축비_요약'!$D221,통합데이터!$F$5:$F$112,'2.구축비_요약'!$E221,통합데이터!$G$5:$G$112,'2.구축비_요약'!$F221)</f>
        <v>0</v>
      </c>
      <c r="N221" s="479">
        <f>SUMIFS(통합데이터!Y$5:Y$112,통합데이터!$AF$5:$AF$112,'2.구축비_요약'!$D221,통합데이터!$F$5:$F$112,'2.구축비_요약'!$E221,통합데이터!$G$5:$G$112,'2.구축비_요약'!$F221)</f>
        <v>0</v>
      </c>
      <c r="O221" s="479">
        <f>SUMIFS(통합데이터!Z$5:Z$112,통합데이터!$AF$5:$AF$112,'2.구축비_요약'!$D221,통합데이터!$F$5:$F$112,'2.구축비_요약'!$E221,통합데이터!$G$5:$G$112,'2.구축비_요약'!$F221)</f>
        <v>0</v>
      </c>
      <c r="P221" s="479">
        <f>SUMIFS(통합데이터!AA$5:AA$112,통합데이터!$AF$5:$AF$112,'2.구축비_요약'!$D221,통합데이터!$F$5:$F$112,'2.구축비_요약'!$E221,통합데이터!$G$5:$G$112,'2.구축비_요약'!$F221)</f>
        <v>0</v>
      </c>
      <c r="Q221" s="479">
        <f>SUMIFS(통합데이터!AB$5:AB$112,통합데이터!$AF$5:$AF$112,'2.구축비_요약'!$D221,통합데이터!$F$5:$F$112,'2.구축비_요약'!$E221,통합데이터!$G$5:$G$112,'2.구축비_요약'!$F221)</f>
        <v>0</v>
      </c>
      <c r="R221" s="479">
        <f>SUMIFS(통합데이터!AC$5:AC$112,통합데이터!$AF$5:$AF$112,'2.구축비_요약'!$D221,통합데이터!$F$5:$F$112,'2.구축비_요약'!$E221,통합데이터!$G$5:$G$112,'2.구축비_요약'!$F221)</f>
        <v>0</v>
      </c>
      <c r="S221" s="479">
        <f>SUMIFS(통합데이터!AD$5:AD$112,통합데이터!$AF$5:$AF$112,'2.구축비_요약'!$D221,통합데이터!$F$5:$F$112,'2.구축비_요약'!$E221,통합데이터!$G$5:$G$112,'2.구축비_요약'!$F221)</f>
        <v>0</v>
      </c>
      <c r="T221" s="480">
        <f>SUMIFS(통합데이터!AE$5:AE$112,통합데이터!$AF$5:$AF$112,'2.구축비_요약'!$D221,통합데이터!$F$5:$F$112,'2.구축비_요약'!$E221,통합데이터!$G$5:$G$112,'2.구축비_요약'!$F221)</f>
        <v>0</v>
      </c>
    </row>
    <row r="222" spans="3:20" hidden="1">
      <c r="C222" s="477" t="s">
        <v>1171</v>
      </c>
      <c r="D222" s="478" t="str">
        <f t="shared" ref="D222:D225" si="137">$C$218</f>
        <v>에이피위즈덤</v>
      </c>
      <c r="E222" s="478" t="s">
        <v>1090</v>
      </c>
      <c r="F222" s="478" t="s">
        <v>267</v>
      </c>
      <c r="G222" s="479">
        <f t="shared" si="136"/>
        <v>0</v>
      </c>
      <c r="H222" s="479">
        <f>SUMIFS(통합데이터!$O$5:$O$112,통합데이터!$AF$5:$AF$112,'2.구축비_요약'!$D222,통합데이터!$F$5:$F$112,'2.구축비_요약'!$E222,통합데이터!$G$5:$G$112,'2.구축비_요약'!$F222)</f>
        <v>0</v>
      </c>
      <c r="I222" s="479">
        <f>SUMIFS(통합데이터!T$5:T$112,통합데이터!$AF$5:$AF$112,'2.구축비_요약'!$D222,통합데이터!$F$5:$F$112,'2.구축비_요약'!$E222,통합데이터!$G$5:$G$112,'2.구축비_요약'!$F222)</f>
        <v>0</v>
      </c>
      <c r="J222" s="479">
        <f>SUMIFS(통합데이터!U$5:U$112,통합데이터!$AF$5:$AF$112,'2.구축비_요약'!$D222,통합데이터!$F$5:$F$112,'2.구축비_요약'!$E222,통합데이터!$G$5:$G$112,'2.구축비_요약'!$F222)</f>
        <v>0</v>
      </c>
      <c r="K222" s="479">
        <f>SUMIFS(통합데이터!V$5:V$112,통합데이터!$AF$5:$AF$112,'2.구축비_요약'!$D222,통합데이터!$F$5:$F$112,'2.구축비_요약'!$E222,통합데이터!$G$5:$G$112,'2.구축비_요약'!$F222)</f>
        <v>0</v>
      </c>
      <c r="L222" s="479">
        <f>SUMIFS(통합데이터!W$5:W$112,통합데이터!$AF$5:$AF$112,'2.구축비_요약'!$D222,통합데이터!$F$5:$F$112,'2.구축비_요약'!$E222,통합데이터!$G$5:$G$112,'2.구축비_요약'!$F222)</f>
        <v>0</v>
      </c>
      <c r="M222" s="479">
        <f>SUMIFS(통합데이터!X$5:X$112,통합데이터!$AF$5:$AF$112,'2.구축비_요약'!$D222,통합데이터!$F$5:$F$112,'2.구축비_요약'!$E222,통합데이터!$G$5:$G$112,'2.구축비_요약'!$F222)</f>
        <v>0</v>
      </c>
      <c r="N222" s="479">
        <f>SUMIFS(통합데이터!Y$5:Y$112,통합데이터!$AF$5:$AF$112,'2.구축비_요약'!$D222,통합데이터!$F$5:$F$112,'2.구축비_요약'!$E222,통합데이터!$G$5:$G$112,'2.구축비_요약'!$F222)</f>
        <v>0</v>
      </c>
      <c r="O222" s="479">
        <f>SUMIFS(통합데이터!Z$5:Z$112,통합데이터!$AF$5:$AF$112,'2.구축비_요약'!$D222,통합데이터!$F$5:$F$112,'2.구축비_요약'!$E222,통합데이터!$G$5:$G$112,'2.구축비_요약'!$F222)</f>
        <v>0</v>
      </c>
      <c r="P222" s="479">
        <f>SUMIFS(통합데이터!AA$5:AA$112,통합데이터!$AF$5:$AF$112,'2.구축비_요약'!$D222,통합데이터!$F$5:$F$112,'2.구축비_요약'!$E222,통합데이터!$G$5:$G$112,'2.구축비_요약'!$F222)</f>
        <v>0</v>
      </c>
      <c r="Q222" s="479">
        <f>SUMIFS(통합데이터!AB$5:AB$112,통합데이터!$AF$5:$AF$112,'2.구축비_요약'!$D222,통합데이터!$F$5:$F$112,'2.구축비_요약'!$E222,통합데이터!$G$5:$G$112,'2.구축비_요약'!$F222)</f>
        <v>0</v>
      </c>
      <c r="R222" s="479">
        <f>SUMIFS(통합데이터!AC$5:AC$112,통합데이터!$AF$5:$AF$112,'2.구축비_요약'!$D222,통합데이터!$F$5:$F$112,'2.구축비_요약'!$E222,통합데이터!$G$5:$G$112,'2.구축비_요약'!$F222)</f>
        <v>0</v>
      </c>
      <c r="S222" s="479">
        <f>SUMIFS(통합데이터!AD$5:AD$112,통합데이터!$AF$5:$AF$112,'2.구축비_요약'!$D222,통합데이터!$F$5:$F$112,'2.구축비_요약'!$E222,통합데이터!$G$5:$G$112,'2.구축비_요약'!$F222)</f>
        <v>0</v>
      </c>
      <c r="T222" s="480">
        <f>SUMIFS(통합데이터!AE$5:AE$112,통합데이터!$AF$5:$AF$112,'2.구축비_요약'!$D222,통합데이터!$F$5:$F$112,'2.구축비_요약'!$E222,통합데이터!$G$5:$G$112,'2.구축비_요약'!$F222)</f>
        <v>0</v>
      </c>
    </row>
    <row r="223" spans="3:20" hidden="1">
      <c r="C223" s="477" t="s">
        <v>288</v>
      </c>
      <c r="D223" s="478" t="str">
        <f t="shared" si="137"/>
        <v>에이피위즈덤</v>
      </c>
      <c r="E223" s="478" t="s">
        <v>1090</v>
      </c>
      <c r="F223" s="478" t="s">
        <v>1135</v>
      </c>
      <c r="G223" s="479">
        <f t="shared" si="136"/>
        <v>0</v>
      </c>
      <c r="H223" s="479">
        <f>SUMIFS(통합데이터!$O$5:$O$112,통합데이터!$AF$5:$AF$112,'2.구축비_요약'!$D223,통합데이터!$F$5:$F$112,'2.구축비_요약'!$E223,통합데이터!$G$5:$G$112,'2.구축비_요약'!$F223)</f>
        <v>0</v>
      </c>
      <c r="I223" s="479">
        <f>SUMIFS(통합데이터!T$5:T$112,통합데이터!$AF$5:$AF$112,'2.구축비_요약'!$D223,통합데이터!$F$5:$F$112,'2.구축비_요약'!$E223,통합데이터!$G$5:$G$112,'2.구축비_요약'!$F223)</f>
        <v>0</v>
      </c>
      <c r="J223" s="479">
        <f>SUMIFS(통합데이터!U$5:U$112,통합데이터!$AF$5:$AF$112,'2.구축비_요약'!$D223,통합데이터!$F$5:$F$112,'2.구축비_요약'!$E223,통합데이터!$G$5:$G$112,'2.구축비_요약'!$F223)</f>
        <v>0</v>
      </c>
      <c r="K223" s="479">
        <f>SUMIFS(통합데이터!V$5:V$112,통합데이터!$AF$5:$AF$112,'2.구축비_요약'!$D223,통합데이터!$F$5:$F$112,'2.구축비_요약'!$E223,통합데이터!$G$5:$G$112,'2.구축비_요약'!$F223)</f>
        <v>0</v>
      </c>
      <c r="L223" s="479">
        <f>SUMIFS(통합데이터!W$5:W$112,통합데이터!$AF$5:$AF$112,'2.구축비_요약'!$D223,통합데이터!$F$5:$F$112,'2.구축비_요약'!$E223,통합데이터!$G$5:$G$112,'2.구축비_요약'!$F223)</f>
        <v>0</v>
      </c>
      <c r="M223" s="479">
        <f>SUMIFS(통합데이터!X$5:X$112,통합데이터!$AF$5:$AF$112,'2.구축비_요약'!$D223,통합데이터!$F$5:$F$112,'2.구축비_요약'!$E223,통합데이터!$G$5:$G$112,'2.구축비_요약'!$F223)</f>
        <v>0</v>
      </c>
      <c r="N223" s="479">
        <f>SUMIFS(통합데이터!Y$5:Y$112,통합데이터!$AF$5:$AF$112,'2.구축비_요약'!$D223,통합데이터!$F$5:$F$112,'2.구축비_요약'!$E223,통합데이터!$G$5:$G$112,'2.구축비_요약'!$F223)</f>
        <v>0</v>
      </c>
      <c r="O223" s="479">
        <f>SUMIFS(통합데이터!Z$5:Z$112,통합데이터!$AF$5:$AF$112,'2.구축비_요약'!$D223,통합데이터!$F$5:$F$112,'2.구축비_요약'!$E223,통합데이터!$G$5:$G$112,'2.구축비_요약'!$F223)</f>
        <v>0</v>
      </c>
      <c r="P223" s="479">
        <f>SUMIFS(통합데이터!AA$5:AA$112,통합데이터!$AF$5:$AF$112,'2.구축비_요약'!$D223,통합데이터!$F$5:$F$112,'2.구축비_요약'!$E223,통합데이터!$G$5:$G$112,'2.구축비_요약'!$F223)</f>
        <v>0</v>
      </c>
      <c r="Q223" s="479">
        <f>SUMIFS(통합데이터!AB$5:AB$112,통합데이터!$AF$5:$AF$112,'2.구축비_요약'!$D223,통합데이터!$F$5:$F$112,'2.구축비_요약'!$E223,통합데이터!$G$5:$G$112,'2.구축비_요약'!$F223)</f>
        <v>0</v>
      </c>
      <c r="R223" s="479">
        <f>SUMIFS(통합데이터!AC$5:AC$112,통합데이터!$AF$5:$AF$112,'2.구축비_요약'!$D223,통합데이터!$F$5:$F$112,'2.구축비_요약'!$E223,통합데이터!$G$5:$G$112,'2.구축비_요약'!$F223)</f>
        <v>0</v>
      </c>
      <c r="S223" s="479">
        <f>SUMIFS(통합데이터!AD$5:AD$112,통합데이터!$AF$5:$AF$112,'2.구축비_요약'!$D223,통합데이터!$F$5:$F$112,'2.구축비_요약'!$E223,통합데이터!$G$5:$G$112,'2.구축비_요약'!$F223)</f>
        <v>0</v>
      </c>
      <c r="T223" s="480">
        <f>SUMIFS(통합데이터!AE$5:AE$112,통합데이터!$AF$5:$AF$112,'2.구축비_요약'!$D223,통합데이터!$F$5:$F$112,'2.구축비_요약'!$E223,통합데이터!$G$5:$G$112,'2.구축비_요약'!$F223)</f>
        <v>0</v>
      </c>
    </row>
    <row r="224" spans="3:20" hidden="1">
      <c r="C224" s="477" t="s">
        <v>1091</v>
      </c>
      <c r="D224" s="478" t="str">
        <f t="shared" si="137"/>
        <v>에이피위즈덤</v>
      </c>
      <c r="E224" s="478" t="s">
        <v>1090</v>
      </c>
      <c r="F224" s="478" t="s">
        <v>269</v>
      </c>
      <c r="G224" s="479">
        <f t="shared" si="136"/>
        <v>0</v>
      </c>
      <c r="H224" s="479">
        <f>SUMIFS(통합데이터!$O$5:$O$112,통합데이터!$AF$5:$AF$112,'2.구축비_요약'!$D224,통합데이터!$F$5:$F$112,'2.구축비_요약'!$E224,통합데이터!$G$5:$G$112,'2.구축비_요약'!$F224)</f>
        <v>0</v>
      </c>
      <c r="I224" s="479">
        <f>SUMIFS(통합데이터!T$5:T$112,통합데이터!$AF$5:$AF$112,'2.구축비_요약'!$D224,통합데이터!$F$5:$F$112,'2.구축비_요약'!$E224,통합데이터!$G$5:$G$112,'2.구축비_요약'!$F224)</f>
        <v>0</v>
      </c>
      <c r="J224" s="479">
        <f>SUMIFS(통합데이터!U$5:U$112,통합데이터!$AF$5:$AF$112,'2.구축비_요약'!$D224,통합데이터!$F$5:$F$112,'2.구축비_요약'!$E224,통합데이터!$G$5:$G$112,'2.구축비_요약'!$F224)</f>
        <v>0</v>
      </c>
      <c r="K224" s="479">
        <f>SUMIFS(통합데이터!V$5:V$112,통합데이터!$AF$5:$AF$112,'2.구축비_요약'!$D224,통합데이터!$F$5:$F$112,'2.구축비_요약'!$E224,통합데이터!$G$5:$G$112,'2.구축비_요약'!$F224)</f>
        <v>0</v>
      </c>
      <c r="L224" s="479">
        <f>SUMIFS(통합데이터!W$5:W$112,통합데이터!$AF$5:$AF$112,'2.구축비_요약'!$D224,통합데이터!$F$5:$F$112,'2.구축비_요약'!$E224,통합데이터!$G$5:$G$112,'2.구축비_요약'!$F224)</f>
        <v>0</v>
      </c>
      <c r="M224" s="479">
        <f>SUMIFS(통합데이터!X$5:X$112,통합데이터!$AF$5:$AF$112,'2.구축비_요약'!$D224,통합데이터!$F$5:$F$112,'2.구축비_요약'!$E224,통합데이터!$G$5:$G$112,'2.구축비_요약'!$F224)</f>
        <v>0</v>
      </c>
      <c r="N224" s="479">
        <f>SUMIFS(통합데이터!Y$5:Y$112,통합데이터!$AF$5:$AF$112,'2.구축비_요약'!$D224,통합데이터!$F$5:$F$112,'2.구축비_요약'!$E224,통합데이터!$G$5:$G$112,'2.구축비_요약'!$F224)</f>
        <v>0</v>
      </c>
      <c r="O224" s="479">
        <f>SUMIFS(통합데이터!Z$5:Z$112,통합데이터!$AF$5:$AF$112,'2.구축비_요약'!$D224,통합데이터!$F$5:$F$112,'2.구축비_요약'!$E224,통합데이터!$G$5:$G$112,'2.구축비_요약'!$F224)</f>
        <v>0</v>
      </c>
      <c r="P224" s="479">
        <f>SUMIFS(통합데이터!AA$5:AA$112,통합데이터!$AF$5:$AF$112,'2.구축비_요약'!$D224,통합데이터!$F$5:$F$112,'2.구축비_요약'!$E224,통합데이터!$G$5:$G$112,'2.구축비_요약'!$F224)</f>
        <v>0</v>
      </c>
      <c r="Q224" s="479">
        <f>SUMIFS(통합데이터!AB$5:AB$112,통합데이터!$AF$5:$AF$112,'2.구축비_요약'!$D224,통합데이터!$F$5:$F$112,'2.구축비_요약'!$E224,통합데이터!$G$5:$G$112,'2.구축비_요약'!$F224)</f>
        <v>0</v>
      </c>
      <c r="R224" s="479">
        <f>SUMIFS(통합데이터!AC$5:AC$112,통합데이터!$AF$5:$AF$112,'2.구축비_요약'!$D224,통합데이터!$F$5:$F$112,'2.구축비_요약'!$E224,통합데이터!$G$5:$G$112,'2.구축비_요약'!$F224)</f>
        <v>0</v>
      </c>
      <c r="S224" s="479">
        <f>SUMIFS(통합데이터!AD$5:AD$112,통합데이터!$AF$5:$AF$112,'2.구축비_요약'!$D224,통합데이터!$F$5:$F$112,'2.구축비_요약'!$E224,통합데이터!$G$5:$G$112,'2.구축비_요약'!$F224)</f>
        <v>0</v>
      </c>
      <c r="T224" s="480">
        <f>SUMIFS(통합데이터!AE$5:AE$112,통합데이터!$AF$5:$AF$112,'2.구축비_요약'!$D224,통합데이터!$F$5:$F$112,'2.구축비_요약'!$E224,통합데이터!$G$5:$G$112,'2.구축비_요약'!$F224)</f>
        <v>0</v>
      </c>
    </row>
    <row r="225" spans="3:20" hidden="1">
      <c r="C225" s="481" t="s">
        <v>288</v>
      </c>
      <c r="D225" s="478" t="str">
        <f t="shared" si="137"/>
        <v>에이피위즈덤</v>
      </c>
      <c r="E225" s="482" t="s">
        <v>1090</v>
      </c>
      <c r="F225" s="482" t="s">
        <v>151</v>
      </c>
      <c r="G225" s="479">
        <f t="shared" si="136"/>
        <v>0</v>
      </c>
      <c r="H225" s="479">
        <f>SUMIFS(통합데이터!$O$5:$O$112,통합데이터!$AF$5:$AF$112,'2.구축비_요약'!$D225,통합데이터!$F$5:$F$112,'2.구축비_요약'!$E225,통합데이터!$G$5:$G$112,'2.구축비_요약'!$F225)</f>
        <v>0</v>
      </c>
      <c r="I225" s="479">
        <f>SUMIFS(통합데이터!T$5:T$112,통합데이터!$AF$5:$AF$112,'2.구축비_요약'!$D225,통합데이터!$F$5:$F$112,'2.구축비_요약'!$E225,통합데이터!$G$5:$G$112,'2.구축비_요약'!$F225)</f>
        <v>0</v>
      </c>
      <c r="J225" s="479">
        <f>SUMIFS(통합데이터!U$5:U$112,통합데이터!$AF$5:$AF$112,'2.구축비_요약'!$D225,통합데이터!$F$5:$F$112,'2.구축비_요약'!$E225,통합데이터!$G$5:$G$112,'2.구축비_요약'!$F225)</f>
        <v>0</v>
      </c>
      <c r="K225" s="479">
        <f>SUMIFS(통합데이터!V$5:V$112,통합데이터!$AF$5:$AF$112,'2.구축비_요약'!$D225,통합데이터!$F$5:$F$112,'2.구축비_요약'!$E225,통합데이터!$G$5:$G$112,'2.구축비_요약'!$F225)</f>
        <v>0</v>
      </c>
      <c r="L225" s="479">
        <f>SUMIFS(통합데이터!W$5:W$112,통합데이터!$AF$5:$AF$112,'2.구축비_요약'!$D225,통합데이터!$F$5:$F$112,'2.구축비_요약'!$E225,통합데이터!$G$5:$G$112,'2.구축비_요약'!$F225)</f>
        <v>0</v>
      </c>
      <c r="M225" s="479">
        <f>SUMIFS(통합데이터!X$5:X$112,통합데이터!$AF$5:$AF$112,'2.구축비_요약'!$D225,통합데이터!$F$5:$F$112,'2.구축비_요약'!$E225,통합데이터!$G$5:$G$112,'2.구축비_요약'!$F225)</f>
        <v>0</v>
      </c>
      <c r="N225" s="479">
        <f>SUMIFS(통합데이터!Y$5:Y$112,통합데이터!$AF$5:$AF$112,'2.구축비_요약'!$D225,통합데이터!$F$5:$F$112,'2.구축비_요약'!$E225,통합데이터!$G$5:$G$112,'2.구축비_요약'!$F225)</f>
        <v>0</v>
      </c>
      <c r="O225" s="479">
        <f>SUMIFS(통합데이터!Z$5:Z$112,통합데이터!$AF$5:$AF$112,'2.구축비_요약'!$D225,통합데이터!$F$5:$F$112,'2.구축비_요약'!$E225,통합데이터!$G$5:$G$112,'2.구축비_요약'!$F225)</f>
        <v>0</v>
      </c>
      <c r="P225" s="479">
        <f>SUMIFS(통합데이터!AA$5:AA$112,통합데이터!$AF$5:$AF$112,'2.구축비_요약'!$D225,통합데이터!$F$5:$F$112,'2.구축비_요약'!$E225,통합데이터!$G$5:$G$112,'2.구축비_요약'!$F225)</f>
        <v>0</v>
      </c>
      <c r="Q225" s="479">
        <f>SUMIFS(통합데이터!AB$5:AB$112,통합데이터!$AF$5:$AF$112,'2.구축비_요약'!$D225,통합데이터!$F$5:$F$112,'2.구축비_요약'!$E225,통합데이터!$G$5:$G$112,'2.구축비_요약'!$F225)</f>
        <v>0</v>
      </c>
      <c r="R225" s="479">
        <f>SUMIFS(통합데이터!AC$5:AC$112,통합데이터!$AF$5:$AF$112,'2.구축비_요약'!$D225,통합데이터!$F$5:$F$112,'2.구축비_요약'!$E225,통합데이터!$G$5:$G$112,'2.구축비_요약'!$F225)</f>
        <v>0</v>
      </c>
      <c r="S225" s="479">
        <f>SUMIFS(통합데이터!AD$5:AD$112,통합데이터!$AF$5:$AF$112,'2.구축비_요약'!$D225,통합데이터!$F$5:$F$112,'2.구축비_요약'!$E225,통합데이터!$G$5:$G$112,'2.구축비_요약'!$F225)</f>
        <v>0</v>
      </c>
      <c r="T225" s="480">
        <f>SUMIFS(통합데이터!AE$5:AE$112,통합데이터!$AF$5:$AF$112,'2.구축비_요약'!$D225,통합데이터!$F$5:$F$112,'2.구축비_요약'!$E225,통합데이터!$G$5:$G$112,'2.구축비_요약'!$F225)</f>
        <v>0</v>
      </c>
    </row>
    <row r="226" spans="3:20" hidden="1">
      <c r="C226" s="483" t="s">
        <v>1175</v>
      </c>
      <c r="D226" s="484"/>
      <c r="E226" s="484"/>
      <c r="F226" s="484"/>
      <c r="G226" s="485">
        <f t="shared" si="136"/>
        <v>0</v>
      </c>
      <c r="H226" s="485">
        <f>SUM(H221:H225)</f>
        <v>0</v>
      </c>
      <c r="I226" s="485">
        <f>SUM(I221:I225)</f>
        <v>0</v>
      </c>
      <c r="J226" s="485">
        <f t="shared" ref="J226:T226" si="138">SUM(J221:J225)</f>
        <v>0</v>
      </c>
      <c r="K226" s="485">
        <f t="shared" si="138"/>
        <v>0</v>
      </c>
      <c r="L226" s="485">
        <f t="shared" si="138"/>
        <v>0</v>
      </c>
      <c r="M226" s="485">
        <f t="shared" si="138"/>
        <v>0</v>
      </c>
      <c r="N226" s="485">
        <f t="shared" si="138"/>
        <v>0</v>
      </c>
      <c r="O226" s="485">
        <f t="shared" si="138"/>
        <v>0</v>
      </c>
      <c r="P226" s="485">
        <f t="shared" si="138"/>
        <v>0</v>
      </c>
      <c r="Q226" s="485">
        <f t="shared" si="138"/>
        <v>0</v>
      </c>
      <c r="R226" s="485">
        <f t="shared" si="138"/>
        <v>0</v>
      </c>
      <c r="S226" s="485">
        <f t="shared" si="138"/>
        <v>0</v>
      </c>
      <c r="T226" s="486">
        <f t="shared" si="138"/>
        <v>0</v>
      </c>
    </row>
    <row r="227" spans="3:20" hidden="1">
      <c r="C227" s="477" t="s">
        <v>288</v>
      </c>
      <c r="D227" s="478" t="str">
        <f>$C$218</f>
        <v>에이피위즈덤</v>
      </c>
      <c r="E227" s="478" t="s">
        <v>152</v>
      </c>
      <c r="F227" s="478" t="s">
        <v>153</v>
      </c>
      <c r="G227" s="479">
        <f t="shared" si="136"/>
        <v>0</v>
      </c>
      <c r="H227" s="479">
        <f>SUMIFS(통합데이터!$O$5:$O$112,통합데이터!$AF$5:$AF$112,'2.구축비_요약'!$D227,통합데이터!$F$5:$F$112,'2.구축비_요약'!$E227,통합데이터!$G$5:$G$112,'2.구축비_요약'!$F227)</f>
        <v>0</v>
      </c>
      <c r="I227" s="479">
        <f>SUMIFS(통합데이터!T$5:T$112,통합데이터!$AF$5:$AF$112,'2.구축비_요약'!$D227,통합데이터!$F$5:$F$112,'2.구축비_요약'!$E227,통합데이터!$G$5:$G$112,'2.구축비_요약'!$F227)</f>
        <v>0</v>
      </c>
      <c r="J227" s="479">
        <f>SUMIFS(통합데이터!U$5:U$112,통합데이터!$AF$5:$AF$112,'2.구축비_요약'!$D227,통합데이터!$F$5:$F$112,'2.구축비_요약'!$E227,통합데이터!$G$5:$G$112,'2.구축비_요약'!$F227)</f>
        <v>0</v>
      </c>
      <c r="K227" s="479">
        <f>SUMIFS(통합데이터!V$5:V$112,통합데이터!$AF$5:$AF$112,'2.구축비_요약'!$D227,통합데이터!$F$5:$F$112,'2.구축비_요약'!$E227,통합데이터!$G$5:$G$112,'2.구축비_요약'!$F227)</f>
        <v>0</v>
      </c>
      <c r="L227" s="479">
        <f>SUMIFS(통합데이터!W$5:W$112,통합데이터!$AF$5:$AF$112,'2.구축비_요약'!$D227,통합데이터!$F$5:$F$112,'2.구축비_요약'!$E227,통합데이터!$G$5:$G$112,'2.구축비_요약'!$F227)</f>
        <v>0</v>
      </c>
      <c r="M227" s="479">
        <f>SUMIFS(통합데이터!X$5:X$112,통합데이터!$AF$5:$AF$112,'2.구축비_요약'!$D227,통합데이터!$F$5:$F$112,'2.구축비_요약'!$E227,통합데이터!$G$5:$G$112,'2.구축비_요약'!$F227)</f>
        <v>0</v>
      </c>
      <c r="N227" s="479">
        <f>SUMIFS(통합데이터!Y$5:Y$112,통합데이터!$AF$5:$AF$112,'2.구축비_요약'!$D227,통합데이터!$F$5:$F$112,'2.구축비_요약'!$E227,통합데이터!$G$5:$G$112,'2.구축비_요약'!$F227)</f>
        <v>0</v>
      </c>
      <c r="O227" s="479">
        <f>SUMIFS(통합데이터!Z$5:Z$112,통합데이터!$AF$5:$AF$112,'2.구축비_요약'!$D227,통합데이터!$F$5:$F$112,'2.구축비_요약'!$E227,통합데이터!$G$5:$G$112,'2.구축비_요약'!$F227)</f>
        <v>0</v>
      </c>
      <c r="P227" s="479">
        <f>SUMIFS(통합데이터!AA$5:AA$112,통합데이터!$AF$5:$AF$112,'2.구축비_요약'!$D227,통합데이터!$F$5:$F$112,'2.구축비_요약'!$E227,통합데이터!$G$5:$G$112,'2.구축비_요약'!$F227)</f>
        <v>0</v>
      </c>
      <c r="Q227" s="479">
        <f>SUMIFS(통합데이터!AB$5:AB$112,통합데이터!$AF$5:$AF$112,'2.구축비_요약'!$D227,통합데이터!$F$5:$F$112,'2.구축비_요약'!$E227,통합데이터!$G$5:$G$112,'2.구축비_요약'!$F227)</f>
        <v>0</v>
      </c>
      <c r="R227" s="479">
        <f>SUMIFS(통합데이터!AC$5:AC$112,통합데이터!$AF$5:$AF$112,'2.구축비_요약'!$D227,통합데이터!$F$5:$F$112,'2.구축비_요약'!$E227,통합데이터!$G$5:$G$112,'2.구축비_요약'!$F227)</f>
        <v>0</v>
      </c>
      <c r="S227" s="479">
        <f>SUMIFS(통합데이터!AD$5:AD$112,통합데이터!$AF$5:$AF$112,'2.구축비_요약'!$D227,통합데이터!$F$5:$F$112,'2.구축비_요약'!$E227,통합데이터!$G$5:$G$112,'2.구축비_요약'!$F227)</f>
        <v>0</v>
      </c>
      <c r="T227" s="480">
        <f>SUMIFS(통합데이터!AE$5:AE$112,통합데이터!$AF$5:$AF$112,'2.구축비_요약'!$D227,통합데이터!$F$5:$F$112,'2.구축비_요약'!$E227,통합데이터!$G$5:$G$112,'2.구축비_요약'!$F227)</f>
        <v>0</v>
      </c>
    </row>
    <row r="228" spans="3:20" hidden="1">
      <c r="C228" s="477" t="s">
        <v>288</v>
      </c>
      <c r="D228" s="478" t="str">
        <f t="shared" ref="D228:D231" si="139">$C$218</f>
        <v>에이피위즈덤</v>
      </c>
      <c r="E228" s="478" t="s">
        <v>270</v>
      </c>
      <c r="F228" s="478" t="s">
        <v>1176</v>
      </c>
      <c r="G228" s="479">
        <f t="shared" si="136"/>
        <v>0</v>
      </c>
      <c r="H228" s="479">
        <f>SUMIFS(통합데이터!$O$5:$O$112,통합데이터!$AF$5:$AF$112,'2.구축비_요약'!$D228,통합데이터!$F$5:$F$112,'2.구축비_요약'!$E228,통합데이터!$G$5:$G$112,'2.구축비_요약'!$F228)</f>
        <v>0</v>
      </c>
      <c r="I228" s="479">
        <f>SUMIFS(통합데이터!T$5:T$112,통합데이터!$AF$5:$AF$112,'2.구축비_요약'!$D228,통합데이터!$F$5:$F$112,'2.구축비_요약'!$E228,통합데이터!$G$5:$G$112,'2.구축비_요약'!$F228)</f>
        <v>0</v>
      </c>
      <c r="J228" s="479">
        <f>SUMIFS(통합데이터!U$5:U$112,통합데이터!$AF$5:$AF$112,'2.구축비_요약'!$D228,통합데이터!$F$5:$F$112,'2.구축비_요약'!$E228,통합데이터!$G$5:$G$112,'2.구축비_요약'!$F228)</f>
        <v>0</v>
      </c>
      <c r="K228" s="479">
        <f>SUMIFS(통합데이터!V$5:V$112,통합데이터!$AF$5:$AF$112,'2.구축비_요약'!$D228,통합데이터!$F$5:$F$112,'2.구축비_요약'!$E228,통합데이터!$G$5:$G$112,'2.구축비_요약'!$F228)</f>
        <v>0</v>
      </c>
      <c r="L228" s="479">
        <f>SUMIFS(통합데이터!W$5:W$112,통합데이터!$AF$5:$AF$112,'2.구축비_요약'!$D228,통합데이터!$F$5:$F$112,'2.구축비_요약'!$E228,통합데이터!$G$5:$G$112,'2.구축비_요약'!$F228)</f>
        <v>0</v>
      </c>
      <c r="M228" s="479">
        <f>SUMIFS(통합데이터!X$5:X$112,통합데이터!$AF$5:$AF$112,'2.구축비_요약'!$D228,통합데이터!$F$5:$F$112,'2.구축비_요약'!$E228,통합데이터!$G$5:$G$112,'2.구축비_요약'!$F228)</f>
        <v>0</v>
      </c>
      <c r="N228" s="479">
        <f>SUMIFS(통합데이터!Y$5:Y$112,통합데이터!$AF$5:$AF$112,'2.구축비_요약'!$D228,통합데이터!$F$5:$F$112,'2.구축비_요약'!$E228,통합데이터!$G$5:$G$112,'2.구축비_요약'!$F228)</f>
        <v>0</v>
      </c>
      <c r="O228" s="479">
        <f>SUMIFS(통합데이터!Z$5:Z$112,통합데이터!$AF$5:$AF$112,'2.구축비_요약'!$D228,통합데이터!$F$5:$F$112,'2.구축비_요약'!$E228,통합데이터!$G$5:$G$112,'2.구축비_요약'!$F228)</f>
        <v>0</v>
      </c>
      <c r="P228" s="479">
        <f>SUMIFS(통합데이터!AA$5:AA$112,통합데이터!$AF$5:$AF$112,'2.구축비_요약'!$D228,통합데이터!$F$5:$F$112,'2.구축비_요약'!$E228,통합데이터!$G$5:$G$112,'2.구축비_요약'!$F228)</f>
        <v>0</v>
      </c>
      <c r="Q228" s="479">
        <f>SUMIFS(통합데이터!AB$5:AB$112,통합데이터!$AF$5:$AF$112,'2.구축비_요약'!$D228,통합데이터!$F$5:$F$112,'2.구축비_요약'!$E228,통합데이터!$G$5:$G$112,'2.구축비_요약'!$F228)</f>
        <v>0</v>
      </c>
      <c r="R228" s="479">
        <f>SUMIFS(통합데이터!AC$5:AC$112,통합데이터!$AF$5:$AF$112,'2.구축비_요약'!$D228,통합데이터!$F$5:$F$112,'2.구축비_요약'!$E228,통합데이터!$G$5:$G$112,'2.구축비_요약'!$F228)</f>
        <v>0</v>
      </c>
      <c r="S228" s="479">
        <f>SUMIFS(통합데이터!AD$5:AD$112,통합데이터!$AF$5:$AF$112,'2.구축비_요약'!$D228,통합데이터!$F$5:$F$112,'2.구축비_요약'!$E228,통합데이터!$G$5:$G$112,'2.구축비_요약'!$F228)</f>
        <v>0</v>
      </c>
      <c r="T228" s="480">
        <f>SUMIFS(통합데이터!AE$5:AE$112,통합데이터!$AF$5:$AF$112,'2.구축비_요약'!$D228,통합데이터!$F$5:$F$112,'2.구축비_요약'!$E228,통합데이터!$G$5:$G$112,'2.구축비_요약'!$F228)</f>
        <v>0</v>
      </c>
    </row>
    <row r="229" spans="3:20" hidden="1">
      <c r="C229" s="477" t="s">
        <v>1091</v>
      </c>
      <c r="D229" s="478" t="str">
        <f t="shared" si="139"/>
        <v>에이피위즈덤</v>
      </c>
      <c r="E229" s="482" t="s">
        <v>1099</v>
      </c>
      <c r="F229" s="482" t="s">
        <v>151</v>
      </c>
      <c r="G229" s="479">
        <f t="shared" si="136"/>
        <v>0</v>
      </c>
      <c r="H229" s="479">
        <f>SUMIFS(통합데이터!$O$5:$O$112,통합데이터!$AF$5:$AF$112,'2.구축비_요약'!$D229,통합데이터!$F$5:$F$112,'2.구축비_요약'!$E229,통합데이터!$G$5:$G$112,'2.구축비_요약'!$F229)</f>
        <v>0</v>
      </c>
      <c r="I229" s="479">
        <f>SUMIFS(통합데이터!T$5:T$112,통합데이터!$AF$5:$AF$112,'2.구축비_요약'!$D229,통합데이터!$F$5:$F$112,'2.구축비_요약'!$E229,통합데이터!$G$5:$G$112,'2.구축비_요약'!$F229)</f>
        <v>0</v>
      </c>
      <c r="J229" s="479">
        <f>SUMIFS(통합데이터!U$5:U$112,통합데이터!$AF$5:$AF$112,'2.구축비_요약'!$D229,통합데이터!$F$5:$F$112,'2.구축비_요약'!$E229,통합데이터!$G$5:$G$112,'2.구축비_요약'!$F229)</f>
        <v>0</v>
      </c>
      <c r="K229" s="479">
        <f>SUMIFS(통합데이터!V$5:V$112,통합데이터!$AF$5:$AF$112,'2.구축비_요약'!$D229,통합데이터!$F$5:$F$112,'2.구축비_요약'!$E229,통합데이터!$G$5:$G$112,'2.구축비_요약'!$F229)</f>
        <v>0</v>
      </c>
      <c r="L229" s="479">
        <f>SUMIFS(통합데이터!W$5:W$112,통합데이터!$AF$5:$AF$112,'2.구축비_요약'!$D229,통합데이터!$F$5:$F$112,'2.구축비_요약'!$E229,통합데이터!$G$5:$G$112,'2.구축비_요약'!$F229)</f>
        <v>0</v>
      </c>
      <c r="M229" s="479">
        <f>SUMIFS(통합데이터!X$5:X$112,통합데이터!$AF$5:$AF$112,'2.구축비_요약'!$D229,통합데이터!$F$5:$F$112,'2.구축비_요약'!$E229,통합데이터!$G$5:$G$112,'2.구축비_요약'!$F229)</f>
        <v>0</v>
      </c>
      <c r="N229" s="479">
        <f>SUMIFS(통합데이터!Y$5:Y$112,통합데이터!$AF$5:$AF$112,'2.구축비_요약'!$D229,통합데이터!$F$5:$F$112,'2.구축비_요약'!$E229,통합데이터!$G$5:$G$112,'2.구축비_요약'!$F229)</f>
        <v>0</v>
      </c>
      <c r="O229" s="479">
        <f>SUMIFS(통합데이터!Z$5:Z$112,통합데이터!$AF$5:$AF$112,'2.구축비_요약'!$D229,통합데이터!$F$5:$F$112,'2.구축비_요약'!$E229,통합데이터!$G$5:$G$112,'2.구축비_요약'!$F229)</f>
        <v>0</v>
      </c>
      <c r="P229" s="479">
        <f>SUMIFS(통합데이터!AA$5:AA$112,통합데이터!$AF$5:$AF$112,'2.구축비_요약'!$D229,통합데이터!$F$5:$F$112,'2.구축비_요약'!$E229,통합데이터!$G$5:$G$112,'2.구축비_요약'!$F229)</f>
        <v>0</v>
      </c>
      <c r="Q229" s="479">
        <f>SUMIFS(통합데이터!AB$5:AB$112,통합데이터!$AF$5:$AF$112,'2.구축비_요약'!$D229,통합데이터!$F$5:$F$112,'2.구축비_요약'!$E229,통합데이터!$G$5:$G$112,'2.구축비_요약'!$F229)</f>
        <v>0</v>
      </c>
      <c r="R229" s="479">
        <f>SUMIFS(통합데이터!AC$5:AC$112,통합데이터!$AF$5:$AF$112,'2.구축비_요약'!$D229,통합데이터!$F$5:$F$112,'2.구축비_요약'!$E229,통합데이터!$G$5:$G$112,'2.구축비_요약'!$F229)</f>
        <v>0</v>
      </c>
      <c r="S229" s="479">
        <f>SUMIFS(통합데이터!AD$5:AD$112,통합데이터!$AF$5:$AF$112,'2.구축비_요약'!$D229,통합데이터!$F$5:$F$112,'2.구축비_요약'!$E229,통합데이터!$G$5:$G$112,'2.구축비_요약'!$F229)</f>
        <v>0</v>
      </c>
      <c r="T229" s="480">
        <f>SUMIFS(통합데이터!AE$5:AE$112,통합데이터!$AF$5:$AF$112,'2.구축비_요약'!$D229,통합데이터!$F$5:$F$112,'2.구축비_요약'!$E229,통합데이터!$G$5:$G$112,'2.구축비_요약'!$F229)</f>
        <v>0</v>
      </c>
    </row>
    <row r="230" spans="3:20" hidden="1">
      <c r="C230" s="477" t="s">
        <v>1171</v>
      </c>
      <c r="D230" s="478" t="str">
        <f t="shared" si="139"/>
        <v>에이피위즈덤</v>
      </c>
      <c r="E230" s="482" t="s">
        <v>270</v>
      </c>
      <c r="F230" s="482" t="s">
        <v>151</v>
      </c>
      <c r="G230" s="479">
        <f t="shared" si="136"/>
        <v>0</v>
      </c>
      <c r="H230" s="479">
        <f>SUMIFS(통합데이터!$O$5:$O$112,통합데이터!$AF$5:$AF$112,'2.구축비_요약'!$D230,통합데이터!$F$5:$F$112,'2.구축비_요약'!$E230,통합데이터!$G$5:$G$112,'2.구축비_요약'!$F230)</f>
        <v>0</v>
      </c>
      <c r="I230" s="479">
        <f>SUMIFS(통합데이터!T$5:T$112,통합데이터!$AF$5:$AF$112,'2.구축비_요약'!$D230,통합데이터!$F$5:$F$112,'2.구축비_요약'!$E230,통합데이터!$G$5:$G$112,'2.구축비_요약'!$F230)</f>
        <v>0</v>
      </c>
      <c r="J230" s="479">
        <f>SUMIFS(통합데이터!U$5:U$112,통합데이터!$AF$5:$AF$112,'2.구축비_요약'!$D230,통합데이터!$F$5:$F$112,'2.구축비_요약'!$E230,통합데이터!$G$5:$G$112,'2.구축비_요약'!$F230)</f>
        <v>0</v>
      </c>
      <c r="K230" s="479">
        <f>SUMIFS(통합데이터!V$5:V$112,통합데이터!$AF$5:$AF$112,'2.구축비_요약'!$D230,통합데이터!$F$5:$F$112,'2.구축비_요약'!$E230,통합데이터!$G$5:$G$112,'2.구축비_요약'!$F230)</f>
        <v>0</v>
      </c>
      <c r="L230" s="479">
        <f>SUMIFS(통합데이터!W$5:W$112,통합데이터!$AF$5:$AF$112,'2.구축비_요약'!$D230,통합데이터!$F$5:$F$112,'2.구축비_요약'!$E230,통합데이터!$G$5:$G$112,'2.구축비_요약'!$F230)</f>
        <v>0</v>
      </c>
      <c r="M230" s="479">
        <f>SUMIFS(통합데이터!X$5:X$112,통합데이터!$AF$5:$AF$112,'2.구축비_요약'!$D230,통합데이터!$F$5:$F$112,'2.구축비_요약'!$E230,통합데이터!$G$5:$G$112,'2.구축비_요약'!$F230)</f>
        <v>0</v>
      </c>
      <c r="N230" s="479">
        <f>SUMIFS(통합데이터!Y$5:Y$112,통합데이터!$AF$5:$AF$112,'2.구축비_요약'!$D230,통합데이터!$F$5:$F$112,'2.구축비_요약'!$E230,통합데이터!$G$5:$G$112,'2.구축비_요약'!$F230)</f>
        <v>0</v>
      </c>
      <c r="O230" s="479">
        <f>SUMIFS(통합데이터!Z$5:Z$112,통합데이터!$AF$5:$AF$112,'2.구축비_요약'!$D230,통합데이터!$F$5:$F$112,'2.구축비_요약'!$E230,통합데이터!$G$5:$G$112,'2.구축비_요약'!$F230)</f>
        <v>0</v>
      </c>
      <c r="P230" s="479">
        <f>SUMIFS(통합데이터!AA$5:AA$112,통합데이터!$AF$5:$AF$112,'2.구축비_요약'!$D230,통합데이터!$F$5:$F$112,'2.구축비_요약'!$E230,통합데이터!$G$5:$G$112,'2.구축비_요약'!$F230)</f>
        <v>0</v>
      </c>
      <c r="Q230" s="479">
        <f>SUMIFS(통합데이터!AB$5:AB$112,통합데이터!$AF$5:$AF$112,'2.구축비_요약'!$D230,통합데이터!$F$5:$F$112,'2.구축비_요약'!$E230,통합데이터!$G$5:$G$112,'2.구축비_요약'!$F230)</f>
        <v>0</v>
      </c>
      <c r="R230" s="479">
        <f>SUMIFS(통합데이터!AC$5:AC$112,통합데이터!$AF$5:$AF$112,'2.구축비_요약'!$D230,통합데이터!$F$5:$F$112,'2.구축비_요약'!$E230,통합데이터!$G$5:$G$112,'2.구축비_요약'!$F230)</f>
        <v>0</v>
      </c>
      <c r="S230" s="479">
        <f>SUMIFS(통합데이터!AD$5:AD$112,통합데이터!$AF$5:$AF$112,'2.구축비_요약'!$D230,통합데이터!$F$5:$F$112,'2.구축비_요약'!$E230,통합데이터!$G$5:$G$112,'2.구축비_요약'!$F230)</f>
        <v>0</v>
      </c>
      <c r="T230" s="480">
        <f>SUMIFS(통합데이터!AE$5:AE$112,통합데이터!$AF$5:$AF$112,'2.구축비_요약'!$D230,통합데이터!$F$5:$F$112,'2.구축비_요약'!$E230,통합데이터!$G$5:$G$112,'2.구축비_요약'!$F230)</f>
        <v>0</v>
      </c>
    </row>
    <row r="231" spans="3:20" hidden="1">
      <c r="C231" s="477" t="s">
        <v>1091</v>
      </c>
      <c r="D231" s="478" t="str">
        <f t="shared" si="139"/>
        <v>에이피위즈덤</v>
      </c>
      <c r="E231" s="482" t="s">
        <v>1099</v>
      </c>
      <c r="F231" s="482" t="s">
        <v>151</v>
      </c>
      <c r="G231" s="479">
        <f t="shared" si="136"/>
        <v>0</v>
      </c>
      <c r="H231" s="479">
        <f>SUMIFS(통합데이터!$O$5:$O$112,통합데이터!$AF$5:$AF$112,'2.구축비_요약'!$D231,통합데이터!$F$5:$F$112,'2.구축비_요약'!$E231,통합데이터!$G$5:$G$112,'2.구축비_요약'!$F231)</f>
        <v>0</v>
      </c>
      <c r="I231" s="479">
        <f>SUMIFS(통합데이터!T$5:T$112,통합데이터!$AF$5:$AF$112,'2.구축비_요약'!$D231,통합데이터!$F$5:$F$112,'2.구축비_요약'!$E231,통합데이터!$G$5:$G$112,'2.구축비_요약'!$F231)</f>
        <v>0</v>
      </c>
      <c r="J231" s="479">
        <f>SUMIFS(통합데이터!U$5:U$112,통합데이터!$AF$5:$AF$112,'2.구축비_요약'!$D231,통합데이터!$F$5:$F$112,'2.구축비_요약'!$E231,통합데이터!$G$5:$G$112,'2.구축비_요약'!$F231)</f>
        <v>0</v>
      </c>
      <c r="K231" s="479">
        <f>SUMIFS(통합데이터!V$5:V$112,통합데이터!$AF$5:$AF$112,'2.구축비_요약'!$D231,통합데이터!$F$5:$F$112,'2.구축비_요약'!$E231,통합데이터!$G$5:$G$112,'2.구축비_요약'!$F231)</f>
        <v>0</v>
      </c>
      <c r="L231" s="479">
        <f>SUMIFS(통합데이터!W$5:W$112,통합데이터!$AF$5:$AF$112,'2.구축비_요약'!$D231,통합데이터!$F$5:$F$112,'2.구축비_요약'!$E231,통합데이터!$G$5:$G$112,'2.구축비_요약'!$F231)</f>
        <v>0</v>
      </c>
      <c r="M231" s="479">
        <f>SUMIFS(통합데이터!X$5:X$112,통합데이터!$AF$5:$AF$112,'2.구축비_요약'!$D231,통합데이터!$F$5:$F$112,'2.구축비_요약'!$E231,통합데이터!$G$5:$G$112,'2.구축비_요약'!$F231)</f>
        <v>0</v>
      </c>
      <c r="N231" s="479">
        <f>SUMIFS(통합데이터!Y$5:Y$112,통합데이터!$AF$5:$AF$112,'2.구축비_요약'!$D231,통합데이터!$F$5:$F$112,'2.구축비_요약'!$E231,통합데이터!$G$5:$G$112,'2.구축비_요약'!$F231)</f>
        <v>0</v>
      </c>
      <c r="O231" s="479">
        <f>SUMIFS(통합데이터!Z$5:Z$112,통합데이터!$AF$5:$AF$112,'2.구축비_요약'!$D231,통합데이터!$F$5:$F$112,'2.구축비_요약'!$E231,통합데이터!$G$5:$G$112,'2.구축비_요약'!$F231)</f>
        <v>0</v>
      </c>
      <c r="P231" s="479">
        <f>SUMIFS(통합데이터!AA$5:AA$112,통합데이터!$AF$5:$AF$112,'2.구축비_요약'!$D231,통합데이터!$F$5:$F$112,'2.구축비_요약'!$E231,통합데이터!$G$5:$G$112,'2.구축비_요약'!$F231)</f>
        <v>0</v>
      </c>
      <c r="Q231" s="479">
        <f>SUMIFS(통합데이터!AB$5:AB$112,통합데이터!$AF$5:$AF$112,'2.구축비_요약'!$D231,통합데이터!$F$5:$F$112,'2.구축비_요약'!$E231,통합데이터!$G$5:$G$112,'2.구축비_요약'!$F231)</f>
        <v>0</v>
      </c>
      <c r="R231" s="479">
        <f>SUMIFS(통합데이터!AC$5:AC$112,통합데이터!$AF$5:$AF$112,'2.구축비_요약'!$D231,통합데이터!$F$5:$F$112,'2.구축비_요약'!$E231,통합데이터!$G$5:$G$112,'2.구축비_요약'!$F231)</f>
        <v>0</v>
      </c>
      <c r="S231" s="479">
        <f>SUMIFS(통합데이터!AD$5:AD$112,통합데이터!$AF$5:$AF$112,'2.구축비_요약'!$D231,통합데이터!$F$5:$F$112,'2.구축비_요약'!$E231,통합데이터!$G$5:$G$112,'2.구축비_요약'!$F231)</f>
        <v>0</v>
      </c>
      <c r="T231" s="480">
        <f>SUMIFS(통합데이터!AE$5:AE$112,통합데이터!$AF$5:$AF$112,'2.구축비_요약'!$D231,통합데이터!$F$5:$F$112,'2.구축비_요약'!$E231,통합데이터!$G$5:$G$112,'2.구축비_요약'!$F231)</f>
        <v>0</v>
      </c>
    </row>
    <row r="232" spans="3:20" hidden="1">
      <c r="C232" s="483" t="s">
        <v>231</v>
      </c>
      <c r="D232" s="484"/>
      <c r="E232" s="484"/>
      <c r="F232" s="484"/>
      <c r="G232" s="485">
        <f t="shared" si="136"/>
        <v>0</v>
      </c>
      <c r="H232" s="485">
        <f>SUM(H227:H231)</f>
        <v>0</v>
      </c>
      <c r="I232" s="485">
        <f>SUM(I227:I231)</f>
        <v>0</v>
      </c>
      <c r="J232" s="485">
        <f t="shared" ref="J232:T232" si="140">SUM(J227:J231)</f>
        <v>0</v>
      </c>
      <c r="K232" s="485">
        <f t="shared" si="140"/>
        <v>0</v>
      </c>
      <c r="L232" s="485">
        <f t="shared" si="140"/>
        <v>0</v>
      </c>
      <c r="M232" s="485">
        <f t="shared" si="140"/>
        <v>0</v>
      </c>
      <c r="N232" s="485">
        <f t="shared" si="140"/>
        <v>0</v>
      </c>
      <c r="O232" s="485">
        <f t="shared" si="140"/>
        <v>0</v>
      </c>
      <c r="P232" s="485">
        <f t="shared" si="140"/>
        <v>0</v>
      </c>
      <c r="Q232" s="485">
        <f t="shared" si="140"/>
        <v>0</v>
      </c>
      <c r="R232" s="485">
        <f t="shared" si="140"/>
        <v>0</v>
      </c>
      <c r="S232" s="485">
        <f t="shared" si="140"/>
        <v>0</v>
      </c>
      <c r="T232" s="486">
        <f t="shared" si="140"/>
        <v>0</v>
      </c>
    </row>
    <row r="233" spans="3:20" hidden="1">
      <c r="C233" s="477" t="s">
        <v>288</v>
      </c>
      <c r="D233" s="478" t="str">
        <f>$C$218</f>
        <v>에이피위즈덤</v>
      </c>
      <c r="E233" s="478" t="s">
        <v>1103</v>
      </c>
      <c r="F233" s="478" t="s">
        <v>1095</v>
      </c>
      <c r="G233" s="479">
        <f t="shared" si="136"/>
        <v>0</v>
      </c>
      <c r="H233" s="479">
        <f>SUMIFS(통합데이터!$O$5:$O$112,통합데이터!$AF$5:$AF$112,'2.구축비_요약'!$D233,통합데이터!$F$5:$F$112,'2.구축비_요약'!$E233,통합데이터!$G$5:$G$112,'2.구축비_요약'!$F233)</f>
        <v>0</v>
      </c>
      <c r="I233" s="479">
        <f>SUMIFS(통합데이터!T$5:T$112,통합데이터!$AF$5:$AF$112,'2.구축비_요약'!$D233,통합데이터!$F$5:$F$112,'2.구축비_요약'!$E233,통합데이터!$G$5:$G$112,'2.구축비_요약'!$F233)</f>
        <v>0</v>
      </c>
      <c r="J233" s="479">
        <f>SUMIFS(통합데이터!U$5:U$112,통합데이터!$AF$5:$AF$112,'2.구축비_요약'!$D233,통합데이터!$F$5:$F$112,'2.구축비_요약'!$E233,통합데이터!$G$5:$G$112,'2.구축비_요약'!$F233)</f>
        <v>0</v>
      </c>
      <c r="K233" s="479">
        <f>SUMIFS(통합데이터!V$5:V$112,통합데이터!$AF$5:$AF$112,'2.구축비_요약'!$D233,통합데이터!$F$5:$F$112,'2.구축비_요약'!$E233,통합데이터!$G$5:$G$112,'2.구축비_요약'!$F233)</f>
        <v>0</v>
      </c>
      <c r="L233" s="479">
        <f>SUMIFS(통합데이터!W$5:W$112,통합데이터!$AF$5:$AF$112,'2.구축비_요약'!$D233,통합데이터!$F$5:$F$112,'2.구축비_요약'!$E233,통합데이터!$G$5:$G$112,'2.구축비_요약'!$F233)</f>
        <v>0</v>
      </c>
      <c r="M233" s="479">
        <f>SUMIFS(통합데이터!X$5:X$112,통합데이터!$AF$5:$AF$112,'2.구축비_요약'!$D233,통합데이터!$F$5:$F$112,'2.구축비_요약'!$E233,통합데이터!$G$5:$G$112,'2.구축비_요약'!$F233)</f>
        <v>0</v>
      </c>
      <c r="N233" s="479">
        <f>SUMIFS(통합데이터!Y$5:Y$112,통합데이터!$AF$5:$AF$112,'2.구축비_요약'!$D233,통합데이터!$F$5:$F$112,'2.구축비_요약'!$E233,통합데이터!$G$5:$G$112,'2.구축비_요약'!$F233)</f>
        <v>0</v>
      </c>
      <c r="O233" s="479">
        <f>SUMIFS(통합데이터!Z$5:Z$112,통합데이터!$AF$5:$AF$112,'2.구축비_요약'!$D233,통합데이터!$F$5:$F$112,'2.구축비_요약'!$E233,통합데이터!$G$5:$G$112,'2.구축비_요약'!$F233)</f>
        <v>0</v>
      </c>
      <c r="P233" s="479">
        <f>SUMIFS(통합데이터!AA$5:AA$112,통합데이터!$AF$5:$AF$112,'2.구축비_요약'!$D233,통합데이터!$F$5:$F$112,'2.구축비_요약'!$E233,통합데이터!$G$5:$G$112,'2.구축비_요약'!$F233)</f>
        <v>0</v>
      </c>
      <c r="Q233" s="479">
        <f>SUMIFS(통합데이터!AB$5:AB$112,통합데이터!$AF$5:$AF$112,'2.구축비_요약'!$D233,통합데이터!$F$5:$F$112,'2.구축비_요약'!$E233,통합데이터!$G$5:$G$112,'2.구축비_요약'!$F233)</f>
        <v>0</v>
      </c>
      <c r="R233" s="479">
        <f>SUMIFS(통합데이터!AC$5:AC$112,통합데이터!$AF$5:$AF$112,'2.구축비_요약'!$D233,통합데이터!$F$5:$F$112,'2.구축비_요약'!$E233,통합데이터!$G$5:$G$112,'2.구축비_요약'!$F233)</f>
        <v>0</v>
      </c>
      <c r="S233" s="479">
        <f>SUMIFS(통합데이터!AD$5:AD$112,통합데이터!$AF$5:$AF$112,'2.구축비_요약'!$D233,통합데이터!$F$5:$F$112,'2.구축비_요약'!$E233,통합데이터!$G$5:$G$112,'2.구축비_요약'!$F233)</f>
        <v>0</v>
      </c>
      <c r="T233" s="480">
        <f>SUMIFS(통합데이터!AE$5:AE$112,통합데이터!$AF$5:$AF$112,'2.구축비_요약'!$D233,통합데이터!$F$5:$F$112,'2.구축비_요약'!$E233,통합데이터!$G$5:$G$112,'2.구축비_요약'!$F233)</f>
        <v>0</v>
      </c>
    </row>
    <row r="234" spans="3:20" hidden="1">
      <c r="C234" s="477" t="s">
        <v>1091</v>
      </c>
      <c r="D234" s="478" t="str">
        <f t="shared" ref="D234:D237" si="141">$C$218</f>
        <v>에이피위즈덤</v>
      </c>
      <c r="E234" s="478" t="s">
        <v>271</v>
      </c>
      <c r="F234" s="478" t="s">
        <v>1135</v>
      </c>
      <c r="G234" s="479">
        <f t="shared" si="136"/>
        <v>0</v>
      </c>
      <c r="H234" s="479">
        <f>SUMIFS(통합데이터!$O$5:$O$112,통합데이터!$AF$5:$AF$112,'2.구축비_요약'!$D234,통합데이터!$F$5:$F$112,'2.구축비_요약'!$E234,통합데이터!$G$5:$G$112,'2.구축비_요약'!$F234)</f>
        <v>0</v>
      </c>
      <c r="I234" s="479">
        <f>SUMIFS(통합데이터!T$5:T$112,통합데이터!$AF$5:$AF$112,'2.구축비_요약'!$D234,통합데이터!$F$5:$F$112,'2.구축비_요약'!$E234,통합데이터!$G$5:$G$112,'2.구축비_요약'!$F234)</f>
        <v>0</v>
      </c>
      <c r="J234" s="479">
        <f>SUMIFS(통합데이터!U$5:U$112,통합데이터!$AF$5:$AF$112,'2.구축비_요약'!$D234,통합데이터!$F$5:$F$112,'2.구축비_요약'!$E234,통합데이터!$G$5:$G$112,'2.구축비_요약'!$F234)</f>
        <v>0</v>
      </c>
      <c r="K234" s="479">
        <f>SUMIFS(통합데이터!V$5:V$112,통합데이터!$AF$5:$AF$112,'2.구축비_요약'!$D234,통합데이터!$F$5:$F$112,'2.구축비_요약'!$E234,통합데이터!$G$5:$G$112,'2.구축비_요약'!$F234)</f>
        <v>0</v>
      </c>
      <c r="L234" s="479">
        <f>SUMIFS(통합데이터!W$5:W$112,통합데이터!$AF$5:$AF$112,'2.구축비_요약'!$D234,통합데이터!$F$5:$F$112,'2.구축비_요약'!$E234,통합데이터!$G$5:$G$112,'2.구축비_요약'!$F234)</f>
        <v>0</v>
      </c>
      <c r="M234" s="479">
        <f>SUMIFS(통합데이터!X$5:X$112,통합데이터!$AF$5:$AF$112,'2.구축비_요약'!$D234,통합데이터!$F$5:$F$112,'2.구축비_요약'!$E234,통합데이터!$G$5:$G$112,'2.구축비_요약'!$F234)</f>
        <v>0</v>
      </c>
      <c r="N234" s="479">
        <f>SUMIFS(통합데이터!Y$5:Y$112,통합데이터!$AF$5:$AF$112,'2.구축비_요약'!$D234,통합데이터!$F$5:$F$112,'2.구축비_요약'!$E234,통합데이터!$G$5:$G$112,'2.구축비_요약'!$F234)</f>
        <v>0</v>
      </c>
      <c r="O234" s="479">
        <f>SUMIFS(통합데이터!Z$5:Z$112,통합데이터!$AF$5:$AF$112,'2.구축비_요약'!$D234,통합데이터!$F$5:$F$112,'2.구축비_요약'!$E234,통합데이터!$G$5:$G$112,'2.구축비_요약'!$F234)</f>
        <v>0</v>
      </c>
      <c r="P234" s="479">
        <f>SUMIFS(통합데이터!AA$5:AA$112,통합데이터!$AF$5:$AF$112,'2.구축비_요약'!$D234,통합데이터!$F$5:$F$112,'2.구축비_요약'!$E234,통합데이터!$G$5:$G$112,'2.구축비_요약'!$F234)</f>
        <v>0</v>
      </c>
      <c r="Q234" s="479">
        <f>SUMIFS(통합데이터!AB$5:AB$112,통합데이터!$AF$5:$AF$112,'2.구축비_요약'!$D234,통합데이터!$F$5:$F$112,'2.구축비_요약'!$E234,통합데이터!$G$5:$G$112,'2.구축비_요약'!$F234)</f>
        <v>0</v>
      </c>
      <c r="R234" s="479">
        <f>SUMIFS(통합데이터!AC$5:AC$112,통합데이터!$AF$5:$AF$112,'2.구축비_요약'!$D234,통합데이터!$F$5:$F$112,'2.구축비_요약'!$E234,통합데이터!$G$5:$G$112,'2.구축비_요약'!$F234)</f>
        <v>0</v>
      </c>
      <c r="S234" s="479">
        <f>SUMIFS(통합데이터!AD$5:AD$112,통합데이터!$AF$5:$AF$112,'2.구축비_요약'!$D234,통합데이터!$F$5:$F$112,'2.구축비_요약'!$E234,통합데이터!$G$5:$G$112,'2.구축비_요약'!$F234)</f>
        <v>0</v>
      </c>
      <c r="T234" s="480">
        <f>SUMIFS(통합데이터!AE$5:AE$112,통합데이터!$AF$5:$AF$112,'2.구축비_요약'!$D234,통합데이터!$F$5:$F$112,'2.구축비_요약'!$E234,통합데이터!$G$5:$G$112,'2.구축비_요약'!$F234)</f>
        <v>0</v>
      </c>
    </row>
    <row r="235" spans="3:20" hidden="1">
      <c r="C235" s="477" t="s">
        <v>1091</v>
      </c>
      <c r="D235" s="478" t="str">
        <f t="shared" si="141"/>
        <v>에이피위즈덤</v>
      </c>
      <c r="E235" s="478" t="s">
        <v>1103</v>
      </c>
      <c r="F235" s="478" t="s">
        <v>269</v>
      </c>
      <c r="G235" s="479">
        <f t="shared" si="136"/>
        <v>0</v>
      </c>
      <c r="H235" s="479">
        <f>SUMIFS(통합데이터!$O$5:$O$112,통합데이터!$AF$5:$AF$112,'2.구축비_요약'!$D235,통합데이터!$F$5:$F$112,'2.구축비_요약'!$E235,통합데이터!$G$5:$G$112,'2.구축비_요약'!$F235)</f>
        <v>0</v>
      </c>
      <c r="I235" s="479">
        <f>SUMIFS(통합데이터!T$5:T$112,통합데이터!$AF$5:$AF$112,'2.구축비_요약'!$D235,통합데이터!$F$5:$F$112,'2.구축비_요약'!$E235,통합데이터!$G$5:$G$112,'2.구축비_요약'!$F235)</f>
        <v>0</v>
      </c>
      <c r="J235" s="479">
        <f>SUMIFS(통합데이터!U$5:U$112,통합데이터!$AF$5:$AF$112,'2.구축비_요약'!$D235,통합데이터!$F$5:$F$112,'2.구축비_요약'!$E235,통합데이터!$G$5:$G$112,'2.구축비_요약'!$F235)</f>
        <v>0</v>
      </c>
      <c r="K235" s="479">
        <f>SUMIFS(통합데이터!V$5:V$112,통합데이터!$AF$5:$AF$112,'2.구축비_요약'!$D235,통합데이터!$F$5:$F$112,'2.구축비_요약'!$E235,통합데이터!$G$5:$G$112,'2.구축비_요약'!$F235)</f>
        <v>0</v>
      </c>
      <c r="L235" s="479">
        <f>SUMIFS(통합데이터!W$5:W$112,통합데이터!$AF$5:$AF$112,'2.구축비_요약'!$D235,통합데이터!$F$5:$F$112,'2.구축비_요약'!$E235,통합데이터!$G$5:$G$112,'2.구축비_요약'!$F235)</f>
        <v>0</v>
      </c>
      <c r="M235" s="479">
        <f>SUMIFS(통합데이터!X$5:X$112,통합데이터!$AF$5:$AF$112,'2.구축비_요약'!$D235,통합데이터!$F$5:$F$112,'2.구축비_요약'!$E235,통합데이터!$G$5:$G$112,'2.구축비_요약'!$F235)</f>
        <v>0</v>
      </c>
      <c r="N235" s="479">
        <f>SUMIFS(통합데이터!Y$5:Y$112,통합데이터!$AF$5:$AF$112,'2.구축비_요약'!$D235,통합데이터!$F$5:$F$112,'2.구축비_요약'!$E235,통합데이터!$G$5:$G$112,'2.구축비_요약'!$F235)</f>
        <v>0</v>
      </c>
      <c r="O235" s="479">
        <f>SUMIFS(통합데이터!Z$5:Z$112,통합데이터!$AF$5:$AF$112,'2.구축비_요약'!$D235,통합데이터!$F$5:$F$112,'2.구축비_요약'!$E235,통합데이터!$G$5:$G$112,'2.구축비_요약'!$F235)</f>
        <v>0</v>
      </c>
      <c r="P235" s="479">
        <f>SUMIFS(통합데이터!AA$5:AA$112,통합데이터!$AF$5:$AF$112,'2.구축비_요약'!$D235,통합데이터!$F$5:$F$112,'2.구축비_요약'!$E235,통합데이터!$G$5:$G$112,'2.구축비_요약'!$F235)</f>
        <v>0</v>
      </c>
      <c r="Q235" s="479">
        <f>SUMIFS(통합데이터!AB$5:AB$112,통합데이터!$AF$5:$AF$112,'2.구축비_요약'!$D235,통합데이터!$F$5:$F$112,'2.구축비_요약'!$E235,통합데이터!$G$5:$G$112,'2.구축비_요약'!$F235)</f>
        <v>0</v>
      </c>
      <c r="R235" s="479">
        <f>SUMIFS(통합데이터!AC$5:AC$112,통합데이터!$AF$5:$AF$112,'2.구축비_요약'!$D235,통합데이터!$F$5:$F$112,'2.구축비_요약'!$E235,통합데이터!$G$5:$G$112,'2.구축비_요약'!$F235)</f>
        <v>0</v>
      </c>
      <c r="S235" s="479">
        <f>SUMIFS(통합데이터!AD$5:AD$112,통합데이터!$AF$5:$AF$112,'2.구축비_요약'!$D235,통합데이터!$F$5:$F$112,'2.구축비_요약'!$E235,통합데이터!$G$5:$G$112,'2.구축비_요약'!$F235)</f>
        <v>0</v>
      </c>
      <c r="T235" s="480">
        <f>SUMIFS(통합데이터!AE$5:AE$112,통합데이터!$AF$5:$AF$112,'2.구축비_요약'!$D235,통합데이터!$F$5:$F$112,'2.구축비_요약'!$E235,통합데이터!$G$5:$G$112,'2.구축비_요약'!$F235)</f>
        <v>0</v>
      </c>
    </row>
    <row r="236" spans="3:20" hidden="1">
      <c r="C236" s="477" t="s">
        <v>288</v>
      </c>
      <c r="D236" s="478" t="str">
        <f t="shared" si="141"/>
        <v>에이피위즈덤</v>
      </c>
      <c r="E236" s="482" t="s">
        <v>271</v>
      </c>
      <c r="F236" s="482" t="s">
        <v>151</v>
      </c>
      <c r="G236" s="479">
        <f t="shared" si="136"/>
        <v>0</v>
      </c>
      <c r="H236" s="479">
        <f>SUMIFS(통합데이터!$O$5:$O$112,통합데이터!$AF$5:$AF$112,'2.구축비_요약'!$D236,통합데이터!$F$5:$F$112,'2.구축비_요약'!$E236,통합데이터!$G$5:$G$112,'2.구축비_요약'!$F236)</f>
        <v>0</v>
      </c>
      <c r="I236" s="479">
        <f>SUMIFS(통합데이터!T$5:T$112,통합데이터!$AF$5:$AF$112,'2.구축비_요약'!$D236,통합데이터!$F$5:$F$112,'2.구축비_요약'!$E236,통합데이터!$G$5:$G$112,'2.구축비_요약'!$F236)</f>
        <v>0</v>
      </c>
      <c r="J236" s="479">
        <f>SUMIFS(통합데이터!U$5:U$112,통합데이터!$AF$5:$AF$112,'2.구축비_요약'!$D236,통합데이터!$F$5:$F$112,'2.구축비_요약'!$E236,통합데이터!$G$5:$G$112,'2.구축비_요약'!$F236)</f>
        <v>0</v>
      </c>
      <c r="K236" s="479">
        <f>SUMIFS(통합데이터!V$5:V$112,통합데이터!$AF$5:$AF$112,'2.구축비_요약'!$D236,통합데이터!$F$5:$F$112,'2.구축비_요약'!$E236,통합데이터!$G$5:$G$112,'2.구축비_요약'!$F236)</f>
        <v>0</v>
      </c>
      <c r="L236" s="479">
        <f>SUMIFS(통합데이터!W$5:W$112,통합데이터!$AF$5:$AF$112,'2.구축비_요약'!$D236,통합데이터!$F$5:$F$112,'2.구축비_요약'!$E236,통합데이터!$G$5:$G$112,'2.구축비_요약'!$F236)</f>
        <v>0</v>
      </c>
      <c r="M236" s="479">
        <f>SUMIFS(통합데이터!X$5:X$112,통합데이터!$AF$5:$AF$112,'2.구축비_요약'!$D236,통합데이터!$F$5:$F$112,'2.구축비_요약'!$E236,통합데이터!$G$5:$G$112,'2.구축비_요약'!$F236)</f>
        <v>0</v>
      </c>
      <c r="N236" s="479">
        <f>SUMIFS(통합데이터!Y$5:Y$112,통합데이터!$AF$5:$AF$112,'2.구축비_요약'!$D236,통합데이터!$F$5:$F$112,'2.구축비_요약'!$E236,통합데이터!$G$5:$G$112,'2.구축비_요약'!$F236)</f>
        <v>0</v>
      </c>
      <c r="O236" s="479">
        <f>SUMIFS(통합데이터!Z$5:Z$112,통합데이터!$AF$5:$AF$112,'2.구축비_요약'!$D236,통합데이터!$F$5:$F$112,'2.구축비_요약'!$E236,통합데이터!$G$5:$G$112,'2.구축비_요약'!$F236)</f>
        <v>0</v>
      </c>
      <c r="P236" s="479">
        <f>SUMIFS(통합데이터!AA$5:AA$112,통합데이터!$AF$5:$AF$112,'2.구축비_요약'!$D236,통합데이터!$F$5:$F$112,'2.구축비_요약'!$E236,통합데이터!$G$5:$G$112,'2.구축비_요약'!$F236)</f>
        <v>0</v>
      </c>
      <c r="Q236" s="479">
        <f>SUMIFS(통합데이터!AB$5:AB$112,통합데이터!$AF$5:$AF$112,'2.구축비_요약'!$D236,통합데이터!$F$5:$F$112,'2.구축비_요약'!$E236,통합데이터!$G$5:$G$112,'2.구축비_요약'!$F236)</f>
        <v>0</v>
      </c>
      <c r="R236" s="479">
        <f>SUMIFS(통합데이터!AC$5:AC$112,통합데이터!$AF$5:$AF$112,'2.구축비_요약'!$D236,통합데이터!$F$5:$F$112,'2.구축비_요약'!$E236,통합데이터!$G$5:$G$112,'2.구축비_요약'!$F236)</f>
        <v>0</v>
      </c>
      <c r="S236" s="479">
        <f>SUMIFS(통합데이터!AD$5:AD$112,통합데이터!$AF$5:$AF$112,'2.구축비_요약'!$D236,통합데이터!$F$5:$F$112,'2.구축비_요약'!$E236,통합데이터!$G$5:$G$112,'2.구축비_요약'!$F236)</f>
        <v>0</v>
      </c>
      <c r="T236" s="480">
        <f>SUMIFS(통합데이터!AE$5:AE$112,통합데이터!$AF$5:$AF$112,'2.구축비_요약'!$D236,통합데이터!$F$5:$F$112,'2.구축비_요약'!$E236,통합데이터!$G$5:$G$112,'2.구축비_요약'!$F236)</f>
        <v>0</v>
      </c>
    </row>
    <row r="237" spans="3:20" hidden="1">
      <c r="C237" s="477" t="s">
        <v>288</v>
      </c>
      <c r="D237" s="478" t="str">
        <f t="shared" si="141"/>
        <v>에이피위즈덤</v>
      </c>
      <c r="E237" s="482" t="s">
        <v>271</v>
      </c>
      <c r="F237" s="482" t="s">
        <v>151</v>
      </c>
      <c r="G237" s="479">
        <f t="shared" si="136"/>
        <v>0</v>
      </c>
      <c r="H237" s="479">
        <f>SUMIFS(통합데이터!$O$5:$O$112,통합데이터!$AF$5:$AF$112,'2.구축비_요약'!$D237,통합데이터!$F$5:$F$112,'2.구축비_요약'!$E237,통합데이터!$G$5:$G$112,'2.구축비_요약'!$F237)</f>
        <v>0</v>
      </c>
      <c r="I237" s="479">
        <f>SUMIFS(통합데이터!T$5:T$112,통합데이터!$AF$5:$AF$112,'2.구축비_요약'!$D237,통합데이터!$F$5:$F$112,'2.구축비_요약'!$E237,통합데이터!$G$5:$G$112,'2.구축비_요약'!$F237)</f>
        <v>0</v>
      </c>
      <c r="J237" s="479">
        <f>SUMIFS(통합데이터!U$5:U$112,통합데이터!$AF$5:$AF$112,'2.구축비_요약'!$D237,통합데이터!$F$5:$F$112,'2.구축비_요약'!$E237,통합데이터!$G$5:$G$112,'2.구축비_요약'!$F237)</f>
        <v>0</v>
      </c>
      <c r="K237" s="479">
        <f>SUMIFS(통합데이터!V$5:V$112,통합데이터!$AF$5:$AF$112,'2.구축비_요약'!$D237,통합데이터!$F$5:$F$112,'2.구축비_요약'!$E237,통합데이터!$G$5:$G$112,'2.구축비_요약'!$F237)</f>
        <v>0</v>
      </c>
      <c r="L237" s="479">
        <f>SUMIFS(통합데이터!W$5:W$112,통합데이터!$AF$5:$AF$112,'2.구축비_요약'!$D237,통합데이터!$F$5:$F$112,'2.구축비_요약'!$E237,통합데이터!$G$5:$G$112,'2.구축비_요약'!$F237)</f>
        <v>0</v>
      </c>
      <c r="M237" s="479">
        <f>SUMIFS(통합데이터!X$5:X$112,통합데이터!$AF$5:$AF$112,'2.구축비_요약'!$D237,통합데이터!$F$5:$F$112,'2.구축비_요약'!$E237,통합데이터!$G$5:$G$112,'2.구축비_요약'!$F237)</f>
        <v>0</v>
      </c>
      <c r="N237" s="479">
        <f>SUMIFS(통합데이터!Y$5:Y$112,통합데이터!$AF$5:$AF$112,'2.구축비_요약'!$D237,통합데이터!$F$5:$F$112,'2.구축비_요약'!$E237,통합데이터!$G$5:$G$112,'2.구축비_요약'!$F237)</f>
        <v>0</v>
      </c>
      <c r="O237" s="479">
        <f>SUMIFS(통합데이터!Z$5:Z$112,통합데이터!$AF$5:$AF$112,'2.구축비_요약'!$D237,통합데이터!$F$5:$F$112,'2.구축비_요약'!$E237,통합데이터!$G$5:$G$112,'2.구축비_요약'!$F237)</f>
        <v>0</v>
      </c>
      <c r="P237" s="479">
        <f>SUMIFS(통합데이터!AA$5:AA$112,통합데이터!$AF$5:$AF$112,'2.구축비_요약'!$D237,통합데이터!$F$5:$F$112,'2.구축비_요약'!$E237,통합데이터!$G$5:$G$112,'2.구축비_요약'!$F237)</f>
        <v>0</v>
      </c>
      <c r="Q237" s="479">
        <f>SUMIFS(통합데이터!AB$5:AB$112,통합데이터!$AF$5:$AF$112,'2.구축비_요약'!$D237,통합데이터!$F$5:$F$112,'2.구축비_요약'!$E237,통합데이터!$G$5:$G$112,'2.구축비_요약'!$F237)</f>
        <v>0</v>
      </c>
      <c r="R237" s="479">
        <f>SUMIFS(통합데이터!AC$5:AC$112,통합데이터!$AF$5:$AF$112,'2.구축비_요약'!$D237,통합데이터!$F$5:$F$112,'2.구축비_요약'!$E237,통합데이터!$G$5:$G$112,'2.구축비_요약'!$F237)</f>
        <v>0</v>
      </c>
      <c r="S237" s="479">
        <f>SUMIFS(통합데이터!AD$5:AD$112,통합데이터!$AF$5:$AF$112,'2.구축비_요약'!$D237,통합데이터!$F$5:$F$112,'2.구축비_요약'!$E237,통합데이터!$G$5:$G$112,'2.구축비_요약'!$F237)</f>
        <v>0</v>
      </c>
      <c r="T237" s="480">
        <f>SUMIFS(통합데이터!AE$5:AE$112,통합데이터!$AF$5:$AF$112,'2.구축비_요약'!$D237,통합데이터!$F$5:$F$112,'2.구축비_요약'!$E237,통합데이터!$G$5:$G$112,'2.구축비_요약'!$F237)</f>
        <v>0</v>
      </c>
    </row>
    <row r="238" spans="3:20" ht="18" hidden="1" thickBot="1">
      <c r="C238" s="487" t="s">
        <v>231</v>
      </c>
      <c r="D238" s="488"/>
      <c r="E238" s="488"/>
      <c r="F238" s="488"/>
      <c r="G238" s="489">
        <f t="shared" si="136"/>
        <v>0</v>
      </c>
      <c r="H238" s="489">
        <f>SUM(H233:H237)</f>
        <v>0</v>
      </c>
      <c r="I238" s="489">
        <f>SUM(I233:I237)</f>
        <v>0</v>
      </c>
      <c r="J238" s="489">
        <f t="shared" ref="J238:T238" si="142">SUM(J233:J237)</f>
        <v>0</v>
      </c>
      <c r="K238" s="489">
        <f t="shared" si="142"/>
        <v>0</v>
      </c>
      <c r="L238" s="489">
        <f t="shared" si="142"/>
        <v>0</v>
      </c>
      <c r="M238" s="489">
        <f t="shared" si="142"/>
        <v>0</v>
      </c>
      <c r="N238" s="489">
        <f t="shared" si="142"/>
        <v>0</v>
      </c>
      <c r="O238" s="489">
        <f t="shared" si="142"/>
        <v>0</v>
      </c>
      <c r="P238" s="489">
        <f t="shared" si="142"/>
        <v>0</v>
      </c>
      <c r="Q238" s="489">
        <f t="shared" si="142"/>
        <v>0</v>
      </c>
      <c r="R238" s="489">
        <f t="shared" si="142"/>
        <v>0</v>
      </c>
      <c r="S238" s="489">
        <f t="shared" si="142"/>
        <v>0</v>
      </c>
      <c r="T238" s="490">
        <f t="shared" si="142"/>
        <v>0</v>
      </c>
    </row>
    <row r="269" spans="6:20">
      <c r="F269" s="56">
        <v>0</v>
      </c>
      <c r="G269" s="56">
        <v>0</v>
      </c>
      <c r="H269" s="56">
        <v>0</v>
      </c>
      <c r="I269" s="56">
        <v>0</v>
      </c>
      <c r="J269" s="56">
        <v>0</v>
      </c>
      <c r="K269" s="56">
        <v>0</v>
      </c>
      <c r="L269" s="56">
        <v>0</v>
      </c>
      <c r="M269" s="56">
        <v>0</v>
      </c>
      <c r="N269" s="56">
        <v>0</v>
      </c>
      <c r="O269" s="56">
        <v>0</v>
      </c>
      <c r="P269" s="56">
        <v>0</v>
      </c>
      <c r="Q269" s="56">
        <v>0</v>
      </c>
      <c r="R269" s="56">
        <v>0</v>
      </c>
      <c r="S269" s="56">
        <v>0</v>
      </c>
      <c r="T269" s="56">
        <v>0</v>
      </c>
    </row>
    <row r="270" spans="6:20">
      <c r="F270" s="56">
        <v>0</v>
      </c>
      <c r="G270" s="56">
        <v>0</v>
      </c>
      <c r="H270" s="56">
        <v>0</v>
      </c>
      <c r="I270" s="56">
        <v>0</v>
      </c>
      <c r="J270" s="56">
        <v>0</v>
      </c>
      <c r="K270" s="56">
        <v>0</v>
      </c>
      <c r="L270" s="56">
        <v>0</v>
      </c>
      <c r="M270" s="56">
        <v>0</v>
      </c>
      <c r="N270" s="56">
        <v>0</v>
      </c>
      <c r="O270" s="56">
        <v>0</v>
      </c>
      <c r="P270" s="56">
        <v>0</v>
      </c>
      <c r="Q270" s="56">
        <v>0</v>
      </c>
      <c r="R270" s="56">
        <v>0</v>
      </c>
      <c r="S270" s="56">
        <v>0</v>
      </c>
      <c r="T270" s="56">
        <v>0</v>
      </c>
    </row>
    <row r="271" spans="6:20">
      <c r="F271" s="56">
        <v>0</v>
      </c>
      <c r="G271" s="56">
        <v>0</v>
      </c>
      <c r="H271" s="56">
        <v>0</v>
      </c>
      <c r="I271" s="56">
        <v>0</v>
      </c>
      <c r="J271" s="56">
        <v>0</v>
      </c>
      <c r="K271" s="56">
        <v>0</v>
      </c>
      <c r="L271" s="56">
        <v>0</v>
      </c>
      <c r="M271" s="56">
        <v>0</v>
      </c>
      <c r="N271" s="56">
        <v>0</v>
      </c>
      <c r="O271" s="56">
        <v>0</v>
      </c>
      <c r="P271" s="56">
        <v>0</v>
      </c>
      <c r="Q271" s="56">
        <v>0</v>
      </c>
      <c r="R271" s="56">
        <v>0</v>
      </c>
      <c r="S271" s="56">
        <v>0</v>
      </c>
      <c r="T271" s="56">
        <v>0</v>
      </c>
    </row>
    <row r="272" spans="6:20">
      <c r="F272" s="56">
        <v>0</v>
      </c>
      <c r="G272" s="56">
        <v>0</v>
      </c>
      <c r="H272" s="56">
        <v>0</v>
      </c>
      <c r="I272" s="56">
        <v>0</v>
      </c>
      <c r="J272" s="56">
        <v>0</v>
      </c>
      <c r="K272" s="56">
        <v>0</v>
      </c>
      <c r="L272" s="56">
        <v>0</v>
      </c>
      <c r="M272" s="56">
        <v>0</v>
      </c>
      <c r="N272" s="56">
        <v>0</v>
      </c>
      <c r="O272" s="56">
        <v>0</v>
      </c>
      <c r="P272" s="56">
        <v>0</v>
      </c>
      <c r="Q272" s="56">
        <v>0</v>
      </c>
      <c r="R272" s="56">
        <v>0</v>
      </c>
      <c r="S272" s="56">
        <v>0</v>
      </c>
      <c r="T272" s="56">
        <v>0</v>
      </c>
    </row>
    <row r="273" spans="6:20">
      <c r="F273" s="56">
        <v>0</v>
      </c>
      <c r="G273" s="56">
        <v>0</v>
      </c>
      <c r="H273" s="56">
        <v>0</v>
      </c>
      <c r="I273" s="56">
        <v>0</v>
      </c>
      <c r="J273" s="56">
        <v>0</v>
      </c>
      <c r="K273" s="56">
        <v>0</v>
      </c>
      <c r="L273" s="56">
        <v>0</v>
      </c>
      <c r="M273" s="56">
        <v>0</v>
      </c>
      <c r="N273" s="56">
        <v>0</v>
      </c>
      <c r="O273" s="56">
        <v>0</v>
      </c>
      <c r="P273" s="56">
        <v>0</v>
      </c>
      <c r="Q273" s="56">
        <v>0</v>
      </c>
      <c r="R273" s="56">
        <v>0</v>
      </c>
      <c r="S273" s="56">
        <v>0</v>
      </c>
      <c r="T273" s="56">
        <v>0</v>
      </c>
    </row>
    <row r="274" spans="6:20">
      <c r="F274" s="56">
        <v>0</v>
      </c>
      <c r="G274" s="56">
        <v>0</v>
      </c>
      <c r="H274" s="56">
        <v>0</v>
      </c>
      <c r="I274" s="56">
        <v>0</v>
      </c>
      <c r="J274" s="56">
        <v>0</v>
      </c>
      <c r="K274" s="56">
        <v>0</v>
      </c>
      <c r="L274" s="56">
        <v>0</v>
      </c>
      <c r="M274" s="56">
        <v>0</v>
      </c>
      <c r="N274" s="56">
        <v>0</v>
      </c>
      <c r="O274" s="56">
        <v>0</v>
      </c>
      <c r="P274" s="56">
        <v>0</v>
      </c>
      <c r="Q274" s="56">
        <v>0</v>
      </c>
      <c r="R274" s="56">
        <v>0</v>
      </c>
      <c r="S274" s="56">
        <v>0</v>
      </c>
      <c r="T274" s="56">
        <v>0</v>
      </c>
    </row>
    <row r="275" spans="6:20">
      <c r="F275" s="56">
        <v>0</v>
      </c>
      <c r="G275" s="56">
        <v>0</v>
      </c>
      <c r="H275" s="56">
        <v>0</v>
      </c>
      <c r="I275" s="56">
        <v>0</v>
      </c>
      <c r="J275" s="56">
        <v>0</v>
      </c>
      <c r="K275" s="56">
        <v>0</v>
      </c>
      <c r="L275" s="56">
        <v>0</v>
      </c>
      <c r="M275" s="56">
        <v>0</v>
      </c>
      <c r="N275" s="56">
        <v>0</v>
      </c>
      <c r="O275" s="56">
        <v>0</v>
      </c>
      <c r="P275" s="56">
        <v>0</v>
      </c>
      <c r="Q275" s="56">
        <v>0</v>
      </c>
      <c r="R275" s="56">
        <v>0</v>
      </c>
      <c r="S275" s="56">
        <v>0</v>
      </c>
      <c r="T275" s="56">
        <v>0</v>
      </c>
    </row>
    <row r="276" spans="6:20">
      <c r="F276" s="56">
        <v>0</v>
      </c>
      <c r="G276" s="56">
        <v>0</v>
      </c>
      <c r="H276" s="56">
        <v>0</v>
      </c>
      <c r="I276" s="56">
        <v>0</v>
      </c>
      <c r="J276" s="56">
        <v>0</v>
      </c>
      <c r="K276" s="56">
        <v>0</v>
      </c>
      <c r="L276" s="56">
        <v>0</v>
      </c>
      <c r="M276" s="56">
        <v>0</v>
      </c>
      <c r="N276" s="56">
        <v>0</v>
      </c>
      <c r="O276" s="56">
        <v>0</v>
      </c>
      <c r="P276" s="56">
        <v>0</v>
      </c>
      <c r="Q276" s="56">
        <v>0</v>
      </c>
      <c r="R276" s="56">
        <v>0</v>
      </c>
      <c r="S276" s="56">
        <v>0</v>
      </c>
      <c r="T276" s="56">
        <v>0</v>
      </c>
    </row>
    <row r="277" spans="6:20">
      <c r="F277" s="56">
        <v>0</v>
      </c>
      <c r="G277" s="56">
        <v>0</v>
      </c>
      <c r="H277" s="56">
        <v>0</v>
      </c>
      <c r="I277" s="56">
        <v>0</v>
      </c>
      <c r="J277" s="56">
        <v>0</v>
      </c>
      <c r="K277" s="56">
        <v>0</v>
      </c>
      <c r="L277" s="56">
        <v>0</v>
      </c>
      <c r="M277" s="56">
        <v>0</v>
      </c>
      <c r="N277" s="56">
        <v>0</v>
      </c>
      <c r="O277" s="56">
        <v>0</v>
      </c>
      <c r="P277" s="56">
        <v>0</v>
      </c>
      <c r="Q277" s="56">
        <v>0</v>
      </c>
      <c r="R277" s="56">
        <v>0</v>
      </c>
      <c r="S277" s="56">
        <v>0</v>
      </c>
      <c r="T277" s="56">
        <v>0</v>
      </c>
    </row>
    <row r="278" spans="6:20">
      <c r="F278" s="56">
        <v>0</v>
      </c>
      <c r="G278" s="56">
        <v>0</v>
      </c>
      <c r="H278" s="56">
        <v>0</v>
      </c>
      <c r="I278" s="56">
        <v>0</v>
      </c>
      <c r="J278" s="56">
        <v>0</v>
      </c>
      <c r="K278" s="56">
        <v>0</v>
      </c>
      <c r="L278" s="56">
        <v>0</v>
      </c>
      <c r="M278" s="56">
        <v>0</v>
      </c>
      <c r="N278" s="56">
        <v>0</v>
      </c>
      <c r="O278" s="56">
        <v>0</v>
      </c>
      <c r="P278" s="56">
        <v>0</v>
      </c>
      <c r="Q278" s="56">
        <v>0</v>
      </c>
      <c r="R278" s="56">
        <v>0</v>
      </c>
      <c r="S278" s="56">
        <v>0</v>
      </c>
      <c r="T278" s="56">
        <v>0</v>
      </c>
    </row>
    <row r="279" spans="6:20">
      <c r="F279" s="56">
        <v>0</v>
      </c>
      <c r="G279" s="56">
        <v>0</v>
      </c>
      <c r="H279" s="56">
        <v>0</v>
      </c>
      <c r="I279" s="56">
        <v>0</v>
      </c>
      <c r="J279" s="56">
        <v>0</v>
      </c>
      <c r="K279" s="56">
        <v>0</v>
      </c>
      <c r="L279" s="56">
        <v>0</v>
      </c>
      <c r="M279" s="56">
        <v>0</v>
      </c>
      <c r="N279" s="56">
        <v>0</v>
      </c>
      <c r="O279" s="56">
        <v>0</v>
      </c>
      <c r="P279" s="56">
        <v>0</v>
      </c>
      <c r="Q279" s="56">
        <v>0</v>
      </c>
      <c r="R279" s="56">
        <v>0</v>
      </c>
      <c r="S279" s="56">
        <v>0</v>
      </c>
      <c r="T279" s="56">
        <v>0</v>
      </c>
    </row>
    <row r="280" spans="6:20">
      <c r="F280" s="56">
        <v>0</v>
      </c>
      <c r="G280" s="56">
        <v>0</v>
      </c>
      <c r="H280" s="56">
        <v>0</v>
      </c>
      <c r="I280" s="56">
        <v>0</v>
      </c>
      <c r="J280" s="56">
        <v>0</v>
      </c>
      <c r="K280" s="56">
        <v>0</v>
      </c>
      <c r="L280" s="56">
        <v>0</v>
      </c>
      <c r="M280" s="56">
        <v>0</v>
      </c>
      <c r="N280" s="56">
        <v>0</v>
      </c>
      <c r="O280" s="56">
        <v>0</v>
      </c>
      <c r="P280" s="56">
        <v>0</v>
      </c>
      <c r="Q280" s="56">
        <v>0</v>
      </c>
      <c r="R280" s="56">
        <v>0</v>
      </c>
      <c r="S280" s="56">
        <v>0</v>
      </c>
      <c r="T280" s="56">
        <v>0</v>
      </c>
    </row>
    <row r="281" spans="6:20">
      <c r="F281" s="56">
        <v>0</v>
      </c>
      <c r="G281" s="56">
        <v>0</v>
      </c>
      <c r="H281" s="56">
        <v>0</v>
      </c>
      <c r="I281" s="56">
        <v>0</v>
      </c>
      <c r="J281" s="56">
        <v>0</v>
      </c>
      <c r="K281" s="56">
        <v>0</v>
      </c>
      <c r="L281" s="56">
        <v>0</v>
      </c>
      <c r="M281" s="56">
        <v>0</v>
      </c>
      <c r="N281" s="56">
        <v>0</v>
      </c>
      <c r="O281" s="56">
        <v>0</v>
      </c>
      <c r="P281" s="56">
        <v>0</v>
      </c>
      <c r="Q281" s="56">
        <v>0</v>
      </c>
      <c r="R281" s="56">
        <v>0</v>
      </c>
      <c r="S281" s="56">
        <v>0</v>
      </c>
      <c r="T281" s="56">
        <v>0</v>
      </c>
    </row>
    <row r="282" spans="6:20">
      <c r="F282" s="56">
        <v>0</v>
      </c>
      <c r="G282" s="56">
        <v>0</v>
      </c>
      <c r="H282" s="56">
        <v>0</v>
      </c>
      <c r="I282" s="56">
        <v>0</v>
      </c>
      <c r="J282" s="56">
        <v>0</v>
      </c>
      <c r="K282" s="56">
        <v>0</v>
      </c>
      <c r="L282" s="56">
        <v>0</v>
      </c>
      <c r="M282" s="56">
        <v>0</v>
      </c>
      <c r="N282" s="56">
        <v>0</v>
      </c>
      <c r="O282" s="56">
        <v>0</v>
      </c>
      <c r="P282" s="56">
        <v>0</v>
      </c>
      <c r="Q282" s="56">
        <v>0</v>
      </c>
      <c r="R282" s="56">
        <v>0</v>
      </c>
      <c r="S282" s="56">
        <v>0</v>
      </c>
      <c r="T282" s="56">
        <v>0</v>
      </c>
    </row>
    <row r="283" spans="6:20">
      <c r="F283" s="56">
        <v>0</v>
      </c>
      <c r="G283" s="56">
        <v>0</v>
      </c>
      <c r="H283" s="56">
        <v>0</v>
      </c>
      <c r="I283" s="56">
        <v>0</v>
      </c>
      <c r="J283" s="56">
        <v>0</v>
      </c>
      <c r="K283" s="56">
        <v>0</v>
      </c>
      <c r="L283" s="56">
        <v>0</v>
      </c>
      <c r="M283" s="56">
        <v>0</v>
      </c>
      <c r="N283" s="56">
        <v>0</v>
      </c>
      <c r="O283" s="56">
        <v>0</v>
      </c>
      <c r="P283" s="56">
        <v>0</v>
      </c>
      <c r="Q283" s="56">
        <v>0</v>
      </c>
      <c r="R283" s="56">
        <v>0</v>
      </c>
      <c r="S283" s="56">
        <v>0</v>
      </c>
      <c r="T283" s="56">
        <v>0</v>
      </c>
    </row>
    <row r="284" spans="6:20">
      <c r="F284" s="56">
        <v>0</v>
      </c>
      <c r="G284" s="56">
        <v>0</v>
      </c>
      <c r="H284" s="56">
        <v>0</v>
      </c>
      <c r="I284" s="56">
        <v>0</v>
      </c>
      <c r="J284" s="56">
        <v>0</v>
      </c>
      <c r="K284" s="56">
        <v>0</v>
      </c>
      <c r="L284" s="56">
        <v>0</v>
      </c>
      <c r="M284" s="56">
        <v>0</v>
      </c>
      <c r="N284" s="56">
        <v>0</v>
      </c>
      <c r="O284" s="56">
        <v>0</v>
      </c>
      <c r="P284" s="56">
        <v>0</v>
      </c>
      <c r="Q284" s="56">
        <v>0</v>
      </c>
      <c r="R284" s="56">
        <v>0</v>
      </c>
      <c r="S284" s="56">
        <v>0</v>
      </c>
      <c r="T284" s="56">
        <v>0</v>
      </c>
    </row>
    <row r="285" spans="6:20">
      <c r="F285" s="56">
        <v>0</v>
      </c>
      <c r="G285" s="56">
        <v>0</v>
      </c>
      <c r="H285" s="56">
        <v>0</v>
      </c>
      <c r="I285" s="56">
        <v>0</v>
      </c>
      <c r="J285" s="56">
        <v>0</v>
      </c>
      <c r="K285" s="56">
        <v>0</v>
      </c>
      <c r="L285" s="56">
        <v>0</v>
      </c>
      <c r="M285" s="56">
        <v>0</v>
      </c>
      <c r="N285" s="56">
        <v>0</v>
      </c>
      <c r="O285" s="56">
        <v>0</v>
      </c>
      <c r="P285" s="56">
        <v>0</v>
      </c>
      <c r="Q285" s="56">
        <v>0</v>
      </c>
      <c r="R285" s="56">
        <v>0</v>
      </c>
      <c r="S285" s="56">
        <v>0</v>
      </c>
      <c r="T285" s="56">
        <v>0</v>
      </c>
    </row>
    <row r="286" spans="6:20">
      <c r="F286" s="56">
        <v>0</v>
      </c>
      <c r="G286" s="56">
        <v>0</v>
      </c>
      <c r="H286" s="56">
        <v>0</v>
      </c>
      <c r="I286" s="56">
        <v>0</v>
      </c>
      <c r="J286" s="56">
        <v>0</v>
      </c>
      <c r="K286" s="56">
        <v>0</v>
      </c>
      <c r="L286" s="56">
        <v>0</v>
      </c>
      <c r="M286" s="56">
        <v>0</v>
      </c>
      <c r="N286" s="56">
        <v>0</v>
      </c>
      <c r="O286" s="56">
        <v>0</v>
      </c>
      <c r="P286" s="56">
        <v>0</v>
      </c>
      <c r="Q286" s="56">
        <v>0</v>
      </c>
      <c r="R286" s="56">
        <v>0</v>
      </c>
      <c r="S286" s="56">
        <v>0</v>
      </c>
      <c r="T286" s="56">
        <v>0</v>
      </c>
    </row>
  </sheetData>
  <phoneticPr fontId="1" type="noConversion"/>
  <hyperlinks>
    <hyperlink ref="A1" location="HOME!A1" display="HOME"/>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6081" r:id="rId4" name="cmd_구축요약">
          <controlPr defaultSize="0" autoFill="0" autoLine="0" r:id="rId5">
            <anchor moveWithCells="1">
              <from>
                <xdr:col>5</xdr:col>
                <xdr:colOff>220980</xdr:colOff>
                <xdr:row>0</xdr:row>
                <xdr:rowOff>0</xdr:rowOff>
              </from>
              <to>
                <xdr:col>6</xdr:col>
                <xdr:colOff>297180</xdr:colOff>
                <xdr:row>0</xdr:row>
                <xdr:rowOff>335280</xdr:rowOff>
              </to>
            </anchor>
          </controlPr>
        </control>
      </mc:Choice>
      <mc:Fallback>
        <control shapeId="46081" r:id="rId4" name="cmd_구축요약"/>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4_Sheet">
    <tabColor rgb="FFFFC000"/>
  </sheetPr>
  <dimension ref="A1:CG48"/>
  <sheetViews>
    <sheetView zoomScale="85" zoomScaleNormal="85" workbookViewId="0">
      <selection activeCell="F26" sqref="F26"/>
    </sheetView>
  </sheetViews>
  <sheetFormatPr defaultRowHeight="17.399999999999999"/>
  <cols>
    <col min="1" max="1" width="7.09765625" style="65" bestFit="1" customWidth="1"/>
    <col min="3" max="3" width="11.3984375" customWidth="1"/>
    <col min="4" max="4" width="9.09765625" bestFit="1" customWidth="1"/>
    <col min="5" max="5" width="12.59765625" customWidth="1"/>
    <col min="6" max="6" width="18.09765625" customWidth="1"/>
    <col min="7" max="18" width="15" customWidth="1"/>
  </cols>
  <sheetData>
    <row r="1" spans="1:85" ht="30" customHeight="1" thickBot="1">
      <c r="A1" s="70" t="s">
        <v>279</v>
      </c>
      <c r="C1" s="80" t="s">
        <v>285</v>
      </c>
      <c r="D1" s="67"/>
      <c r="E1" s="67"/>
      <c r="F1" s="66"/>
      <c r="G1" s="66"/>
      <c r="H1" s="66"/>
      <c r="I1" s="66"/>
      <c r="J1" s="66"/>
      <c r="K1" s="66"/>
      <c r="L1" s="66"/>
      <c r="M1" s="66"/>
      <c r="N1" s="66"/>
      <c r="O1" s="66"/>
      <c r="P1" s="66"/>
      <c r="Q1" s="66"/>
      <c r="R1" s="66"/>
    </row>
    <row r="2" spans="1:85" ht="18" thickTop="1">
      <c r="C2" s="40" t="s">
        <v>487</v>
      </c>
      <c r="D2" s="2"/>
      <c r="E2" s="2"/>
      <c r="F2" s="2"/>
      <c r="G2" s="453">
        <f>SUM(G5:G15)</f>
        <v>2227825486.9998937</v>
      </c>
      <c r="H2" s="48">
        <f t="shared" ref="H2:R2" si="0">SUM(H5:H15)</f>
        <v>613642973.69998944</v>
      </c>
      <c r="I2" s="48">
        <f t="shared" si="0"/>
        <v>137464723.69998941</v>
      </c>
      <c r="J2" s="48">
        <f t="shared" si="0"/>
        <v>129464723.69998938</v>
      </c>
      <c r="K2" s="48">
        <f t="shared" si="0"/>
        <v>192464723.69998938</v>
      </c>
      <c r="L2" s="48">
        <f t="shared" si="0"/>
        <v>192464723.69998938</v>
      </c>
      <c r="M2" s="48">
        <f t="shared" si="0"/>
        <v>192464723.69998938</v>
      </c>
      <c r="N2" s="48">
        <f t="shared" si="0"/>
        <v>192464723.69998938</v>
      </c>
      <c r="O2" s="48">
        <f t="shared" si="0"/>
        <v>192464723.69998938</v>
      </c>
      <c r="P2" s="48">
        <f t="shared" si="0"/>
        <v>192464723.69998938</v>
      </c>
      <c r="Q2" s="48">
        <f t="shared" si="0"/>
        <v>192464723.69998938</v>
      </c>
      <c r="R2" s="48">
        <f t="shared" si="0"/>
        <v>0</v>
      </c>
    </row>
    <row r="3" spans="1:85" ht="18" thickBot="1"/>
    <row r="4" spans="1:85">
      <c r="C4" s="322" t="s">
        <v>1</v>
      </c>
      <c r="D4" s="323" t="s">
        <v>2</v>
      </c>
      <c r="E4" s="323" t="s">
        <v>3</v>
      </c>
      <c r="F4" s="323" t="s">
        <v>4</v>
      </c>
      <c r="G4" s="454" t="s">
        <v>231</v>
      </c>
      <c r="H4" s="323" t="s">
        <v>41</v>
      </c>
      <c r="I4" s="323" t="s">
        <v>232</v>
      </c>
      <c r="J4" s="323" t="s">
        <v>233</v>
      </c>
      <c r="K4" s="323" t="s">
        <v>234</v>
      </c>
      <c r="L4" s="323" t="s">
        <v>235</v>
      </c>
      <c r="M4" s="323" t="s">
        <v>236</v>
      </c>
      <c r="N4" s="323" t="s">
        <v>237</v>
      </c>
      <c r="O4" s="323" t="s">
        <v>238</v>
      </c>
      <c r="P4" s="323" t="s">
        <v>239</v>
      </c>
      <c r="Q4" s="323" t="s">
        <v>240</v>
      </c>
      <c r="R4" s="324" t="s">
        <v>172</v>
      </c>
    </row>
    <row r="5" spans="1:85">
      <c r="C5" s="326" t="s">
        <v>1567</v>
      </c>
      <c r="D5" s="291" t="s">
        <v>246</v>
      </c>
      <c r="E5" s="291" t="s">
        <v>820</v>
      </c>
      <c r="F5" s="268" t="s">
        <v>248</v>
      </c>
      <c r="G5" s="327">
        <f>SUM(H5:R5)</f>
        <v>2227825486.9998937</v>
      </c>
      <c r="H5" s="328">
        <f>SUMIFS(통합데이터!U$5:U$112,통합데이터!$E$5:$E$112,'3.수행비_요약'!$D5,통합데이터!$F$5:$F$112,'3.수행비_요약'!$E5,통합데이터!$G$5:$G$112,'3.수행비_요약'!$F5)</f>
        <v>613642973.69998944</v>
      </c>
      <c r="I5" s="328">
        <f>SUMIFS(통합데이터!V$5:V$112,통합데이터!$E$5:$E$112,'3.수행비_요약'!$D5,통합데이터!$F$5:$F$112,'3.수행비_요약'!$E5,통합데이터!$G$5:$G$112,'3.수행비_요약'!$F5)</f>
        <v>137464723.69998941</v>
      </c>
      <c r="J5" s="328">
        <f>SUMIFS(통합데이터!W$5:W$112,통합데이터!$E$5:$E$112,'3.수행비_요약'!$D5,통합데이터!$F$5:$F$112,'3.수행비_요약'!$E5,통합데이터!$G$5:$G$112,'3.수행비_요약'!$F5)</f>
        <v>129464723.69998938</v>
      </c>
      <c r="K5" s="328">
        <f>SUMIFS(통합데이터!X$5:X$112,통합데이터!$E$5:$E$112,'3.수행비_요약'!$D5,통합데이터!$F$5:$F$112,'3.수행비_요약'!$E5,통합데이터!$G$5:$G$112,'3.수행비_요약'!$F5)</f>
        <v>192464723.69998938</v>
      </c>
      <c r="L5" s="328">
        <f>SUMIFS(통합데이터!Y$5:Y$112,통합데이터!$E$5:$E$112,'3.수행비_요약'!$D5,통합데이터!$F$5:$F$112,'3.수행비_요약'!$E5,통합데이터!$G$5:$G$112,'3.수행비_요약'!$F5)</f>
        <v>192464723.69998938</v>
      </c>
      <c r="M5" s="328">
        <f>SUMIFS(통합데이터!Z$5:Z$112,통합데이터!$E$5:$E$112,'3.수행비_요약'!$D5,통합데이터!$F$5:$F$112,'3.수행비_요약'!$E5,통합데이터!$G$5:$G$112,'3.수행비_요약'!$F5)</f>
        <v>192464723.69998938</v>
      </c>
      <c r="N5" s="328">
        <f>SUMIFS(통합데이터!AA$5:AA$112,통합데이터!$E$5:$E$112,'3.수행비_요약'!$D5,통합데이터!$F$5:$F$112,'3.수행비_요약'!$E5,통합데이터!$G$5:$G$112,'3.수행비_요약'!$F5)</f>
        <v>192464723.69998938</v>
      </c>
      <c r="O5" s="328">
        <f>SUMIFS(통합데이터!AB$5:AB$112,통합데이터!$E$5:$E$112,'3.수행비_요약'!$D5,통합데이터!$F$5:$F$112,'3.수행비_요약'!$E5,통합데이터!$G$5:$G$112,'3.수행비_요약'!$F5)</f>
        <v>192464723.69998938</v>
      </c>
      <c r="P5" s="328">
        <f>SUMIFS(통합데이터!AC$5:AC$112,통합데이터!$E$5:$E$112,'3.수행비_요약'!$D5,통합데이터!$F$5:$F$112,'3.수행비_요약'!$E5,통합데이터!$G$5:$G$112,'3.수행비_요약'!$F5)</f>
        <v>192464723.69998938</v>
      </c>
      <c r="Q5" s="328">
        <f>SUMIFS(통합데이터!AD$5:AD$112,통합데이터!$E$5:$E$112,'3.수행비_요약'!$D5,통합데이터!$F$5:$F$112,'3.수행비_요약'!$E5,통합데이터!$G$5:$G$112,'3.수행비_요약'!$F5)</f>
        <v>192464723.69998938</v>
      </c>
      <c r="R5" s="328">
        <f>SUMIFS(통합데이터!AE$5:AE$112,통합데이터!$E$5:$E$112,'3.수행비_요약'!$D5,통합데이터!$F$5:$F$112,'3.수행비_요약'!$E5,통합데이터!$G$5:$G$112,'3.수행비_요약'!$F5)</f>
        <v>0</v>
      </c>
    </row>
    <row r="6" spans="1:85">
      <c r="C6" s="326" t="s">
        <v>1549</v>
      </c>
      <c r="D6" s="291" t="s">
        <v>246</v>
      </c>
      <c r="E6" s="291" t="s">
        <v>339</v>
      </c>
      <c r="F6" s="291" t="s">
        <v>339</v>
      </c>
      <c r="G6" s="327">
        <f t="shared" ref="G6:G15" si="1">SUM(H6:R6)</f>
        <v>0</v>
      </c>
      <c r="H6" s="328">
        <f>SUMIFS(통합데이터!U$5:U$112,통합데이터!$E$5:$E$112,'3.수행비_요약'!$D6,통합데이터!$F$5:$F$112,'3.수행비_요약'!$E6,통합데이터!$G$5:$G$112,'3.수행비_요약'!$F6)</f>
        <v>0</v>
      </c>
      <c r="I6" s="328">
        <f>SUMIFS(통합데이터!V$5:V$112,통합데이터!$E$5:$E$112,'3.수행비_요약'!$D6,통합데이터!$F$5:$F$112,'3.수행비_요약'!$E6,통합데이터!$G$5:$G$112,'3.수행비_요약'!$F6)</f>
        <v>0</v>
      </c>
      <c r="J6" s="328">
        <f>SUMIFS(통합데이터!W$5:W$112,통합데이터!$E$5:$E$112,'3.수행비_요약'!$D6,통합데이터!$F$5:$F$112,'3.수행비_요약'!$E6,통합데이터!$G$5:$G$112,'3.수행비_요약'!$F6)</f>
        <v>0</v>
      </c>
      <c r="K6" s="328">
        <f>SUMIFS(통합데이터!X$5:X$112,통합데이터!$E$5:$E$112,'3.수행비_요약'!$D6,통합데이터!$F$5:$F$112,'3.수행비_요약'!$E6,통합데이터!$G$5:$G$112,'3.수행비_요약'!$F6)</f>
        <v>0</v>
      </c>
      <c r="L6" s="328">
        <f>SUMIFS(통합데이터!Y$5:Y$112,통합데이터!$E$5:$E$112,'3.수행비_요약'!$D6,통합데이터!$F$5:$F$112,'3.수행비_요약'!$E6,통합데이터!$G$5:$G$112,'3.수행비_요약'!$F6)</f>
        <v>0</v>
      </c>
      <c r="M6" s="328">
        <f>SUMIFS(통합데이터!Z$5:Z$112,통합데이터!$E$5:$E$112,'3.수행비_요약'!$D6,통합데이터!$F$5:$F$112,'3.수행비_요약'!$E6,통합데이터!$G$5:$G$112,'3.수행비_요약'!$F6)</f>
        <v>0</v>
      </c>
      <c r="N6" s="328">
        <f>SUMIFS(통합데이터!AA$5:AA$112,통합데이터!$E$5:$E$112,'3.수행비_요약'!$D6,통합데이터!$F$5:$F$112,'3.수행비_요약'!$E6,통합데이터!$G$5:$G$112,'3.수행비_요약'!$F6)</f>
        <v>0</v>
      </c>
      <c r="O6" s="328">
        <f>SUMIFS(통합데이터!AB$5:AB$112,통합데이터!$E$5:$E$112,'3.수행비_요약'!$D6,통합데이터!$F$5:$F$112,'3.수행비_요약'!$E6,통합데이터!$G$5:$G$112,'3.수행비_요약'!$F6)</f>
        <v>0</v>
      </c>
      <c r="P6" s="328">
        <f>SUMIFS(통합데이터!AC$5:AC$112,통합데이터!$E$5:$E$112,'3.수행비_요약'!$D6,통합데이터!$F$5:$F$112,'3.수행비_요약'!$E6,통합데이터!$G$5:$G$112,'3.수행비_요약'!$F6)</f>
        <v>0</v>
      </c>
      <c r="Q6" s="328">
        <f>SUMIFS(통합데이터!AD$5:AD$112,통합데이터!$E$5:$E$112,'3.수행비_요약'!$D6,통합데이터!$F$5:$F$112,'3.수행비_요약'!$E6,통합데이터!$G$5:$G$112,'3.수행비_요약'!$F6)</f>
        <v>0</v>
      </c>
      <c r="R6" s="328">
        <f>SUMIFS(통합데이터!AE$5:AE$112,통합데이터!$E$5:$E$112,'3.수행비_요약'!$D6,통합데이터!$F$5:$F$112,'3.수행비_요약'!$E6,통합데이터!$G$5:$G$112,'3.수행비_요약'!$F6)</f>
        <v>0</v>
      </c>
    </row>
    <row r="7" spans="1:85">
      <c r="C7" s="326" t="s">
        <v>288</v>
      </c>
      <c r="D7" s="291" t="s">
        <v>246</v>
      </c>
      <c r="E7" s="291" t="s">
        <v>820</v>
      </c>
      <c r="F7" s="268" t="s">
        <v>825</v>
      </c>
      <c r="G7" s="327">
        <f t="shared" si="1"/>
        <v>0</v>
      </c>
      <c r="H7" s="328">
        <f>SUMIFS(통합데이터!U$5:U$112,통합데이터!$E$5:$E$112,'3.수행비_요약'!$D7,통합데이터!$F$5:$F$112,'3.수행비_요약'!$E7,통합데이터!$G$5:$G$112,'3.수행비_요약'!$F7)</f>
        <v>0</v>
      </c>
      <c r="I7" s="328">
        <f>SUMIFS(통합데이터!V$5:V$112,통합데이터!$E$5:$E$112,'3.수행비_요약'!$D7,통합데이터!$F$5:$F$112,'3.수행비_요약'!$E7,통합데이터!$G$5:$G$112,'3.수행비_요약'!$F7)</f>
        <v>0</v>
      </c>
      <c r="J7" s="328">
        <f>SUMIFS(통합데이터!W$5:W$112,통합데이터!$E$5:$E$112,'3.수행비_요약'!$D7,통합데이터!$F$5:$F$112,'3.수행비_요약'!$E7,통합데이터!$G$5:$G$112,'3.수행비_요약'!$F7)</f>
        <v>0</v>
      </c>
      <c r="K7" s="328">
        <f>SUMIFS(통합데이터!X$5:X$112,통합데이터!$E$5:$E$112,'3.수행비_요약'!$D7,통합데이터!$F$5:$F$112,'3.수행비_요약'!$E7,통합데이터!$G$5:$G$112,'3.수행비_요약'!$F7)</f>
        <v>0</v>
      </c>
      <c r="L7" s="328">
        <f>SUMIFS(통합데이터!Y$5:Y$112,통합데이터!$E$5:$E$112,'3.수행비_요약'!$D7,통합데이터!$F$5:$F$112,'3.수행비_요약'!$E7,통합데이터!$G$5:$G$112,'3.수행비_요약'!$F7)</f>
        <v>0</v>
      </c>
      <c r="M7" s="328">
        <f>SUMIFS(통합데이터!Z$5:Z$112,통합데이터!$E$5:$E$112,'3.수행비_요약'!$D7,통합데이터!$F$5:$F$112,'3.수행비_요약'!$E7,통합데이터!$G$5:$G$112,'3.수행비_요약'!$F7)</f>
        <v>0</v>
      </c>
      <c r="N7" s="328">
        <f>SUMIFS(통합데이터!AA$5:AA$112,통합데이터!$E$5:$E$112,'3.수행비_요약'!$D7,통합데이터!$F$5:$F$112,'3.수행비_요약'!$E7,통합데이터!$G$5:$G$112,'3.수행비_요약'!$F7)</f>
        <v>0</v>
      </c>
      <c r="O7" s="328">
        <f>SUMIFS(통합데이터!AB$5:AB$112,통합데이터!$E$5:$E$112,'3.수행비_요약'!$D7,통합데이터!$F$5:$F$112,'3.수행비_요약'!$E7,통합데이터!$G$5:$G$112,'3.수행비_요약'!$F7)</f>
        <v>0</v>
      </c>
      <c r="P7" s="328">
        <f>SUMIFS(통합데이터!AC$5:AC$112,통합데이터!$E$5:$E$112,'3.수행비_요약'!$D7,통합데이터!$F$5:$F$112,'3.수행비_요약'!$E7,통합데이터!$G$5:$G$112,'3.수행비_요약'!$F7)</f>
        <v>0</v>
      </c>
      <c r="Q7" s="328">
        <f>SUMIFS(통합데이터!AD$5:AD$112,통합데이터!$E$5:$E$112,'3.수행비_요약'!$D7,통합데이터!$F$5:$F$112,'3.수행비_요약'!$E7,통합데이터!$G$5:$G$112,'3.수행비_요약'!$F7)</f>
        <v>0</v>
      </c>
      <c r="R7" s="328">
        <f>SUMIFS(통합데이터!AE$5:AE$112,통합데이터!$E$5:$E$112,'3.수행비_요약'!$D7,통합데이터!$F$5:$F$112,'3.수행비_요약'!$E7,통합데이터!$G$5:$G$112,'3.수행비_요약'!$F7)</f>
        <v>0</v>
      </c>
    </row>
    <row r="8" spans="1:85">
      <c r="C8" s="326" t="s">
        <v>288</v>
      </c>
      <c r="D8" s="291" t="s">
        <v>246</v>
      </c>
      <c r="E8" s="291" t="s">
        <v>335</v>
      </c>
      <c r="F8" s="268">
        <v>0</v>
      </c>
      <c r="G8" s="327">
        <f t="shared" si="1"/>
        <v>0</v>
      </c>
      <c r="H8" s="328">
        <f>SUMIFS(통합데이터!U$5:U$112,통합데이터!$E$5:$E$112,'3.수행비_요약'!$D8,통합데이터!$F$5:$F$112,'3.수행비_요약'!$E8,통합데이터!$G$5:$G$112,'3.수행비_요약'!$F8)</f>
        <v>0</v>
      </c>
      <c r="I8" s="328">
        <f>SUMIFS(통합데이터!V$5:V$112,통합데이터!$E$5:$E$112,'3.수행비_요약'!$D8,통합데이터!$F$5:$F$112,'3.수행비_요약'!$E8,통합데이터!$G$5:$G$112,'3.수행비_요약'!$F8)</f>
        <v>0</v>
      </c>
      <c r="J8" s="328">
        <f>SUMIFS(통합데이터!W$5:W$112,통합데이터!$E$5:$E$112,'3.수행비_요약'!$D8,통합데이터!$F$5:$F$112,'3.수행비_요약'!$E8,통합데이터!$G$5:$G$112,'3.수행비_요약'!$F8)</f>
        <v>0</v>
      </c>
      <c r="K8" s="328">
        <f>SUMIFS(통합데이터!X$5:X$112,통합데이터!$E$5:$E$112,'3.수행비_요약'!$D8,통합데이터!$F$5:$F$112,'3.수행비_요약'!$E8,통합데이터!$G$5:$G$112,'3.수행비_요약'!$F8)</f>
        <v>0</v>
      </c>
      <c r="L8" s="328">
        <f>SUMIFS(통합데이터!Y$5:Y$112,통합데이터!$E$5:$E$112,'3.수행비_요약'!$D8,통합데이터!$F$5:$F$112,'3.수행비_요약'!$E8,통합데이터!$G$5:$G$112,'3.수행비_요약'!$F8)</f>
        <v>0</v>
      </c>
      <c r="M8" s="328">
        <f>SUMIFS(통합데이터!Z$5:Z$112,통합데이터!$E$5:$E$112,'3.수행비_요약'!$D8,통합데이터!$F$5:$F$112,'3.수행비_요약'!$E8,통합데이터!$G$5:$G$112,'3.수행비_요약'!$F8)</f>
        <v>0</v>
      </c>
      <c r="N8" s="328">
        <f>SUMIFS(통합데이터!AA$5:AA$112,통합데이터!$E$5:$E$112,'3.수행비_요약'!$D8,통합데이터!$F$5:$F$112,'3.수행비_요약'!$E8,통합데이터!$G$5:$G$112,'3.수행비_요약'!$F8)</f>
        <v>0</v>
      </c>
      <c r="O8" s="328">
        <f>SUMIFS(통합데이터!AB$5:AB$112,통합데이터!$E$5:$E$112,'3.수행비_요약'!$D8,통합데이터!$F$5:$F$112,'3.수행비_요약'!$E8,통합데이터!$G$5:$G$112,'3.수행비_요약'!$F8)</f>
        <v>0</v>
      </c>
      <c r="P8" s="328">
        <f>SUMIFS(통합데이터!AC$5:AC$112,통합데이터!$E$5:$E$112,'3.수행비_요약'!$D8,통합데이터!$F$5:$F$112,'3.수행비_요약'!$E8,통합데이터!$G$5:$G$112,'3.수행비_요약'!$F8)</f>
        <v>0</v>
      </c>
      <c r="Q8" s="328">
        <f>SUMIFS(통합데이터!AD$5:AD$112,통합데이터!$E$5:$E$112,'3.수행비_요약'!$D8,통합데이터!$F$5:$F$112,'3.수행비_요약'!$E8,통합데이터!$G$5:$G$112,'3.수행비_요약'!$F8)</f>
        <v>0</v>
      </c>
      <c r="R8" s="328">
        <f>SUMIFS(통합데이터!AE$5:AE$112,통합데이터!$E$5:$E$112,'3.수행비_요약'!$D8,통합데이터!$F$5:$F$112,'3.수행비_요약'!$E8,통합데이터!$G$5:$G$112,'3.수행비_요약'!$F8)</f>
        <v>0</v>
      </c>
    </row>
    <row r="9" spans="1:85">
      <c r="C9" s="326" t="s">
        <v>288</v>
      </c>
      <c r="D9" s="291" t="s">
        <v>246</v>
      </c>
      <c r="E9" s="291" t="s">
        <v>336</v>
      </c>
      <c r="F9" s="268">
        <v>0</v>
      </c>
      <c r="G9" s="327">
        <f t="shared" si="1"/>
        <v>0</v>
      </c>
      <c r="H9" s="328">
        <f>SUMIFS(통합데이터!U$5:U$112,통합데이터!$E$5:$E$112,'3.수행비_요약'!$D9,통합데이터!$F$5:$F$112,'3.수행비_요약'!$E9,통합데이터!$G$5:$G$112,'3.수행비_요약'!$F9)</f>
        <v>0</v>
      </c>
      <c r="I9" s="328">
        <f>SUMIFS(통합데이터!V$5:V$112,통합데이터!$E$5:$E$112,'3.수행비_요약'!$D9,통합데이터!$F$5:$F$112,'3.수행비_요약'!$E9,통합데이터!$G$5:$G$112,'3.수행비_요약'!$F9)</f>
        <v>0</v>
      </c>
      <c r="J9" s="328">
        <f>SUMIFS(통합데이터!W$5:W$112,통합데이터!$E$5:$E$112,'3.수행비_요약'!$D9,통합데이터!$F$5:$F$112,'3.수행비_요약'!$E9,통합데이터!$G$5:$G$112,'3.수행비_요약'!$F9)</f>
        <v>0</v>
      </c>
      <c r="K9" s="328">
        <f>SUMIFS(통합데이터!X$5:X$112,통합데이터!$E$5:$E$112,'3.수행비_요약'!$D9,통합데이터!$F$5:$F$112,'3.수행비_요약'!$E9,통합데이터!$G$5:$G$112,'3.수행비_요약'!$F9)</f>
        <v>0</v>
      </c>
      <c r="L9" s="328">
        <f>SUMIFS(통합데이터!Y$5:Y$112,통합데이터!$E$5:$E$112,'3.수행비_요약'!$D9,통합데이터!$F$5:$F$112,'3.수행비_요약'!$E9,통합데이터!$G$5:$G$112,'3.수행비_요약'!$F9)</f>
        <v>0</v>
      </c>
      <c r="M9" s="328">
        <f>SUMIFS(통합데이터!Z$5:Z$112,통합데이터!$E$5:$E$112,'3.수행비_요약'!$D9,통합데이터!$F$5:$F$112,'3.수행비_요약'!$E9,통합데이터!$G$5:$G$112,'3.수행비_요약'!$F9)</f>
        <v>0</v>
      </c>
      <c r="N9" s="328">
        <f>SUMIFS(통합데이터!AA$5:AA$112,통합데이터!$E$5:$E$112,'3.수행비_요약'!$D9,통합데이터!$F$5:$F$112,'3.수행비_요약'!$E9,통합데이터!$G$5:$G$112,'3.수행비_요약'!$F9)</f>
        <v>0</v>
      </c>
      <c r="O9" s="328">
        <f>SUMIFS(통합데이터!AB$5:AB$112,통합데이터!$E$5:$E$112,'3.수행비_요약'!$D9,통합데이터!$F$5:$F$112,'3.수행비_요약'!$E9,통합데이터!$G$5:$G$112,'3.수행비_요약'!$F9)</f>
        <v>0</v>
      </c>
      <c r="P9" s="328">
        <f>SUMIFS(통합데이터!AC$5:AC$112,통합데이터!$E$5:$E$112,'3.수행비_요약'!$D9,통합데이터!$F$5:$F$112,'3.수행비_요약'!$E9,통합데이터!$G$5:$G$112,'3.수행비_요약'!$F9)</f>
        <v>0</v>
      </c>
      <c r="Q9" s="328">
        <f>SUMIFS(통합데이터!AD$5:AD$112,통합데이터!$E$5:$E$112,'3.수행비_요약'!$D9,통합데이터!$F$5:$F$112,'3.수행비_요약'!$E9,통합데이터!$G$5:$G$112,'3.수행비_요약'!$F9)</f>
        <v>0</v>
      </c>
      <c r="R9" s="328">
        <f>SUMIFS(통합데이터!AE$5:AE$112,통합데이터!$E$5:$E$112,'3.수행비_요약'!$D9,통합데이터!$F$5:$F$112,'3.수행비_요약'!$E9,통합데이터!$G$5:$G$112,'3.수행비_요약'!$F9)</f>
        <v>0</v>
      </c>
    </row>
    <row r="10" spans="1:85">
      <c r="C10" s="326" t="s">
        <v>288</v>
      </c>
      <c r="D10" s="291" t="s">
        <v>246</v>
      </c>
      <c r="E10" s="291" t="s">
        <v>822</v>
      </c>
      <c r="F10" s="268" t="s">
        <v>823</v>
      </c>
      <c r="G10" s="327">
        <f t="shared" si="1"/>
        <v>0</v>
      </c>
      <c r="H10" s="328">
        <f>SUMIFS(통합데이터!U$5:U$112,통합데이터!$E$5:$E$112,'3.수행비_요약'!$D10,통합데이터!$F$5:$F$112,'3.수행비_요약'!$E10,통합데이터!$G$5:$G$112,'3.수행비_요약'!$F10)</f>
        <v>0</v>
      </c>
      <c r="I10" s="328">
        <f>SUMIFS(통합데이터!V$5:V$112,통합데이터!$E$5:$E$112,'3.수행비_요약'!$D10,통합데이터!$F$5:$F$112,'3.수행비_요약'!$E10,통합데이터!$G$5:$G$112,'3.수행비_요약'!$F10)</f>
        <v>0</v>
      </c>
      <c r="J10" s="328">
        <f>SUMIFS(통합데이터!W$5:W$112,통합데이터!$E$5:$E$112,'3.수행비_요약'!$D10,통합데이터!$F$5:$F$112,'3.수행비_요약'!$E10,통합데이터!$G$5:$G$112,'3.수행비_요약'!$F10)</f>
        <v>0</v>
      </c>
      <c r="K10" s="328">
        <f>SUMIFS(통합데이터!X$5:X$112,통합데이터!$E$5:$E$112,'3.수행비_요약'!$D10,통합데이터!$F$5:$F$112,'3.수행비_요약'!$E10,통합데이터!$G$5:$G$112,'3.수행비_요약'!$F10)</f>
        <v>0</v>
      </c>
      <c r="L10" s="328">
        <f>SUMIFS(통합데이터!Y$5:Y$112,통합데이터!$E$5:$E$112,'3.수행비_요약'!$D10,통합데이터!$F$5:$F$112,'3.수행비_요약'!$E10,통합데이터!$G$5:$G$112,'3.수행비_요약'!$F10)</f>
        <v>0</v>
      </c>
      <c r="M10" s="328">
        <f>SUMIFS(통합데이터!Z$5:Z$112,통합데이터!$E$5:$E$112,'3.수행비_요약'!$D10,통합데이터!$F$5:$F$112,'3.수행비_요약'!$E10,통합데이터!$G$5:$G$112,'3.수행비_요약'!$F10)</f>
        <v>0</v>
      </c>
      <c r="N10" s="328">
        <f>SUMIFS(통합데이터!AA$5:AA$112,통합데이터!$E$5:$E$112,'3.수행비_요약'!$D10,통합데이터!$F$5:$F$112,'3.수행비_요약'!$E10,통합데이터!$G$5:$G$112,'3.수행비_요약'!$F10)</f>
        <v>0</v>
      </c>
      <c r="O10" s="328">
        <f>SUMIFS(통합데이터!AB$5:AB$112,통합데이터!$E$5:$E$112,'3.수행비_요약'!$D10,통합데이터!$F$5:$F$112,'3.수행비_요약'!$E10,통합데이터!$G$5:$G$112,'3.수행비_요약'!$F10)</f>
        <v>0</v>
      </c>
      <c r="P10" s="328">
        <f>SUMIFS(통합데이터!AC$5:AC$112,통합데이터!$E$5:$E$112,'3.수행비_요약'!$D10,통합데이터!$F$5:$F$112,'3.수행비_요약'!$E10,통합데이터!$G$5:$G$112,'3.수행비_요약'!$F10)</f>
        <v>0</v>
      </c>
      <c r="Q10" s="328">
        <f>SUMIFS(통합데이터!AD$5:AD$112,통합데이터!$E$5:$E$112,'3.수행비_요약'!$D10,통합데이터!$F$5:$F$112,'3.수행비_요약'!$E10,통합데이터!$G$5:$G$112,'3.수행비_요약'!$F10)</f>
        <v>0</v>
      </c>
      <c r="R10" s="328">
        <f>SUMIFS(통합데이터!AE$5:AE$112,통합데이터!$E$5:$E$112,'3.수행비_요약'!$D10,통합데이터!$F$5:$F$112,'3.수행비_요약'!$E10,통합데이터!$G$5:$G$112,'3.수행비_요약'!$F10)</f>
        <v>0</v>
      </c>
    </row>
    <row r="11" spans="1:85">
      <c r="C11" s="326" t="s">
        <v>288</v>
      </c>
      <c r="D11" s="291" t="s">
        <v>246</v>
      </c>
      <c r="E11" s="291" t="s">
        <v>822</v>
      </c>
      <c r="F11" s="268" t="s">
        <v>14</v>
      </c>
      <c r="G11" s="327">
        <f t="shared" si="1"/>
        <v>0</v>
      </c>
      <c r="H11" s="328">
        <f>SUMIFS(통합데이터!U$5:U$112,통합데이터!$E$5:$E$112,'3.수행비_요약'!$D11,통합데이터!$F$5:$F$112,'3.수행비_요약'!$E11,통합데이터!$G$5:$G$112,'3.수행비_요약'!$F11)</f>
        <v>0</v>
      </c>
      <c r="I11" s="328">
        <f>SUMIFS(통합데이터!V$5:V$112,통합데이터!$E$5:$E$112,'3.수행비_요약'!$D11,통합데이터!$F$5:$F$112,'3.수행비_요약'!$E11,통합데이터!$G$5:$G$112,'3.수행비_요약'!$F11)</f>
        <v>0</v>
      </c>
      <c r="J11" s="328">
        <f>SUMIFS(통합데이터!W$5:W$112,통합데이터!$E$5:$E$112,'3.수행비_요약'!$D11,통합데이터!$F$5:$F$112,'3.수행비_요약'!$E11,통합데이터!$G$5:$G$112,'3.수행비_요약'!$F11)</f>
        <v>0</v>
      </c>
      <c r="K11" s="328">
        <f>SUMIFS(통합데이터!X$5:X$112,통합데이터!$E$5:$E$112,'3.수행비_요약'!$D11,통합데이터!$F$5:$F$112,'3.수행비_요약'!$E11,통합데이터!$G$5:$G$112,'3.수행비_요약'!$F11)</f>
        <v>0</v>
      </c>
      <c r="L11" s="328">
        <f>SUMIFS(통합데이터!Y$5:Y$112,통합데이터!$E$5:$E$112,'3.수행비_요약'!$D11,통합데이터!$F$5:$F$112,'3.수행비_요약'!$E11,통합데이터!$G$5:$G$112,'3.수행비_요약'!$F11)</f>
        <v>0</v>
      </c>
      <c r="M11" s="328">
        <f>SUMIFS(통합데이터!Z$5:Z$112,통합데이터!$E$5:$E$112,'3.수행비_요약'!$D11,통합데이터!$F$5:$F$112,'3.수행비_요약'!$E11,통합데이터!$G$5:$G$112,'3.수행비_요약'!$F11)</f>
        <v>0</v>
      </c>
      <c r="N11" s="328">
        <f>SUMIFS(통합데이터!AA$5:AA$112,통합데이터!$E$5:$E$112,'3.수행비_요약'!$D11,통합데이터!$F$5:$F$112,'3.수행비_요약'!$E11,통합데이터!$G$5:$G$112,'3.수행비_요약'!$F11)</f>
        <v>0</v>
      </c>
      <c r="O11" s="328">
        <f>SUMIFS(통합데이터!AB$5:AB$112,통합데이터!$E$5:$E$112,'3.수행비_요약'!$D11,통합데이터!$F$5:$F$112,'3.수행비_요약'!$E11,통합데이터!$G$5:$G$112,'3.수행비_요약'!$F11)</f>
        <v>0</v>
      </c>
      <c r="P11" s="328">
        <f>SUMIFS(통합데이터!AC$5:AC$112,통합데이터!$E$5:$E$112,'3.수행비_요약'!$D11,통합데이터!$F$5:$F$112,'3.수행비_요약'!$E11,통합데이터!$G$5:$G$112,'3.수행비_요약'!$F11)</f>
        <v>0</v>
      </c>
      <c r="Q11" s="328">
        <f>SUMIFS(통합데이터!AD$5:AD$112,통합데이터!$E$5:$E$112,'3.수행비_요약'!$D11,통합데이터!$F$5:$F$112,'3.수행비_요약'!$E11,통합데이터!$G$5:$G$112,'3.수행비_요약'!$F11)</f>
        <v>0</v>
      </c>
      <c r="R11" s="328">
        <f>SUMIFS(통합데이터!AE$5:AE$112,통합데이터!$E$5:$E$112,'3.수행비_요약'!$D11,통합데이터!$F$5:$F$112,'3.수행비_요약'!$E11,통합데이터!$G$5:$G$112,'3.수행비_요약'!$F11)</f>
        <v>0</v>
      </c>
    </row>
    <row r="12" spans="1:85">
      <c r="C12" s="326" t="s">
        <v>288</v>
      </c>
      <c r="D12" s="291" t="s">
        <v>246</v>
      </c>
      <c r="E12" s="291" t="s">
        <v>822</v>
      </c>
      <c r="F12" s="268" t="s">
        <v>152</v>
      </c>
      <c r="G12" s="327">
        <f t="shared" si="1"/>
        <v>0</v>
      </c>
      <c r="H12" s="328">
        <f>SUMIFS(통합데이터!U$5:U$112,통합데이터!$E$5:$E$112,'3.수행비_요약'!$D12,통합데이터!$F$5:$F$112,'3.수행비_요약'!$E12,통합데이터!$G$5:$G$112,'3.수행비_요약'!$F12)</f>
        <v>0</v>
      </c>
      <c r="I12" s="328">
        <f>SUMIFS(통합데이터!V$5:V$112,통합데이터!$E$5:$E$112,'3.수행비_요약'!$D12,통합데이터!$F$5:$F$112,'3.수행비_요약'!$E12,통합데이터!$G$5:$G$112,'3.수행비_요약'!$F12)</f>
        <v>0</v>
      </c>
      <c r="J12" s="328">
        <f>SUMIFS(통합데이터!W$5:W$112,통합데이터!$E$5:$E$112,'3.수행비_요약'!$D12,통합데이터!$F$5:$F$112,'3.수행비_요약'!$E12,통합데이터!$G$5:$G$112,'3.수행비_요약'!$F12)</f>
        <v>0</v>
      </c>
      <c r="K12" s="328">
        <f>SUMIFS(통합데이터!X$5:X$112,통합데이터!$E$5:$E$112,'3.수행비_요약'!$D12,통합데이터!$F$5:$F$112,'3.수행비_요약'!$E12,통합데이터!$G$5:$G$112,'3.수행비_요약'!$F12)</f>
        <v>0</v>
      </c>
      <c r="L12" s="328">
        <f>SUMIFS(통합데이터!Y$5:Y$112,통합데이터!$E$5:$E$112,'3.수행비_요약'!$D12,통합데이터!$F$5:$F$112,'3.수행비_요약'!$E12,통합데이터!$G$5:$G$112,'3.수행비_요약'!$F12)</f>
        <v>0</v>
      </c>
      <c r="M12" s="328">
        <f>SUMIFS(통합데이터!Z$5:Z$112,통합데이터!$E$5:$E$112,'3.수행비_요약'!$D12,통합데이터!$F$5:$F$112,'3.수행비_요약'!$E12,통합데이터!$G$5:$G$112,'3.수행비_요약'!$F12)</f>
        <v>0</v>
      </c>
      <c r="N12" s="328">
        <f>SUMIFS(통합데이터!AA$5:AA$112,통합데이터!$E$5:$E$112,'3.수행비_요약'!$D12,통합데이터!$F$5:$F$112,'3.수행비_요약'!$E12,통합데이터!$G$5:$G$112,'3.수행비_요약'!$F12)</f>
        <v>0</v>
      </c>
      <c r="O12" s="328">
        <f>SUMIFS(통합데이터!AB$5:AB$112,통합데이터!$E$5:$E$112,'3.수행비_요약'!$D12,통합데이터!$F$5:$F$112,'3.수행비_요약'!$E12,통합데이터!$G$5:$G$112,'3.수행비_요약'!$F12)</f>
        <v>0</v>
      </c>
      <c r="P12" s="328">
        <f>SUMIFS(통합데이터!AC$5:AC$112,통합데이터!$E$5:$E$112,'3.수행비_요약'!$D12,통합데이터!$F$5:$F$112,'3.수행비_요약'!$E12,통합데이터!$G$5:$G$112,'3.수행비_요약'!$F12)</f>
        <v>0</v>
      </c>
      <c r="Q12" s="328">
        <f>SUMIFS(통합데이터!AD$5:AD$112,통합데이터!$E$5:$E$112,'3.수행비_요약'!$D12,통합데이터!$F$5:$F$112,'3.수행비_요약'!$E12,통합데이터!$G$5:$G$112,'3.수행비_요약'!$F12)</f>
        <v>0</v>
      </c>
      <c r="R12" s="328">
        <f>SUMIFS(통합데이터!AE$5:AE$112,통합데이터!$E$5:$E$112,'3.수행비_요약'!$D12,통합데이터!$F$5:$F$112,'3.수행비_요약'!$E12,통합데이터!$G$5:$G$112,'3.수행비_요약'!$F12)</f>
        <v>0</v>
      </c>
    </row>
    <row r="13" spans="1:85">
      <c r="C13" s="326" t="s">
        <v>288</v>
      </c>
      <c r="D13" s="291" t="s">
        <v>246</v>
      </c>
      <c r="E13" s="291" t="s">
        <v>338</v>
      </c>
      <c r="F13" s="268">
        <v>0</v>
      </c>
      <c r="G13" s="327">
        <f t="shared" si="1"/>
        <v>0</v>
      </c>
      <c r="H13" s="328">
        <f>SUMIFS(통합데이터!U$5:U$112,통합데이터!$E$5:$E$112,'3.수행비_요약'!$D13,통합데이터!$F$5:$F$112,'3.수행비_요약'!$E13,통합데이터!$G$5:$G$112,'3.수행비_요약'!$F13)</f>
        <v>0</v>
      </c>
      <c r="I13" s="328">
        <f>SUMIFS(통합데이터!V$5:V$112,통합데이터!$E$5:$E$112,'3.수행비_요약'!$D13,통합데이터!$F$5:$F$112,'3.수행비_요약'!$E13,통합데이터!$G$5:$G$112,'3.수행비_요약'!$F13)</f>
        <v>0</v>
      </c>
      <c r="J13" s="328">
        <f>SUMIFS(통합데이터!W$5:W$112,통합데이터!$E$5:$E$112,'3.수행비_요약'!$D13,통합데이터!$F$5:$F$112,'3.수행비_요약'!$E13,통합데이터!$G$5:$G$112,'3.수행비_요약'!$F13)</f>
        <v>0</v>
      </c>
      <c r="K13" s="328">
        <f>SUMIFS(통합데이터!X$5:X$112,통합데이터!$E$5:$E$112,'3.수행비_요약'!$D13,통합데이터!$F$5:$F$112,'3.수행비_요약'!$E13,통합데이터!$G$5:$G$112,'3.수행비_요약'!$F13)</f>
        <v>0</v>
      </c>
      <c r="L13" s="328">
        <f>SUMIFS(통합데이터!Y$5:Y$112,통합데이터!$E$5:$E$112,'3.수행비_요약'!$D13,통합데이터!$F$5:$F$112,'3.수행비_요약'!$E13,통합데이터!$G$5:$G$112,'3.수행비_요약'!$F13)</f>
        <v>0</v>
      </c>
      <c r="M13" s="328">
        <f>SUMIFS(통합데이터!Z$5:Z$112,통합데이터!$E$5:$E$112,'3.수행비_요약'!$D13,통합데이터!$F$5:$F$112,'3.수행비_요약'!$E13,통합데이터!$G$5:$G$112,'3.수행비_요약'!$F13)</f>
        <v>0</v>
      </c>
      <c r="N13" s="328">
        <f>SUMIFS(통합데이터!AA$5:AA$112,통합데이터!$E$5:$E$112,'3.수행비_요약'!$D13,통합데이터!$F$5:$F$112,'3.수행비_요약'!$E13,통합데이터!$G$5:$G$112,'3.수행비_요약'!$F13)</f>
        <v>0</v>
      </c>
      <c r="O13" s="328">
        <f>SUMIFS(통합데이터!AB$5:AB$112,통합데이터!$E$5:$E$112,'3.수행비_요약'!$D13,통합데이터!$F$5:$F$112,'3.수행비_요약'!$E13,통합데이터!$G$5:$G$112,'3.수행비_요약'!$F13)</f>
        <v>0</v>
      </c>
      <c r="P13" s="328">
        <f>SUMIFS(통합데이터!AC$5:AC$112,통합데이터!$E$5:$E$112,'3.수행비_요약'!$D13,통합데이터!$F$5:$F$112,'3.수행비_요약'!$E13,통합데이터!$G$5:$G$112,'3.수행비_요약'!$F13)</f>
        <v>0</v>
      </c>
      <c r="Q13" s="328">
        <f>SUMIFS(통합데이터!AD$5:AD$112,통합데이터!$E$5:$E$112,'3.수행비_요약'!$D13,통합데이터!$F$5:$F$112,'3.수행비_요약'!$E13,통합데이터!$G$5:$G$112,'3.수행비_요약'!$F13)</f>
        <v>0</v>
      </c>
      <c r="R13" s="328">
        <f>SUMIFS(통합데이터!AE$5:AE$112,통합데이터!$E$5:$E$112,'3.수행비_요약'!$D13,통합데이터!$F$5:$F$112,'3.수행비_요약'!$E13,통합데이터!$G$5:$G$112,'3.수행비_요약'!$F13)</f>
        <v>0</v>
      </c>
    </row>
    <row r="14" spans="1:85">
      <c r="C14" s="326" t="s">
        <v>288</v>
      </c>
      <c r="D14" s="291" t="s">
        <v>246</v>
      </c>
      <c r="E14" s="291" t="s">
        <v>339</v>
      </c>
      <c r="F14" s="291" t="s">
        <v>339</v>
      </c>
      <c r="G14" s="327">
        <f t="shared" si="1"/>
        <v>0</v>
      </c>
      <c r="H14" s="328">
        <f>SUMIFS(통합데이터!U$5:U$112,통합데이터!$E$5:$E$112,'3.수행비_요약'!$D14,통합데이터!$F$5:$F$112,'3.수행비_요약'!$E14,통합데이터!$G$5:$G$112,'3.수행비_요약'!$F14)</f>
        <v>0</v>
      </c>
      <c r="I14" s="328">
        <f>SUMIFS(통합데이터!V$5:V$112,통합데이터!$E$5:$E$112,'3.수행비_요약'!$D14,통합데이터!$F$5:$F$112,'3.수행비_요약'!$E14,통합데이터!$G$5:$G$112,'3.수행비_요약'!$F14)</f>
        <v>0</v>
      </c>
      <c r="J14" s="328">
        <f>SUMIFS(통합데이터!W$5:W$112,통합데이터!$E$5:$E$112,'3.수행비_요약'!$D14,통합데이터!$F$5:$F$112,'3.수행비_요약'!$E14,통합데이터!$G$5:$G$112,'3.수행비_요약'!$F14)</f>
        <v>0</v>
      </c>
      <c r="K14" s="328">
        <f>SUMIFS(통합데이터!X$5:X$112,통합데이터!$E$5:$E$112,'3.수행비_요약'!$D14,통합데이터!$F$5:$F$112,'3.수행비_요약'!$E14,통합데이터!$G$5:$G$112,'3.수행비_요약'!$F14)</f>
        <v>0</v>
      </c>
      <c r="L14" s="328">
        <f>SUMIFS(통합데이터!Y$5:Y$112,통합데이터!$E$5:$E$112,'3.수행비_요약'!$D14,통합데이터!$F$5:$F$112,'3.수행비_요약'!$E14,통합데이터!$G$5:$G$112,'3.수행비_요약'!$F14)</f>
        <v>0</v>
      </c>
      <c r="M14" s="328">
        <f>SUMIFS(통합데이터!Z$5:Z$112,통합데이터!$E$5:$E$112,'3.수행비_요약'!$D14,통합데이터!$F$5:$F$112,'3.수행비_요약'!$E14,통합데이터!$G$5:$G$112,'3.수행비_요약'!$F14)</f>
        <v>0</v>
      </c>
      <c r="N14" s="328">
        <f>SUMIFS(통합데이터!AA$5:AA$112,통합데이터!$E$5:$E$112,'3.수행비_요약'!$D14,통합데이터!$F$5:$F$112,'3.수행비_요약'!$E14,통합데이터!$G$5:$G$112,'3.수행비_요약'!$F14)</f>
        <v>0</v>
      </c>
      <c r="O14" s="328">
        <f>SUMIFS(통합데이터!AB$5:AB$112,통합데이터!$E$5:$E$112,'3.수행비_요약'!$D14,통합데이터!$F$5:$F$112,'3.수행비_요약'!$E14,통합데이터!$G$5:$G$112,'3.수행비_요약'!$F14)</f>
        <v>0</v>
      </c>
      <c r="P14" s="328">
        <f>SUMIFS(통합데이터!AC$5:AC$112,통합데이터!$E$5:$E$112,'3.수행비_요약'!$D14,통합데이터!$F$5:$F$112,'3.수행비_요약'!$E14,통합데이터!$G$5:$G$112,'3.수행비_요약'!$F14)</f>
        <v>0</v>
      </c>
      <c r="Q14" s="328">
        <f>SUMIFS(통합데이터!AD$5:AD$112,통합데이터!$E$5:$E$112,'3.수행비_요약'!$D14,통합데이터!$F$5:$F$112,'3.수행비_요약'!$E14,통합데이터!$G$5:$G$112,'3.수행비_요약'!$F14)</f>
        <v>0</v>
      </c>
      <c r="R14" s="328">
        <f>SUMIFS(통합데이터!AE$5:AE$112,통합데이터!$E$5:$E$112,'3.수행비_요약'!$D14,통합데이터!$F$5:$F$112,'3.수행비_요약'!$E14,통합데이터!$G$5:$G$112,'3.수행비_요약'!$F14)</f>
        <v>0</v>
      </c>
    </row>
    <row r="15" spans="1:85">
      <c r="C15" s="326" t="s">
        <v>288</v>
      </c>
      <c r="D15" s="291" t="s">
        <v>246</v>
      </c>
      <c r="E15" s="291" t="s">
        <v>339</v>
      </c>
      <c r="F15" s="291" t="s">
        <v>339</v>
      </c>
      <c r="G15" s="327">
        <f t="shared" si="1"/>
        <v>0</v>
      </c>
      <c r="H15" s="328">
        <f>SUMIFS(통합데이터!U$5:U$112,통합데이터!$E$5:$E$112,'3.수행비_요약'!$D15,통합데이터!$F$5:$F$112,'3.수행비_요약'!$E15,통합데이터!$G$5:$G$112,'3.수행비_요약'!$F15)</f>
        <v>0</v>
      </c>
      <c r="I15" s="328">
        <f>SUMIFS(통합데이터!V$5:V$112,통합데이터!$E$5:$E$112,'3.수행비_요약'!$D15,통합데이터!$F$5:$F$112,'3.수행비_요약'!$E15,통합데이터!$G$5:$G$112,'3.수행비_요약'!$F15)</f>
        <v>0</v>
      </c>
      <c r="J15" s="328">
        <f>SUMIFS(통합데이터!W$5:W$112,통합데이터!$E$5:$E$112,'3.수행비_요약'!$D15,통합데이터!$F$5:$F$112,'3.수행비_요약'!$E15,통합데이터!$G$5:$G$112,'3.수행비_요약'!$F15)</f>
        <v>0</v>
      </c>
      <c r="K15" s="328">
        <f>SUMIFS(통합데이터!X$5:X$112,통합데이터!$E$5:$E$112,'3.수행비_요약'!$D15,통합데이터!$F$5:$F$112,'3.수행비_요약'!$E15,통합데이터!$G$5:$G$112,'3.수행비_요약'!$F15)</f>
        <v>0</v>
      </c>
      <c r="L15" s="328">
        <f>SUMIFS(통합데이터!Y$5:Y$112,통합데이터!$E$5:$E$112,'3.수행비_요약'!$D15,통합데이터!$F$5:$F$112,'3.수행비_요약'!$E15,통합데이터!$G$5:$G$112,'3.수행비_요약'!$F15)</f>
        <v>0</v>
      </c>
      <c r="M15" s="328">
        <f>SUMIFS(통합데이터!Z$5:Z$112,통합데이터!$E$5:$E$112,'3.수행비_요약'!$D15,통합데이터!$F$5:$F$112,'3.수행비_요약'!$E15,통합데이터!$G$5:$G$112,'3.수행비_요약'!$F15)</f>
        <v>0</v>
      </c>
      <c r="N15" s="328">
        <f>SUMIFS(통합데이터!AA$5:AA$112,통합데이터!$E$5:$E$112,'3.수행비_요약'!$D15,통합데이터!$F$5:$F$112,'3.수행비_요약'!$E15,통합데이터!$G$5:$G$112,'3.수행비_요약'!$F15)</f>
        <v>0</v>
      </c>
      <c r="O15" s="328">
        <f>SUMIFS(통합데이터!AB$5:AB$112,통합데이터!$E$5:$E$112,'3.수행비_요약'!$D15,통합데이터!$F$5:$F$112,'3.수행비_요약'!$E15,통합데이터!$G$5:$G$112,'3.수행비_요약'!$F15)</f>
        <v>0</v>
      </c>
      <c r="P15" s="328">
        <f>SUMIFS(통합데이터!AC$5:AC$112,통합데이터!$E$5:$E$112,'3.수행비_요약'!$D15,통합데이터!$F$5:$F$112,'3.수행비_요약'!$E15,통합데이터!$G$5:$G$112,'3.수행비_요약'!$F15)</f>
        <v>0</v>
      </c>
      <c r="Q15" s="328">
        <f>SUMIFS(통합데이터!AD$5:AD$112,통합데이터!$E$5:$E$112,'3.수행비_요약'!$D15,통합데이터!$F$5:$F$112,'3.수행비_요약'!$E15,통합데이터!$G$5:$G$112,'3.수행비_요약'!$F15)</f>
        <v>0</v>
      </c>
      <c r="R15" s="328">
        <f>SUMIFS(통합데이터!AE$5:AE$112,통합데이터!$E$5:$E$112,'3.수행비_요약'!$D15,통합데이터!$F$5:$F$112,'3.수행비_요약'!$E15,통합데이터!$G$5:$G$112,'3.수행비_요약'!$F15)</f>
        <v>0</v>
      </c>
    </row>
    <row r="16" spans="1:85">
      <c r="G16" s="325"/>
      <c r="H16" s="325"/>
      <c r="I16" s="325"/>
      <c r="J16" s="325"/>
      <c r="K16" s="325"/>
      <c r="L16" s="325"/>
      <c r="M16" s="325"/>
      <c r="N16" s="325"/>
      <c r="O16" s="325"/>
      <c r="P16" s="325"/>
      <c r="Q16" s="325"/>
      <c r="R16" s="325"/>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57"/>
      <c r="BV16" s="57"/>
      <c r="BW16" s="57"/>
      <c r="BX16" s="57"/>
      <c r="BY16" s="57"/>
      <c r="BZ16" s="57"/>
      <c r="CA16" s="57"/>
      <c r="CB16" s="57"/>
      <c r="CC16" s="57"/>
      <c r="CD16" s="57"/>
      <c r="CE16" s="57"/>
      <c r="CF16" s="57"/>
      <c r="CG16" s="57"/>
    </row>
    <row r="17" spans="7:85">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row>
    <row r="18" spans="7:85">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row>
    <row r="19" spans="7:85">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57"/>
      <c r="BV19" s="57"/>
      <c r="BW19" s="57"/>
      <c r="BX19" s="57"/>
      <c r="BY19" s="57"/>
      <c r="BZ19" s="57"/>
      <c r="CA19" s="57"/>
      <c r="CB19" s="57"/>
      <c r="CC19" s="57"/>
      <c r="CD19" s="57"/>
      <c r="CE19" s="57"/>
      <c r="CF19" s="57"/>
      <c r="CG19" s="57"/>
    </row>
    <row r="20" spans="7:85">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row>
    <row r="21" spans="7:85">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row>
    <row r="22" spans="7:85">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row>
    <row r="23" spans="7:85">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7"/>
      <c r="AZ23" s="57"/>
      <c r="BA23" s="57"/>
      <c r="BB23" s="57"/>
      <c r="BC23" s="57"/>
      <c r="BD23" s="57"/>
      <c r="BE23" s="57"/>
      <c r="BF23" s="57"/>
      <c r="BG23" s="57"/>
      <c r="BH23" s="57"/>
      <c r="BI23" s="57"/>
      <c r="BJ23" s="57"/>
      <c r="BK23" s="57"/>
      <c r="BL23" s="57"/>
      <c r="BM23" s="57"/>
      <c r="BN23" s="57"/>
      <c r="BO23" s="57"/>
      <c r="BP23" s="57"/>
      <c r="BQ23" s="57"/>
      <c r="BR23" s="57"/>
      <c r="BS23" s="57"/>
      <c r="BT23" s="57"/>
      <c r="BU23" s="57"/>
      <c r="BV23" s="57"/>
      <c r="BW23" s="57"/>
      <c r="BX23" s="57"/>
      <c r="BY23" s="57"/>
      <c r="BZ23" s="57"/>
      <c r="CA23" s="57"/>
      <c r="CB23" s="57"/>
      <c r="CC23" s="57"/>
      <c r="CD23" s="57"/>
      <c r="CE23" s="57"/>
      <c r="CF23" s="57"/>
      <c r="CG23" s="57"/>
    </row>
    <row r="24" spans="7:85">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7"/>
      <c r="AZ24" s="57"/>
      <c r="BA24" s="57"/>
      <c r="BB24" s="57"/>
      <c r="BC24" s="57"/>
      <c r="BD24" s="57"/>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row>
    <row r="25" spans="7:85">
      <c r="G25" s="57"/>
      <c r="H25" s="57"/>
      <c r="I25" s="57"/>
      <c r="J25" s="57"/>
      <c r="K25" s="57"/>
      <c r="L25" s="57"/>
      <c r="M25" s="57"/>
      <c r="N25" s="57"/>
      <c r="O25" s="57"/>
      <c r="P25" s="57"/>
      <c r="Q25" s="57"/>
      <c r="R25" s="57"/>
      <c r="S25" s="57"/>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c r="AX25" s="57"/>
      <c r="AY25" s="57"/>
      <c r="AZ25" s="57"/>
      <c r="BA25" s="57"/>
      <c r="BB25" s="57"/>
      <c r="BC25" s="57"/>
      <c r="BD25" s="57"/>
      <c r="BE25" s="57"/>
      <c r="BF25" s="57"/>
      <c r="BG25" s="57"/>
      <c r="BH25" s="57"/>
      <c r="BI25" s="57"/>
      <c r="BJ25" s="57"/>
      <c r="BK25" s="57"/>
      <c r="BL25" s="57"/>
      <c r="BM25" s="57"/>
      <c r="BN25" s="57"/>
      <c r="BO25" s="57"/>
      <c r="BP25" s="57"/>
      <c r="BQ25" s="57"/>
      <c r="BR25" s="57"/>
      <c r="BS25" s="57"/>
      <c r="BT25" s="57"/>
      <c r="BU25" s="57"/>
      <c r="BV25" s="57"/>
      <c r="BW25" s="57"/>
      <c r="BX25" s="57"/>
      <c r="BY25" s="57"/>
      <c r="BZ25" s="57"/>
      <c r="CA25" s="57"/>
      <c r="CB25" s="57"/>
      <c r="CC25" s="57"/>
      <c r="CD25" s="57"/>
      <c r="CE25" s="57"/>
      <c r="CF25" s="57"/>
      <c r="CG25" s="57"/>
    </row>
    <row r="26" spans="7:85">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c r="AX26" s="57"/>
      <c r="AY26" s="57"/>
      <c r="AZ26" s="57"/>
      <c r="BA26" s="57"/>
      <c r="BB26" s="57"/>
      <c r="BC26" s="57"/>
      <c r="BD26" s="57"/>
      <c r="BE26" s="57"/>
      <c r="BF26" s="57"/>
      <c r="BG26" s="57"/>
      <c r="BH26" s="57"/>
      <c r="BI26" s="57"/>
      <c r="BJ26" s="57"/>
      <c r="BK26" s="57"/>
      <c r="BL26" s="57"/>
      <c r="BM26" s="57"/>
      <c r="BN26" s="57"/>
      <c r="BO26" s="57"/>
      <c r="BP26" s="57"/>
      <c r="BQ26" s="57"/>
      <c r="BR26" s="57"/>
      <c r="BS26" s="57"/>
      <c r="BT26" s="57"/>
      <c r="BU26" s="57"/>
      <c r="BV26" s="57"/>
      <c r="BW26" s="57"/>
      <c r="BX26" s="57"/>
      <c r="BY26" s="57"/>
      <c r="BZ26" s="57"/>
      <c r="CA26" s="57"/>
      <c r="CB26" s="57"/>
      <c r="CC26" s="57"/>
      <c r="CD26" s="57"/>
      <c r="CE26" s="57"/>
      <c r="CF26" s="57"/>
      <c r="CG26" s="57"/>
    </row>
    <row r="27" spans="7:85">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row>
    <row r="28" spans="7:85">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c r="AX28" s="57"/>
      <c r="AY28" s="57"/>
      <c r="AZ28" s="57"/>
      <c r="BA28" s="57"/>
      <c r="BB28" s="57"/>
      <c r="BC28" s="57"/>
      <c r="BD28" s="57"/>
      <c r="BE28" s="57"/>
      <c r="BF28" s="57"/>
      <c r="BG28" s="57"/>
      <c r="BH28" s="57"/>
      <c r="BI28" s="57"/>
      <c r="BJ28" s="57"/>
      <c r="BK28" s="57"/>
      <c r="BL28" s="57"/>
      <c r="BM28" s="57"/>
      <c r="BN28" s="57"/>
      <c r="BO28" s="57"/>
      <c r="BP28" s="57"/>
      <c r="BQ28" s="57"/>
      <c r="BR28" s="57"/>
      <c r="BS28" s="57"/>
      <c r="BT28" s="57"/>
      <c r="BU28" s="57"/>
      <c r="BV28" s="57"/>
      <c r="BW28" s="57"/>
      <c r="BX28" s="57"/>
      <c r="BY28" s="57"/>
      <c r="BZ28" s="57"/>
      <c r="CA28" s="57"/>
      <c r="CB28" s="57"/>
      <c r="CC28" s="57"/>
      <c r="CD28" s="57"/>
      <c r="CE28" s="57"/>
      <c r="CF28" s="57"/>
      <c r="CG28" s="57"/>
    </row>
    <row r="29" spans="7:85">
      <c r="G29" s="57"/>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57"/>
      <c r="BD29" s="57"/>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row>
    <row r="30" spans="7:85">
      <c r="G30" s="57"/>
      <c r="H30" s="57"/>
      <c r="I30" s="57"/>
      <c r="J30" s="57"/>
      <c r="K30" s="57"/>
      <c r="L30" s="57"/>
      <c r="M30" s="57"/>
      <c r="N30" s="57"/>
      <c r="O30" s="57"/>
      <c r="P30" s="57"/>
      <c r="Q30" s="57"/>
      <c r="R30" s="57"/>
      <c r="S30" s="57"/>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c r="AX30" s="57"/>
      <c r="AY30" s="57"/>
      <c r="AZ30" s="57"/>
      <c r="BA30" s="57"/>
      <c r="BB30" s="57"/>
      <c r="BC30" s="57"/>
      <c r="BD30" s="57"/>
      <c r="BE30" s="57"/>
      <c r="BF30" s="57"/>
      <c r="BG30" s="57"/>
      <c r="BH30" s="57"/>
      <c r="BI30" s="57"/>
      <c r="BJ30" s="57"/>
      <c r="BK30" s="57"/>
      <c r="BL30" s="57"/>
      <c r="BM30" s="57"/>
      <c r="BN30" s="57"/>
      <c r="BO30" s="57"/>
      <c r="BP30" s="57"/>
      <c r="BQ30" s="57"/>
      <c r="BR30" s="57"/>
      <c r="BS30" s="57"/>
      <c r="BT30" s="57"/>
      <c r="BU30" s="57"/>
      <c r="BV30" s="57"/>
      <c r="BW30" s="57"/>
      <c r="BX30" s="57"/>
      <c r="BY30" s="57"/>
      <c r="BZ30" s="57"/>
      <c r="CA30" s="57"/>
      <c r="CB30" s="57"/>
      <c r="CC30" s="57"/>
      <c r="CD30" s="57"/>
      <c r="CE30" s="57"/>
      <c r="CF30" s="57"/>
      <c r="CG30" s="57"/>
    </row>
    <row r="31" spans="7:85">
      <c r="G31" s="57"/>
      <c r="H31" s="57"/>
      <c r="I31" s="57"/>
      <c r="J31" s="57"/>
      <c r="K31" s="57"/>
      <c r="L31" s="57"/>
      <c r="M31" s="57"/>
      <c r="N31" s="57"/>
      <c r="O31" s="57"/>
      <c r="P31" s="57"/>
      <c r="Q31" s="57"/>
      <c r="R31" s="57"/>
      <c r="S31" s="57"/>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c r="AX31" s="57"/>
      <c r="AY31" s="57"/>
      <c r="AZ31" s="57"/>
      <c r="BA31" s="57"/>
      <c r="BB31" s="57"/>
      <c r="BC31" s="57"/>
      <c r="BD31" s="57"/>
      <c r="BE31" s="57"/>
      <c r="BF31" s="57"/>
      <c r="BG31" s="57"/>
      <c r="BH31" s="57"/>
      <c r="BI31" s="57"/>
      <c r="BJ31" s="57"/>
      <c r="BK31" s="57"/>
      <c r="BL31" s="57"/>
      <c r="BM31" s="57"/>
      <c r="BN31" s="57"/>
      <c r="BO31" s="57"/>
      <c r="BP31" s="57"/>
      <c r="BQ31" s="57"/>
      <c r="BR31" s="57"/>
      <c r="BS31" s="57"/>
      <c r="BT31" s="57"/>
      <c r="BU31" s="57"/>
      <c r="BV31" s="57"/>
      <c r="BW31" s="57"/>
      <c r="BX31" s="57"/>
      <c r="BY31" s="57"/>
      <c r="BZ31" s="57"/>
      <c r="CA31" s="57"/>
      <c r="CB31" s="57"/>
      <c r="CC31" s="57"/>
      <c r="CD31" s="57"/>
      <c r="CE31" s="57"/>
      <c r="CF31" s="57"/>
      <c r="CG31" s="57"/>
    </row>
    <row r="32" spans="7:85">
      <c r="G32" s="57"/>
      <c r="H32" s="57"/>
      <c r="I32" s="57"/>
      <c r="J32" s="57"/>
      <c r="K32" s="57"/>
      <c r="L32" s="57"/>
      <c r="M32" s="57"/>
      <c r="N32" s="57"/>
      <c r="O32" s="57"/>
      <c r="P32" s="57"/>
      <c r="Q32" s="57"/>
      <c r="R32" s="57"/>
      <c r="S32" s="57"/>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57"/>
      <c r="BL32" s="57"/>
      <c r="BM32" s="57"/>
      <c r="BN32" s="57"/>
      <c r="BO32" s="57"/>
      <c r="BP32" s="57"/>
      <c r="BQ32" s="57"/>
      <c r="BR32" s="57"/>
      <c r="BS32" s="57"/>
      <c r="BT32" s="57"/>
      <c r="BU32" s="57"/>
      <c r="BV32" s="57"/>
      <c r="BW32" s="57"/>
      <c r="BX32" s="57"/>
      <c r="BY32" s="57"/>
      <c r="BZ32" s="57"/>
      <c r="CA32" s="57"/>
      <c r="CB32" s="57"/>
      <c r="CC32" s="57"/>
      <c r="CD32" s="57"/>
      <c r="CE32" s="57"/>
      <c r="CF32" s="57"/>
      <c r="CG32" s="57"/>
    </row>
    <row r="33" spans="7:85">
      <c r="G33" s="57"/>
      <c r="H33" s="57"/>
      <c r="I33" s="57"/>
      <c r="J33" s="57"/>
      <c r="K33" s="57"/>
      <c r="L33" s="57"/>
      <c r="M33" s="57"/>
      <c r="N33" s="57"/>
      <c r="O33" s="57"/>
      <c r="P33" s="57"/>
      <c r="Q33" s="57"/>
      <c r="R33" s="57"/>
      <c r="S33" s="57"/>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c r="BL33" s="57"/>
      <c r="BM33" s="57"/>
      <c r="BN33" s="57"/>
      <c r="BO33" s="57"/>
      <c r="BP33" s="57"/>
      <c r="BQ33" s="57"/>
      <c r="BR33" s="57"/>
      <c r="BS33" s="57"/>
      <c r="BT33" s="57"/>
      <c r="BU33" s="57"/>
      <c r="BV33" s="57"/>
      <c r="BW33" s="57"/>
      <c r="BX33" s="57"/>
      <c r="BY33" s="57"/>
      <c r="BZ33" s="57"/>
      <c r="CA33" s="57"/>
      <c r="CB33" s="57"/>
      <c r="CC33" s="57"/>
      <c r="CD33" s="57"/>
      <c r="CE33" s="57"/>
      <c r="CF33" s="57"/>
      <c r="CG33" s="57"/>
    </row>
    <row r="34" spans="7:85">
      <c r="G34" s="57"/>
      <c r="H34" s="57"/>
      <c r="I34" s="57"/>
      <c r="J34" s="57"/>
      <c r="K34" s="57"/>
      <c r="L34" s="57"/>
      <c r="M34" s="57"/>
      <c r="N34" s="57"/>
      <c r="O34" s="57"/>
      <c r="P34" s="57"/>
      <c r="Q34" s="57"/>
      <c r="R34" s="57"/>
      <c r="S34" s="57"/>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57"/>
      <c r="BL34" s="57"/>
      <c r="BM34" s="57"/>
      <c r="BN34" s="57"/>
      <c r="BO34" s="57"/>
      <c r="BP34" s="57"/>
      <c r="BQ34" s="57"/>
      <c r="BR34" s="57"/>
      <c r="BS34" s="57"/>
      <c r="BT34" s="57"/>
      <c r="BU34" s="57"/>
      <c r="BV34" s="57"/>
      <c r="BW34" s="57"/>
      <c r="BX34" s="57"/>
      <c r="BY34" s="57"/>
      <c r="BZ34" s="57"/>
      <c r="CA34" s="57"/>
      <c r="CB34" s="57"/>
      <c r="CC34" s="57"/>
      <c r="CD34" s="57"/>
      <c r="CE34" s="57"/>
      <c r="CF34" s="57"/>
      <c r="CG34" s="57"/>
    </row>
    <row r="35" spans="7:85">
      <c r="G35" s="57"/>
      <c r="H35" s="57"/>
      <c r="I35" s="57"/>
      <c r="J35" s="57"/>
      <c r="K35" s="57"/>
      <c r="L35" s="57"/>
      <c r="M35" s="57"/>
      <c r="N35" s="57"/>
      <c r="O35" s="57"/>
      <c r="P35" s="57"/>
      <c r="Q35" s="57"/>
      <c r="R35" s="57"/>
      <c r="S35" s="57"/>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c r="BX35" s="57"/>
      <c r="BY35" s="57"/>
      <c r="BZ35" s="57"/>
      <c r="CA35" s="57"/>
      <c r="CB35" s="57"/>
      <c r="CC35" s="57"/>
      <c r="CD35" s="57"/>
      <c r="CE35" s="57"/>
      <c r="CF35" s="57"/>
      <c r="CG35" s="57"/>
    </row>
    <row r="36" spans="7:85">
      <c r="G36" s="57"/>
      <c r="H36" s="57"/>
      <c r="I36" s="57"/>
      <c r="J36" s="57"/>
      <c r="K36" s="57"/>
      <c r="L36" s="57"/>
      <c r="M36" s="57"/>
      <c r="N36" s="57"/>
      <c r="O36" s="57"/>
      <c r="P36" s="57"/>
      <c r="Q36" s="57"/>
      <c r="R36" s="57"/>
      <c r="S36" s="57"/>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c r="BX36" s="57"/>
      <c r="BY36" s="57"/>
      <c r="BZ36" s="57"/>
      <c r="CA36" s="57"/>
      <c r="CB36" s="57"/>
      <c r="CC36" s="57"/>
      <c r="CD36" s="57"/>
      <c r="CE36" s="57"/>
      <c r="CF36" s="57"/>
      <c r="CG36" s="57"/>
    </row>
    <row r="37" spans="7:85">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c r="BX37" s="57"/>
      <c r="BY37" s="57"/>
      <c r="BZ37" s="57"/>
      <c r="CA37" s="57"/>
      <c r="CB37" s="57"/>
      <c r="CC37" s="57"/>
      <c r="CD37" s="57"/>
      <c r="CE37" s="57"/>
      <c r="CF37" s="57"/>
      <c r="CG37" s="57"/>
    </row>
    <row r="38" spans="7:85">
      <c r="G38" s="57"/>
      <c r="H38" s="57"/>
      <c r="I38" s="57"/>
      <c r="J38" s="57"/>
      <c r="K38" s="57"/>
      <c r="L38" s="57"/>
      <c r="M38" s="57"/>
      <c r="N38" s="57"/>
      <c r="O38" s="57"/>
      <c r="P38" s="57"/>
      <c r="Q38" s="57"/>
      <c r="R38" s="57"/>
      <c r="S38" s="57"/>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c r="BX38" s="57"/>
      <c r="BY38" s="57"/>
      <c r="BZ38" s="57"/>
      <c r="CA38" s="57"/>
      <c r="CB38" s="57"/>
      <c r="CC38" s="57"/>
      <c r="CD38" s="57"/>
      <c r="CE38" s="57"/>
      <c r="CF38" s="57"/>
      <c r="CG38" s="57"/>
    </row>
    <row r="39" spans="7:85">
      <c r="G39" s="57"/>
      <c r="H39" s="57"/>
      <c r="I39" s="57"/>
      <c r="J39" s="57"/>
      <c r="K39" s="57"/>
      <c r="L39" s="57"/>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c r="BX39" s="57"/>
      <c r="BY39" s="57"/>
      <c r="BZ39" s="57"/>
      <c r="CA39" s="57"/>
      <c r="CB39" s="57"/>
      <c r="CC39" s="57"/>
      <c r="CD39" s="57"/>
      <c r="CE39" s="57"/>
      <c r="CF39" s="57"/>
      <c r="CG39" s="57"/>
    </row>
    <row r="40" spans="7:85">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c r="BX40" s="57"/>
      <c r="BY40" s="57"/>
      <c r="BZ40" s="57"/>
      <c r="CA40" s="57"/>
      <c r="CB40" s="57"/>
      <c r="CC40" s="57"/>
      <c r="CD40" s="57"/>
      <c r="CE40" s="57"/>
      <c r="CF40" s="57"/>
      <c r="CG40" s="57"/>
    </row>
    <row r="41" spans="7:85">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c r="BX41" s="57"/>
      <c r="BY41" s="57"/>
      <c r="BZ41" s="57"/>
      <c r="CA41" s="57"/>
      <c r="CB41" s="57"/>
      <c r="CC41" s="57"/>
      <c r="CD41" s="57"/>
      <c r="CE41" s="57"/>
      <c r="CF41" s="57"/>
      <c r="CG41" s="57"/>
    </row>
    <row r="42" spans="7:85">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c r="BX42" s="57"/>
      <c r="BY42" s="57"/>
      <c r="BZ42" s="57"/>
      <c r="CA42" s="57"/>
      <c r="CB42" s="57"/>
      <c r="CC42" s="57"/>
      <c r="CD42" s="57"/>
      <c r="CE42" s="57"/>
      <c r="CF42" s="57"/>
      <c r="CG42" s="57"/>
    </row>
    <row r="43" spans="7:85">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c r="BX43" s="57"/>
      <c r="BY43" s="57"/>
      <c r="BZ43" s="57"/>
      <c r="CA43" s="57"/>
      <c r="CB43" s="57"/>
      <c r="CC43" s="57"/>
      <c r="CD43" s="57"/>
      <c r="CE43" s="57"/>
      <c r="CF43" s="57"/>
      <c r="CG43" s="57"/>
    </row>
    <row r="44" spans="7:85">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57"/>
      <c r="BL44" s="57"/>
      <c r="BM44" s="57"/>
      <c r="BN44" s="57"/>
      <c r="BO44" s="57"/>
      <c r="BP44" s="57"/>
      <c r="BQ44" s="57"/>
      <c r="BR44" s="57"/>
      <c r="BS44" s="57"/>
      <c r="BT44" s="57"/>
      <c r="BU44" s="57"/>
      <c r="BV44" s="57"/>
      <c r="BW44" s="57"/>
      <c r="BX44" s="57"/>
      <c r="BY44" s="57"/>
      <c r="BZ44" s="57"/>
      <c r="CA44" s="57"/>
      <c r="CB44" s="57"/>
      <c r="CC44" s="57"/>
      <c r="CD44" s="57"/>
      <c r="CE44" s="57"/>
      <c r="CF44" s="57"/>
      <c r="CG44" s="57"/>
    </row>
    <row r="45" spans="7:85">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c r="BL45" s="57"/>
      <c r="BM45" s="57"/>
      <c r="BN45" s="57"/>
      <c r="BO45" s="57"/>
      <c r="BP45" s="57"/>
      <c r="BQ45" s="57"/>
      <c r="BR45" s="57"/>
      <c r="BS45" s="57"/>
      <c r="BT45" s="57"/>
      <c r="BU45" s="57"/>
      <c r="BV45" s="57"/>
      <c r="BW45" s="57"/>
      <c r="BX45" s="57"/>
      <c r="BY45" s="57"/>
      <c r="BZ45" s="57"/>
      <c r="CA45" s="57"/>
      <c r="CB45" s="57"/>
      <c r="CC45" s="57"/>
      <c r="CD45" s="57"/>
      <c r="CE45" s="57"/>
      <c r="CF45" s="57"/>
      <c r="CG45" s="57"/>
    </row>
    <row r="46" spans="7:85">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57"/>
      <c r="BL46" s="57"/>
      <c r="BM46" s="57"/>
      <c r="BN46" s="57"/>
      <c r="BO46" s="57"/>
      <c r="BP46" s="57"/>
      <c r="BQ46" s="57"/>
      <c r="BR46" s="57"/>
      <c r="BS46" s="57"/>
      <c r="BT46" s="57"/>
      <c r="BU46" s="57"/>
      <c r="BV46" s="57"/>
      <c r="BW46" s="57"/>
      <c r="BX46" s="57"/>
      <c r="BY46" s="57"/>
      <c r="BZ46" s="57"/>
      <c r="CA46" s="57"/>
      <c r="CB46" s="57"/>
      <c r="CC46" s="57"/>
      <c r="CD46" s="57"/>
      <c r="CE46" s="57"/>
      <c r="CF46" s="57"/>
      <c r="CG46" s="57"/>
    </row>
    <row r="47" spans="7:85">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57"/>
      <c r="BM47" s="57"/>
      <c r="BN47" s="57"/>
      <c r="BO47" s="57"/>
      <c r="BP47" s="57"/>
      <c r="BQ47" s="57"/>
      <c r="BR47" s="57"/>
      <c r="BS47" s="57"/>
      <c r="BT47" s="57"/>
      <c r="BU47" s="57"/>
      <c r="BV47" s="57"/>
      <c r="BW47" s="57"/>
      <c r="BX47" s="57"/>
      <c r="BY47" s="57"/>
      <c r="BZ47" s="57"/>
      <c r="CA47" s="57"/>
      <c r="CB47" s="57"/>
      <c r="CC47" s="57"/>
      <c r="CD47" s="57"/>
      <c r="CE47" s="57"/>
      <c r="CF47" s="57"/>
      <c r="CG47" s="57"/>
    </row>
    <row r="48" spans="7:85">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57"/>
      <c r="BL48" s="57"/>
      <c r="BM48" s="57"/>
      <c r="BN48" s="57"/>
      <c r="BO48" s="57"/>
      <c r="BP48" s="57"/>
      <c r="BQ48" s="57"/>
      <c r="BR48" s="57"/>
      <c r="BS48" s="57"/>
      <c r="BT48" s="57"/>
      <c r="BU48" s="57"/>
      <c r="BV48" s="57"/>
      <c r="BW48" s="57"/>
      <c r="BX48" s="57"/>
      <c r="BY48" s="57"/>
      <c r="BZ48" s="57"/>
      <c r="CA48" s="57"/>
      <c r="CB48" s="57"/>
      <c r="CC48" s="57"/>
      <c r="CD48" s="57"/>
      <c r="CE48" s="57"/>
      <c r="CF48" s="57"/>
      <c r="CG48" s="57"/>
    </row>
  </sheetData>
  <phoneticPr fontId="1" type="noConversion"/>
  <hyperlinks>
    <hyperlink ref="A1" location="HOME!A1" display="HOME"/>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1_Sheet">
    <tabColor theme="9" tint="0.39997558519241921"/>
  </sheetPr>
  <dimension ref="A1:LB43"/>
  <sheetViews>
    <sheetView showGridLines="0" zoomScale="70" zoomScaleNormal="70" workbookViewId="0">
      <selection activeCell="N13" sqref="N13"/>
    </sheetView>
  </sheetViews>
  <sheetFormatPr defaultRowHeight="17.399999999999999"/>
  <cols>
    <col min="1" max="1" width="20.19921875" bestFit="1" customWidth="1"/>
    <col min="2" max="2" width="9.09765625" bestFit="1" customWidth="1"/>
    <col min="3" max="3" width="7.19921875" bestFit="1" customWidth="1"/>
    <col min="4" max="4" width="17.69921875" bestFit="1" customWidth="1"/>
    <col min="5" max="5" width="16.09765625" style="42" bestFit="1" customWidth="1"/>
    <col min="6" max="6" width="11.09765625" style="42" bestFit="1" customWidth="1"/>
    <col min="7" max="7" width="16.59765625" bestFit="1" customWidth="1"/>
    <col min="8" max="8" width="5.796875" bestFit="1" customWidth="1"/>
    <col min="9" max="9" width="4.796875" bestFit="1" customWidth="1"/>
    <col min="10" max="10" width="7.296875" bestFit="1" customWidth="1"/>
    <col min="11" max="11" width="5.796875" bestFit="1" customWidth="1"/>
    <col min="12" max="12" width="4.796875" bestFit="1" customWidth="1"/>
    <col min="13" max="21" width="13.3984375" bestFit="1" customWidth="1"/>
    <col min="22" max="23" width="14.5" bestFit="1" customWidth="1"/>
    <col min="24" max="24" width="10.19921875" bestFit="1" customWidth="1"/>
    <col min="25" max="31" width="11.69921875" bestFit="1" customWidth="1"/>
    <col min="32" max="33" width="8.5" bestFit="1" customWidth="1"/>
    <col min="34" max="35" width="9.5" bestFit="1" customWidth="1"/>
    <col min="36" max="44" width="6.796875" bestFit="1" customWidth="1"/>
    <col min="45" max="46" width="7.796875" bestFit="1" customWidth="1"/>
    <col min="47" max="47" width="6.296875" bestFit="1" customWidth="1"/>
    <col min="48" max="48" width="6.5" bestFit="1" customWidth="1"/>
    <col min="49" max="49" width="4.796875" bestFit="1" customWidth="1"/>
    <col min="50" max="50" width="15" bestFit="1" customWidth="1"/>
    <col min="51" max="57" width="13.8984375" bestFit="1" customWidth="1"/>
    <col min="58" max="60" width="13.19921875" bestFit="1" customWidth="1"/>
    <col min="61" max="61" width="10.5" bestFit="1" customWidth="1"/>
    <col min="62" max="62" width="13.5" bestFit="1" customWidth="1"/>
    <col min="63" max="93" width="12.19921875" bestFit="1" customWidth="1"/>
    <col min="94" max="145" width="14.3984375" bestFit="1" customWidth="1"/>
    <col min="146" max="181" width="12.796875" bestFit="1" customWidth="1"/>
    <col min="182" max="190" width="7.69921875" bestFit="1" customWidth="1"/>
    <col min="191" max="193" width="8.69921875" bestFit="1" customWidth="1"/>
  </cols>
  <sheetData>
    <row r="1" spans="1:314" ht="18" thickBot="1">
      <c r="A1" s="70" t="s">
        <v>279</v>
      </c>
    </row>
    <row r="2" spans="1:314" ht="30" customHeight="1">
      <c r="A2" s="71" t="s">
        <v>286</v>
      </c>
      <c r="M2" s="525">
        <f t="shared" ref="M2:W2" si="0">SUBTOTAL(9,M5:M97)</f>
        <v>176.25</v>
      </c>
      <c r="N2" s="525">
        <f t="shared" si="0"/>
        <v>195</v>
      </c>
      <c r="O2" s="525">
        <f t="shared" si="0"/>
        <v>195</v>
      </c>
      <c r="P2" s="525">
        <f t="shared" si="0"/>
        <v>195</v>
      </c>
      <c r="Q2" s="525">
        <f t="shared" si="0"/>
        <v>195</v>
      </c>
      <c r="R2" s="525">
        <f t="shared" si="0"/>
        <v>195</v>
      </c>
      <c r="S2" s="525">
        <f t="shared" si="0"/>
        <v>195</v>
      </c>
      <c r="T2" s="525">
        <f t="shared" si="0"/>
        <v>195</v>
      </c>
      <c r="U2" s="525">
        <f t="shared" si="0"/>
        <v>195</v>
      </c>
      <c r="V2" s="525">
        <f t="shared" si="0"/>
        <v>195</v>
      </c>
      <c r="W2" s="525">
        <f t="shared" si="0"/>
        <v>0</v>
      </c>
      <c r="X2">
        <v>0</v>
      </c>
      <c r="Y2" s="526">
        <f t="shared" ref="Y2:AI2" si="1">SUBTOTAL(9,Y5:Y97)</f>
        <v>140380347.09762737</v>
      </c>
      <c r="Z2" s="526">
        <f t="shared" si="1"/>
        <v>147881945.30595708</v>
      </c>
      <c r="AA2" s="526">
        <f t="shared" si="1"/>
        <v>150769192.93632939</v>
      </c>
      <c r="AB2" s="526">
        <f t="shared" si="1"/>
        <v>153729518.99853438</v>
      </c>
      <c r="AC2" s="526">
        <f t="shared" si="1"/>
        <v>156764773.16322169</v>
      </c>
      <c r="AD2" s="526">
        <f t="shared" si="1"/>
        <v>159876851.91761062</v>
      </c>
      <c r="AE2" s="526">
        <f t="shared" si="1"/>
        <v>163067699.75045276</v>
      </c>
      <c r="AF2" s="526">
        <f t="shared" si="1"/>
        <v>166339310.36698854</v>
      </c>
      <c r="AG2" s="526">
        <f t="shared" si="1"/>
        <v>169693727.93465289</v>
      </c>
      <c r="AH2" s="526">
        <f t="shared" si="1"/>
        <v>173133048.3603121</v>
      </c>
      <c r="AI2" s="526">
        <f t="shared" si="1"/>
        <v>0</v>
      </c>
      <c r="AX2" s="466">
        <f t="shared" ref="AX2:CC2" si="2">SUBTOTAL(9, AX5:AX97)</f>
        <v>77436578897.54686</v>
      </c>
      <c r="AY2" s="466">
        <f t="shared" si="2"/>
        <v>5406309945.1362686</v>
      </c>
      <c r="AZ2" s="466">
        <f t="shared" si="2"/>
        <v>7271813605.1185064</v>
      </c>
      <c r="BA2" s="466">
        <f t="shared" si="2"/>
        <v>7445599652.4952002</v>
      </c>
      <c r="BB2" s="466">
        <f t="shared" si="2"/>
        <v>7623784356.808383</v>
      </c>
      <c r="BC2" s="466">
        <f t="shared" si="2"/>
        <v>7806479051.4081192</v>
      </c>
      <c r="BD2" s="466">
        <f t="shared" si="2"/>
        <v>7993797887.5761385</v>
      </c>
      <c r="BE2" s="466">
        <f t="shared" si="2"/>
        <v>8185857905.8498821</v>
      </c>
      <c r="BF2" s="466">
        <f t="shared" si="2"/>
        <v>8382779109.1517582</v>
      </c>
      <c r="BG2" s="466">
        <f t="shared" si="2"/>
        <v>8584684537.769311</v>
      </c>
      <c r="BH2" s="466">
        <f t="shared" si="2"/>
        <v>8735472846.2332916</v>
      </c>
      <c r="BI2" s="466">
        <f t="shared" si="2"/>
        <v>0</v>
      </c>
      <c r="BJ2" s="467">
        <f t="shared" si="2"/>
        <v>271384038.81543136</v>
      </c>
      <c r="BK2" s="467">
        <f t="shared" si="2"/>
        <v>271384038.81543136</v>
      </c>
      <c r="BL2" s="467">
        <f t="shared" si="2"/>
        <v>271384038.81543136</v>
      </c>
      <c r="BM2" s="467">
        <f t="shared" si="2"/>
        <v>510239758.7433306</v>
      </c>
      <c r="BN2" s="467">
        <f t="shared" si="2"/>
        <v>510239758.7433306</v>
      </c>
      <c r="BO2" s="467">
        <f t="shared" si="2"/>
        <v>510239758.7433306</v>
      </c>
      <c r="BP2" s="467">
        <f t="shared" si="2"/>
        <v>510239758.7433306</v>
      </c>
      <c r="BQ2" s="467">
        <f t="shared" si="2"/>
        <v>510239758.7433306</v>
      </c>
      <c r="BR2" s="467">
        <f t="shared" si="2"/>
        <v>510239758.7433306</v>
      </c>
      <c r="BS2" s="467">
        <f t="shared" si="2"/>
        <v>510239758.7433306</v>
      </c>
      <c r="BT2" s="467">
        <f t="shared" si="2"/>
        <v>510239758.7433306</v>
      </c>
      <c r="BU2" s="467">
        <f t="shared" si="2"/>
        <v>510239758.7433306</v>
      </c>
      <c r="BV2" s="466">
        <f t="shared" si="2"/>
        <v>605984467.09320903</v>
      </c>
      <c r="BW2" s="466">
        <f t="shared" si="2"/>
        <v>605984467.09320903</v>
      </c>
      <c r="BX2" s="466">
        <f t="shared" si="2"/>
        <v>605984467.09320903</v>
      </c>
      <c r="BY2" s="466">
        <f t="shared" si="2"/>
        <v>605984467.09320903</v>
      </c>
      <c r="BZ2" s="466">
        <f t="shared" si="2"/>
        <v>605984467.09320903</v>
      </c>
      <c r="CA2" s="466">
        <f t="shared" si="2"/>
        <v>605984467.09320903</v>
      </c>
      <c r="CB2" s="466">
        <f t="shared" si="2"/>
        <v>605984467.09320903</v>
      </c>
      <c r="CC2" s="466">
        <f t="shared" si="2"/>
        <v>605984467.09320903</v>
      </c>
      <c r="CD2" s="466">
        <f t="shared" ref="CD2:DI2" si="3">SUBTOTAL(9, CD5:CD97)</f>
        <v>605984467.09320903</v>
      </c>
      <c r="CE2" s="466">
        <f t="shared" si="3"/>
        <v>605984467.09320903</v>
      </c>
      <c r="CF2" s="466">
        <f t="shared" si="3"/>
        <v>605984467.09320903</v>
      </c>
      <c r="CG2" s="466">
        <f t="shared" si="3"/>
        <v>605984467.09320903</v>
      </c>
      <c r="CH2" s="467">
        <f t="shared" si="3"/>
        <v>620466637.70793343</v>
      </c>
      <c r="CI2" s="467">
        <f t="shared" si="3"/>
        <v>620466637.70793343</v>
      </c>
      <c r="CJ2" s="467">
        <f t="shared" si="3"/>
        <v>620466637.70793343</v>
      </c>
      <c r="CK2" s="467">
        <f t="shared" si="3"/>
        <v>620466637.70793343</v>
      </c>
      <c r="CL2" s="467">
        <f t="shared" si="3"/>
        <v>620466637.70793343</v>
      </c>
      <c r="CM2" s="467">
        <f t="shared" si="3"/>
        <v>620466637.70793343</v>
      </c>
      <c r="CN2" s="467">
        <f t="shared" si="3"/>
        <v>620466637.70793343</v>
      </c>
      <c r="CO2" s="467">
        <f t="shared" si="3"/>
        <v>620466637.70793343</v>
      </c>
      <c r="CP2" s="467">
        <f t="shared" si="3"/>
        <v>620466637.70793343</v>
      </c>
      <c r="CQ2" s="467">
        <f t="shared" si="3"/>
        <v>620466637.70793343</v>
      </c>
      <c r="CR2" s="467">
        <f t="shared" si="3"/>
        <v>620466637.70793343</v>
      </c>
      <c r="CS2" s="467">
        <f t="shared" si="3"/>
        <v>620466637.70793343</v>
      </c>
      <c r="CT2" s="466">
        <f t="shared" si="3"/>
        <v>635315363.06736565</v>
      </c>
      <c r="CU2" s="466">
        <f t="shared" si="3"/>
        <v>635315363.06736565</v>
      </c>
      <c r="CV2" s="466">
        <f t="shared" si="3"/>
        <v>635315363.06736565</v>
      </c>
      <c r="CW2" s="466">
        <f t="shared" si="3"/>
        <v>635315363.06736565</v>
      </c>
      <c r="CX2" s="466">
        <f t="shared" si="3"/>
        <v>635315363.06736565</v>
      </c>
      <c r="CY2" s="466">
        <f t="shared" si="3"/>
        <v>635315363.06736565</v>
      </c>
      <c r="CZ2" s="466">
        <f t="shared" si="3"/>
        <v>635315363.06736565</v>
      </c>
      <c r="DA2" s="466">
        <f t="shared" si="3"/>
        <v>635315363.06736565</v>
      </c>
      <c r="DB2" s="466">
        <f t="shared" si="3"/>
        <v>635315363.06736565</v>
      </c>
      <c r="DC2" s="466">
        <f t="shared" si="3"/>
        <v>635315363.06736565</v>
      </c>
      <c r="DD2" s="466">
        <f t="shared" si="3"/>
        <v>635315363.06736565</v>
      </c>
      <c r="DE2" s="466">
        <f t="shared" si="3"/>
        <v>635315363.06736565</v>
      </c>
      <c r="DF2" s="467">
        <f t="shared" si="3"/>
        <v>650539920.95067668</v>
      </c>
      <c r="DG2" s="467">
        <f t="shared" si="3"/>
        <v>650539920.95067668</v>
      </c>
      <c r="DH2" s="467">
        <f t="shared" si="3"/>
        <v>650539920.95067668</v>
      </c>
      <c r="DI2" s="467">
        <f t="shared" si="3"/>
        <v>650539920.95067668</v>
      </c>
      <c r="DJ2" s="467">
        <f t="shared" ref="DJ2:EO2" si="4">SUBTOTAL(9, DJ5:DJ97)</f>
        <v>650539920.95067668</v>
      </c>
      <c r="DK2" s="467">
        <f t="shared" si="4"/>
        <v>650539920.95067668</v>
      </c>
      <c r="DL2" s="467">
        <f t="shared" si="4"/>
        <v>650539920.95067668</v>
      </c>
      <c r="DM2" s="467">
        <f t="shared" si="4"/>
        <v>650539920.95067668</v>
      </c>
      <c r="DN2" s="467">
        <f t="shared" si="4"/>
        <v>650539920.95067668</v>
      </c>
      <c r="DO2" s="467">
        <f t="shared" si="4"/>
        <v>650539920.95067668</v>
      </c>
      <c r="DP2" s="467">
        <f t="shared" si="4"/>
        <v>650539920.95067668</v>
      </c>
      <c r="DQ2" s="467">
        <f t="shared" si="4"/>
        <v>650539920.95067668</v>
      </c>
      <c r="DR2" s="466">
        <f t="shared" si="4"/>
        <v>666149823.96467853</v>
      </c>
      <c r="DS2" s="466">
        <f t="shared" si="4"/>
        <v>666149823.96467853</v>
      </c>
      <c r="DT2" s="466">
        <f t="shared" si="4"/>
        <v>666149823.96467853</v>
      </c>
      <c r="DU2" s="466">
        <f t="shared" si="4"/>
        <v>666149823.96467853</v>
      </c>
      <c r="DV2" s="466">
        <f t="shared" si="4"/>
        <v>666149823.96467853</v>
      </c>
      <c r="DW2" s="466">
        <f t="shared" si="4"/>
        <v>666149823.96467853</v>
      </c>
      <c r="DX2" s="466">
        <f t="shared" si="4"/>
        <v>666149823.96467853</v>
      </c>
      <c r="DY2" s="466">
        <f t="shared" si="4"/>
        <v>666149823.96467853</v>
      </c>
      <c r="DZ2" s="466">
        <f t="shared" si="4"/>
        <v>666149823.96467853</v>
      </c>
      <c r="EA2" s="466">
        <f t="shared" si="4"/>
        <v>666149823.96467853</v>
      </c>
      <c r="EB2" s="466">
        <f t="shared" si="4"/>
        <v>666149823.96467853</v>
      </c>
      <c r="EC2" s="466">
        <f t="shared" si="4"/>
        <v>666149823.96467853</v>
      </c>
      <c r="ED2" s="467">
        <f t="shared" si="4"/>
        <v>682154825.48749018</v>
      </c>
      <c r="EE2" s="467">
        <f t="shared" si="4"/>
        <v>682154825.48749018</v>
      </c>
      <c r="EF2" s="467">
        <f t="shared" si="4"/>
        <v>682154825.48749018</v>
      </c>
      <c r="EG2" s="467">
        <f t="shared" si="4"/>
        <v>682154825.48749018</v>
      </c>
      <c r="EH2" s="467">
        <f t="shared" si="4"/>
        <v>682154825.48749018</v>
      </c>
      <c r="EI2" s="467">
        <f t="shared" si="4"/>
        <v>682154825.48749018</v>
      </c>
      <c r="EJ2" s="467">
        <f t="shared" si="4"/>
        <v>682154825.48749018</v>
      </c>
      <c r="EK2" s="467">
        <f t="shared" si="4"/>
        <v>682154825.48749018</v>
      </c>
      <c r="EL2" s="467">
        <f t="shared" si="4"/>
        <v>682154825.48749018</v>
      </c>
      <c r="EM2" s="467">
        <f t="shared" si="4"/>
        <v>682154825.48749018</v>
      </c>
      <c r="EN2" s="467">
        <f t="shared" si="4"/>
        <v>682154825.48749018</v>
      </c>
      <c r="EO2" s="467">
        <f t="shared" si="4"/>
        <v>682154825.48749018</v>
      </c>
      <c r="EP2" s="466">
        <f t="shared" ref="EP2:FU2" si="5">SUBTOTAL(9, EP5:EP97)</f>
        <v>698564925.76264668</v>
      </c>
      <c r="EQ2" s="466">
        <f t="shared" si="5"/>
        <v>698564925.76264668</v>
      </c>
      <c r="ER2" s="466">
        <f t="shared" si="5"/>
        <v>698564925.76264668</v>
      </c>
      <c r="ES2" s="466">
        <f t="shared" si="5"/>
        <v>698564925.76264668</v>
      </c>
      <c r="ET2" s="466">
        <f t="shared" si="5"/>
        <v>698564925.76264668</v>
      </c>
      <c r="EU2" s="466">
        <f t="shared" si="5"/>
        <v>698564925.76264668</v>
      </c>
      <c r="EV2" s="466">
        <f t="shared" si="5"/>
        <v>698564925.76264668</v>
      </c>
      <c r="EW2" s="466">
        <f t="shared" si="5"/>
        <v>698564925.76264668</v>
      </c>
      <c r="EX2" s="466">
        <f t="shared" si="5"/>
        <v>698564925.76264668</v>
      </c>
      <c r="EY2" s="466">
        <f t="shared" si="5"/>
        <v>698564925.76264668</v>
      </c>
      <c r="EZ2" s="466">
        <f t="shared" si="5"/>
        <v>698564925.76264668</v>
      </c>
      <c r="FA2" s="466">
        <f t="shared" si="5"/>
        <v>698564925.76264668</v>
      </c>
      <c r="FB2" s="467">
        <f t="shared" si="5"/>
        <v>715390378.14744282</v>
      </c>
      <c r="FC2" s="467">
        <f t="shared" si="5"/>
        <v>715390378.14744282</v>
      </c>
      <c r="FD2" s="467">
        <f t="shared" si="5"/>
        <v>715390378.14744282</v>
      </c>
      <c r="FE2" s="467">
        <f t="shared" si="5"/>
        <v>715390378.14744282</v>
      </c>
      <c r="FF2" s="467">
        <f t="shared" si="5"/>
        <v>715390378.14744282</v>
      </c>
      <c r="FG2" s="467">
        <f t="shared" si="5"/>
        <v>715390378.14744282</v>
      </c>
      <c r="FH2" s="467">
        <f t="shared" si="5"/>
        <v>715390378.14744282</v>
      </c>
      <c r="FI2" s="467">
        <f t="shared" si="5"/>
        <v>715390378.14744282</v>
      </c>
      <c r="FJ2" s="467">
        <f t="shared" si="5"/>
        <v>715390378.14744282</v>
      </c>
      <c r="FK2" s="467">
        <f t="shared" si="5"/>
        <v>715390378.14744282</v>
      </c>
      <c r="FL2" s="467">
        <f t="shared" si="5"/>
        <v>715390378.14744282</v>
      </c>
      <c r="FM2" s="467">
        <f t="shared" si="5"/>
        <v>715390378.14744282</v>
      </c>
      <c r="FN2" s="466">
        <f t="shared" si="5"/>
        <v>732641695.51944125</v>
      </c>
      <c r="FO2" s="466">
        <f t="shared" si="5"/>
        <v>732641695.51944125</v>
      </c>
      <c r="FP2" s="466">
        <f t="shared" si="5"/>
        <v>732641695.51944125</v>
      </c>
      <c r="FQ2" s="466">
        <f t="shared" si="5"/>
        <v>732641695.51944125</v>
      </c>
      <c r="FR2" s="466">
        <f t="shared" si="5"/>
        <v>732641695.51944125</v>
      </c>
      <c r="FS2" s="466">
        <f t="shared" si="5"/>
        <v>732641695.51944125</v>
      </c>
      <c r="FT2" s="466">
        <f t="shared" si="5"/>
        <v>732641695.51944125</v>
      </c>
      <c r="FU2" s="466">
        <f t="shared" si="5"/>
        <v>732641695.51944125</v>
      </c>
      <c r="FV2" s="466">
        <f t="shared" ref="FV2:GK2" si="6">SUBTOTAL(9, FV5:FV97)</f>
        <v>732641695.51944125</v>
      </c>
      <c r="FW2" s="466">
        <f t="shared" si="6"/>
        <v>713899195.51944125</v>
      </c>
      <c r="FX2" s="466">
        <f t="shared" si="6"/>
        <v>713899195.51944125</v>
      </c>
      <c r="FY2" s="466">
        <f t="shared" si="6"/>
        <v>713899195.51944125</v>
      </c>
      <c r="FZ2" s="467">
        <f t="shared" si="6"/>
        <v>0</v>
      </c>
      <c r="GA2" s="467">
        <f t="shared" si="6"/>
        <v>0</v>
      </c>
      <c r="GB2" s="467">
        <f t="shared" si="6"/>
        <v>0</v>
      </c>
      <c r="GC2" s="467">
        <f t="shared" si="6"/>
        <v>0</v>
      </c>
      <c r="GD2" s="467">
        <f t="shared" si="6"/>
        <v>0</v>
      </c>
      <c r="GE2" s="467">
        <f t="shared" si="6"/>
        <v>0</v>
      </c>
      <c r="GF2" s="467">
        <f t="shared" si="6"/>
        <v>0</v>
      </c>
      <c r="GG2" s="467">
        <f t="shared" si="6"/>
        <v>0</v>
      </c>
      <c r="GH2" s="467">
        <f t="shared" si="6"/>
        <v>0</v>
      </c>
      <c r="GI2" s="467">
        <f t="shared" si="6"/>
        <v>0</v>
      </c>
      <c r="GJ2" s="467">
        <f t="shared" si="6"/>
        <v>0</v>
      </c>
      <c r="GK2" s="468">
        <f t="shared" si="6"/>
        <v>0</v>
      </c>
    </row>
    <row r="3" spans="1:314" ht="18" thickBot="1"/>
    <row r="4" spans="1:314" s="1" customFormat="1" ht="23.25" customHeight="1">
      <c r="A4" s="527" t="s">
        <v>0</v>
      </c>
      <c r="B4" s="525" t="s">
        <v>1</v>
      </c>
      <c r="C4" s="525" t="s">
        <v>2</v>
      </c>
      <c r="D4" s="525" t="s">
        <v>3</v>
      </c>
      <c r="E4" s="525" t="s">
        <v>4</v>
      </c>
      <c r="F4" s="525" t="s">
        <v>148</v>
      </c>
      <c r="G4" s="525" t="s">
        <v>1247</v>
      </c>
      <c r="H4" s="525" t="s">
        <v>1248</v>
      </c>
      <c r="I4" s="525" t="s">
        <v>151</v>
      </c>
      <c r="J4" s="525" t="s">
        <v>5</v>
      </c>
      <c r="K4" s="525" t="s">
        <v>154</v>
      </c>
      <c r="L4" s="525" t="s">
        <v>6</v>
      </c>
      <c r="M4" s="525" t="s">
        <v>1250</v>
      </c>
      <c r="N4" s="525" t="s">
        <v>1251</v>
      </c>
      <c r="O4" s="525" t="s">
        <v>1252</v>
      </c>
      <c r="P4" s="525" t="s">
        <v>1253</v>
      </c>
      <c r="Q4" s="525" t="s">
        <v>1254</v>
      </c>
      <c r="R4" s="525" t="s">
        <v>1255</v>
      </c>
      <c r="S4" s="525" t="s">
        <v>1256</v>
      </c>
      <c r="T4" s="525" t="s">
        <v>1257</v>
      </c>
      <c r="U4" s="525" t="s">
        <v>1258</v>
      </c>
      <c r="V4" s="525" t="s">
        <v>1259</v>
      </c>
      <c r="W4" s="525" t="s">
        <v>1260</v>
      </c>
      <c r="X4" s="96" t="s">
        <v>174</v>
      </c>
      <c r="Y4" s="525" t="s">
        <v>175</v>
      </c>
      <c r="Z4" s="525" t="s">
        <v>1261</v>
      </c>
      <c r="AA4" s="525" t="s">
        <v>1262</v>
      </c>
      <c r="AB4" s="525" t="s">
        <v>1263</v>
      </c>
      <c r="AC4" s="525" t="s">
        <v>1264</v>
      </c>
      <c r="AD4" s="525" t="s">
        <v>1265</v>
      </c>
      <c r="AE4" s="525" t="s">
        <v>1266</v>
      </c>
      <c r="AF4" s="525" t="s">
        <v>1267</v>
      </c>
      <c r="AG4" s="525" t="s">
        <v>1268</v>
      </c>
      <c r="AH4" s="525" t="s">
        <v>1269</v>
      </c>
      <c r="AI4" s="525" t="s">
        <v>1239</v>
      </c>
      <c r="AJ4" s="96" t="s">
        <v>158</v>
      </c>
      <c r="AK4" s="96" t="s">
        <v>1270</v>
      </c>
      <c r="AL4" s="96" t="s">
        <v>1271</v>
      </c>
      <c r="AM4" s="96" t="s">
        <v>1272</v>
      </c>
      <c r="AN4" s="96" t="s">
        <v>1273</v>
      </c>
      <c r="AO4" s="96" t="s">
        <v>1274</v>
      </c>
      <c r="AP4" s="96" t="s">
        <v>1275</v>
      </c>
      <c r="AQ4" s="96" t="s">
        <v>1276</v>
      </c>
      <c r="AR4" s="96" t="s">
        <v>1277</v>
      </c>
      <c r="AS4" s="96" t="s">
        <v>1278</v>
      </c>
      <c r="AT4" s="96" t="s">
        <v>1279</v>
      </c>
      <c r="AU4" s="96" t="s">
        <v>155</v>
      </c>
      <c r="AV4" s="96" t="s">
        <v>156</v>
      </c>
      <c r="AW4" s="96" t="s">
        <v>16</v>
      </c>
      <c r="AX4" s="525" t="s">
        <v>1280</v>
      </c>
      <c r="AY4" s="525" t="s">
        <v>41</v>
      </c>
      <c r="AZ4" s="525" t="s">
        <v>139</v>
      </c>
      <c r="BA4" s="525" t="s">
        <v>140</v>
      </c>
      <c r="BB4" s="525" t="s">
        <v>141</v>
      </c>
      <c r="BC4" s="525" t="s">
        <v>142</v>
      </c>
      <c r="BD4" s="525" t="s">
        <v>143</v>
      </c>
      <c r="BE4" s="525" t="s">
        <v>144</v>
      </c>
      <c r="BF4" s="525" t="s">
        <v>145</v>
      </c>
      <c r="BG4" s="525" t="s">
        <v>146</v>
      </c>
      <c r="BH4" s="525" t="s">
        <v>147</v>
      </c>
      <c r="BI4" s="525" t="s">
        <v>173</v>
      </c>
      <c r="BJ4" s="525" t="s">
        <v>17</v>
      </c>
      <c r="BK4" s="525" t="s">
        <v>1286</v>
      </c>
      <c r="BL4" s="525" t="s">
        <v>1287</v>
      </c>
      <c r="BM4" s="525" t="s">
        <v>1288</v>
      </c>
      <c r="BN4" s="525" t="s">
        <v>1289</v>
      </c>
      <c r="BO4" s="525" t="s">
        <v>1290</v>
      </c>
      <c r="BP4" s="525" t="s">
        <v>1291</v>
      </c>
      <c r="BQ4" s="525" t="s">
        <v>1292</v>
      </c>
      <c r="BR4" s="525" t="s">
        <v>1293</v>
      </c>
      <c r="BS4" s="525" t="s">
        <v>1294</v>
      </c>
      <c r="BT4" s="525" t="s">
        <v>1295</v>
      </c>
      <c r="BU4" s="525" t="s">
        <v>1296</v>
      </c>
      <c r="BV4" s="525" t="s">
        <v>1297</v>
      </c>
      <c r="BW4" s="525" t="s">
        <v>1298</v>
      </c>
      <c r="BX4" s="525" t="s">
        <v>1299</v>
      </c>
      <c r="BY4" s="525" t="s">
        <v>1300</v>
      </c>
      <c r="BZ4" s="525" t="s">
        <v>1301</v>
      </c>
      <c r="CA4" s="525" t="s">
        <v>1302</v>
      </c>
      <c r="CB4" s="525" t="s">
        <v>1303</v>
      </c>
      <c r="CC4" s="525" t="s">
        <v>1304</v>
      </c>
      <c r="CD4" s="525" t="s">
        <v>1305</v>
      </c>
      <c r="CE4" s="525" t="s">
        <v>1306</v>
      </c>
      <c r="CF4" s="525" t="s">
        <v>1307</v>
      </c>
      <c r="CG4" s="525" t="s">
        <v>1308</v>
      </c>
      <c r="CH4" s="525" t="s">
        <v>1309</v>
      </c>
      <c r="CI4" s="525" t="s">
        <v>1310</v>
      </c>
      <c r="CJ4" s="525" t="s">
        <v>1311</v>
      </c>
      <c r="CK4" s="525" t="s">
        <v>1312</v>
      </c>
      <c r="CL4" s="525" t="s">
        <v>1313</v>
      </c>
      <c r="CM4" s="525" t="s">
        <v>1314</v>
      </c>
      <c r="CN4" s="525" t="s">
        <v>1315</v>
      </c>
      <c r="CO4" s="525" t="s">
        <v>1316</v>
      </c>
      <c r="CP4" s="525" t="s">
        <v>1317</v>
      </c>
      <c r="CQ4" s="525" t="s">
        <v>1318</v>
      </c>
      <c r="CR4" s="525" t="s">
        <v>1319</v>
      </c>
      <c r="CS4" s="525" t="s">
        <v>1320</v>
      </c>
      <c r="CT4" s="525" t="s">
        <v>1321</v>
      </c>
      <c r="CU4" s="525" t="s">
        <v>1322</v>
      </c>
      <c r="CV4" s="525" t="s">
        <v>1323</v>
      </c>
      <c r="CW4" s="525" t="s">
        <v>1324</v>
      </c>
      <c r="CX4" s="525" t="s">
        <v>1325</v>
      </c>
      <c r="CY4" s="525" t="s">
        <v>1326</v>
      </c>
      <c r="CZ4" s="525" t="s">
        <v>1327</v>
      </c>
      <c r="DA4" s="525" t="s">
        <v>1328</v>
      </c>
      <c r="DB4" s="525" t="s">
        <v>1329</v>
      </c>
      <c r="DC4" s="525" t="s">
        <v>1330</v>
      </c>
      <c r="DD4" s="525" t="s">
        <v>1331</v>
      </c>
      <c r="DE4" s="525" t="s">
        <v>1332</v>
      </c>
      <c r="DF4" s="525" t="s">
        <v>1333</v>
      </c>
      <c r="DG4" s="525" t="s">
        <v>1334</v>
      </c>
      <c r="DH4" s="525" t="s">
        <v>1335</v>
      </c>
      <c r="DI4" s="525" t="s">
        <v>1336</v>
      </c>
      <c r="DJ4" s="525" t="s">
        <v>1337</v>
      </c>
      <c r="DK4" s="525" t="s">
        <v>1338</v>
      </c>
      <c r="DL4" s="525" t="s">
        <v>1339</v>
      </c>
      <c r="DM4" s="525" t="s">
        <v>1340</v>
      </c>
      <c r="DN4" s="525" t="s">
        <v>1341</v>
      </c>
      <c r="DO4" s="525" t="s">
        <v>1342</v>
      </c>
      <c r="DP4" s="525" t="s">
        <v>1343</v>
      </c>
      <c r="DQ4" s="525" t="s">
        <v>1344</v>
      </c>
      <c r="DR4" s="525" t="s">
        <v>1345</v>
      </c>
      <c r="DS4" s="525" t="s">
        <v>1346</v>
      </c>
      <c r="DT4" s="525" t="s">
        <v>1347</v>
      </c>
      <c r="DU4" s="525" t="s">
        <v>1348</v>
      </c>
      <c r="DV4" s="525" t="s">
        <v>1349</v>
      </c>
      <c r="DW4" s="525" t="s">
        <v>1350</v>
      </c>
      <c r="DX4" s="525" t="s">
        <v>1351</v>
      </c>
      <c r="DY4" s="525" t="s">
        <v>1352</v>
      </c>
      <c r="DZ4" s="525" t="s">
        <v>1353</v>
      </c>
      <c r="EA4" s="525" t="s">
        <v>1354</v>
      </c>
      <c r="EB4" s="525" t="s">
        <v>1355</v>
      </c>
      <c r="EC4" s="525" t="s">
        <v>1356</v>
      </c>
      <c r="ED4" s="525" t="s">
        <v>1357</v>
      </c>
      <c r="EE4" s="525" t="s">
        <v>1358</v>
      </c>
      <c r="EF4" s="525" t="s">
        <v>1359</v>
      </c>
      <c r="EG4" s="525" t="s">
        <v>1360</v>
      </c>
      <c r="EH4" s="525" t="s">
        <v>1361</v>
      </c>
      <c r="EI4" s="525" t="s">
        <v>1362</v>
      </c>
      <c r="EJ4" s="525" t="s">
        <v>1363</v>
      </c>
      <c r="EK4" s="525" t="s">
        <v>1364</v>
      </c>
      <c r="EL4" s="525" t="s">
        <v>1365</v>
      </c>
      <c r="EM4" s="525" t="s">
        <v>1366</v>
      </c>
      <c r="EN4" s="525" t="s">
        <v>1367</v>
      </c>
      <c r="EO4" s="525" t="s">
        <v>1368</v>
      </c>
      <c r="EP4" s="525" t="s">
        <v>1369</v>
      </c>
      <c r="EQ4" s="525" t="s">
        <v>1370</v>
      </c>
      <c r="ER4" s="525" t="s">
        <v>1371</v>
      </c>
      <c r="ES4" s="525" t="s">
        <v>1372</v>
      </c>
      <c r="ET4" s="525" t="s">
        <v>1373</v>
      </c>
      <c r="EU4" s="525" t="s">
        <v>1374</v>
      </c>
      <c r="EV4" s="525" t="s">
        <v>1375</v>
      </c>
      <c r="EW4" s="525" t="s">
        <v>1376</v>
      </c>
      <c r="EX4" s="525" t="s">
        <v>1377</v>
      </c>
      <c r="EY4" s="525" t="s">
        <v>1378</v>
      </c>
      <c r="EZ4" s="525" t="s">
        <v>1379</v>
      </c>
      <c r="FA4" s="525" t="s">
        <v>1380</v>
      </c>
      <c r="FB4" s="525" t="s">
        <v>1381</v>
      </c>
      <c r="FC4" s="525" t="s">
        <v>1382</v>
      </c>
      <c r="FD4" s="525" t="s">
        <v>1383</v>
      </c>
      <c r="FE4" s="525" t="s">
        <v>1384</v>
      </c>
      <c r="FF4" s="525" t="s">
        <v>1385</v>
      </c>
      <c r="FG4" s="525" t="s">
        <v>1386</v>
      </c>
      <c r="FH4" s="525" t="s">
        <v>1387</v>
      </c>
      <c r="FI4" s="525" t="s">
        <v>1388</v>
      </c>
      <c r="FJ4" s="525" t="s">
        <v>1389</v>
      </c>
      <c r="FK4" s="525" t="s">
        <v>1390</v>
      </c>
      <c r="FL4" s="525" t="s">
        <v>1391</v>
      </c>
      <c r="FM4" s="525" t="s">
        <v>1392</v>
      </c>
      <c r="FN4" s="525" t="s">
        <v>1393</v>
      </c>
      <c r="FO4" s="525" t="s">
        <v>1394</v>
      </c>
      <c r="FP4" s="525" t="s">
        <v>1395</v>
      </c>
      <c r="FQ4" s="525" t="s">
        <v>1396</v>
      </c>
      <c r="FR4" s="525" t="s">
        <v>1397</v>
      </c>
      <c r="FS4" s="525" t="s">
        <v>1398</v>
      </c>
      <c r="FT4" s="525" t="s">
        <v>1399</v>
      </c>
      <c r="FU4" s="525" t="s">
        <v>1400</v>
      </c>
      <c r="FV4" s="525" t="s">
        <v>1401</v>
      </c>
      <c r="FW4" s="525" t="s">
        <v>1402</v>
      </c>
      <c r="FX4" s="525" t="s">
        <v>1403</v>
      </c>
      <c r="FY4" s="525" t="s">
        <v>1404</v>
      </c>
      <c r="FZ4" s="525" t="s">
        <v>1405</v>
      </c>
      <c r="GA4" s="525" t="s">
        <v>1406</v>
      </c>
      <c r="GB4" s="525" t="s">
        <v>1407</v>
      </c>
      <c r="GC4" s="525" t="s">
        <v>1408</v>
      </c>
      <c r="GD4" s="525" t="s">
        <v>1409</v>
      </c>
      <c r="GE4" s="525" t="s">
        <v>1410</v>
      </c>
      <c r="GF4" s="525" t="s">
        <v>1411</v>
      </c>
      <c r="GG4" s="525" t="s">
        <v>1412</v>
      </c>
      <c r="GH4" s="525" t="s">
        <v>1413</v>
      </c>
      <c r="GI4" s="525" t="s">
        <v>1414</v>
      </c>
      <c r="GJ4" s="525" t="s">
        <v>1415</v>
      </c>
      <c r="GK4" s="525" t="s">
        <v>1416</v>
      </c>
      <c r="GL4" s="548"/>
      <c r="GM4" s="548"/>
      <c r="GN4" s="548"/>
      <c r="GO4" s="548"/>
      <c r="GP4" s="548"/>
      <c r="GQ4" s="548"/>
      <c r="GR4" s="548"/>
      <c r="GS4" s="548"/>
      <c r="GT4" s="548"/>
      <c r="GU4" s="548"/>
      <c r="GV4" s="548"/>
      <c r="GW4" s="548"/>
      <c r="GX4" s="548"/>
      <c r="GY4" s="548"/>
      <c r="GZ4" s="548"/>
      <c r="HA4" s="548"/>
      <c r="HB4" s="548"/>
      <c r="HC4" s="548"/>
      <c r="HD4" s="548"/>
      <c r="HE4" s="548"/>
      <c r="HF4" s="548"/>
      <c r="HG4" s="548"/>
      <c r="HH4" s="548"/>
      <c r="HI4" s="548"/>
      <c r="HJ4" s="548"/>
      <c r="HK4" s="548"/>
      <c r="HL4" s="548"/>
      <c r="HM4" s="548"/>
      <c r="HN4" s="548"/>
      <c r="HO4" s="548"/>
      <c r="HP4" s="548"/>
      <c r="HQ4" s="548"/>
      <c r="HR4" s="548"/>
      <c r="HS4" s="548"/>
      <c r="HT4" s="548"/>
      <c r="HU4" s="548"/>
      <c r="HV4" s="548"/>
      <c r="HW4" s="548"/>
      <c r="HX4" s="548"/>
      <c r="HY4" s="548"/>
      <c r="HZ4" s="548"/>
      <c r="IA4" s="548"/>
      <c r="IB4" s="548"/>
      <c r="IC4" s="548"/>
      <c r="ID4" s="548"/>
      <c r="IE4" s="548"/>
      <c r="IF4" s="548"/>
      <c r="IG4" s="548"/>
      <c r="IH4" s="548"/>
      <c r="II4" s="548"/>
      <c r="IJ4" s="548"/>
      <c r="IK4" s="548"/>
      <c r="IL4" s="548"/>
      <c r="IM4" s="548"/>
      <c r="IN4" s="548"/>
      <c r="IO4" s="548"/>
      <c r="IP4" s="548"/>
      <c r="IQ4" s="548"/>
      <c r="IR4" s="548"/>
      <c r="IS4" s="548"/>
      <c r="IT4" s="548"/>
      <c r="IU4" s="548"/>
      <c r="IV4" s="548"/>
      <c r="IW4" s="548"/>
      <c r="IX4" s="548"/>
      <c r="IY4" s="548"/>
      <c r="IZ4" s="548"/>
      <c r="JA4" s="548"/>
      <c r="JB4" s="548"/>
      <c r="JC4" s="548"/>
      <c r="JD4" s="548"/>
      <c r="JE4" s="548"/>
      <c r="JF4" s="548"/>
      <c r="JG4" s="548"/>
      <c r="JH4" s="548"/>
      <c r="JI4" s="548"/>
      <c r="JJ4" s="548"/>
      <c r="JK4" s="548"/>
      <c r="JL4" s="548"/>
      <c r="JM4" s="548"/>
      <c r="JN4" s="548"/>
      <c r="JO4" s="548"/>
      <c r="JP4" s="548"/>
      <c r="JQ4" s="548"/>
      <c r="JR4" s="548"/>
      <c r="JS4" s="548"/>
      <c r="JT4" s="548"/>
      <c r="JU4" s="548"/>
      <c r="JV4" s="548"/>
      <c r="JW4" s="548"/>
      <c r="JX4" s="548"/>
      <c r="JY4" s="548"/>
      <c r="JZ4" s="548"/>
      <c r="KA4" s="548"/>
      <c r="KB4" s="548"/>
      <c r="KC4" s="548"/>
      <c r="KD4" s="548"/>
      <c r="KE4" s="548"/>
      <c r="KF4" s="548"/>
      <c r="KG4" s="548"/>
      <c r="KH4" s="548"/>
      <c r="KI4" s="548"/>
      <c r="KJ4" s="548"/>
      <c r="KK4" s="548"/>
      <c r="KL4" s="548"/>
      <c r="KM4" s="548"/>
      <c r="KN4" s="548"/>
      <c r="KO4" s="548"/>
      <c r="KP4" s="548"/>
      <c r="KQ4" s="548"/>
      <c r="KR4" s="548"/>
      <c r="KS4" s="548"/>
      <c r="KT4" s="548"/>
      <c r="KU4" s="548"/>
      <c r="KV4" s="548"/>
      <c r="KW4" s="548"/>
      <c r="KX4" s="548"/>
      <c r="KY4" s="548"/>
      <c r="KZ4" s="548"/>
      <c r="LA4" s="549"/>
    </row>
    <row r="5" spans="1:314">
      <c r="A5" s="99" t="s">
        <v>982</v>
      </c>
      <c r="B5" s="108" t="s">
        <v>1185</v>
      </c>
      <c r="C5" s="108" t="s">
        <v>159</v>
      </c>
      <c r="D5" s="89" t="s">
        <v>1200</v>
      </c>
      <c r="E5" s="108" t="s">
        <v>1201</v>
      </c>
      <c r="F5" s="89"/>
      <c r="G5" s="89"/>
      <c r="H5" s="89"/>
      <c r="I5" s="89"/>
      <c r="J5" s="89" t="s">
        <v>1417</v>
      </c>
      <c r="K5" s="89">
        <v>0</v>
      </c>
      <c r="L5" s="89" t="s">
        <v>899</v>
      </c>
      <c r="M5" s="469">
        <v>1</v>
      </c>
      <c r="N5" s="469">
        <v>1</v>
      </c>
      <c r="O5" s="469">
        <v>1</v>
      </c>
      <c r="P5" s="469">
        <v>1</v>
      </c>
      <c r="Q5" s="469">
        <v>1</v>
      </c>
      <c r="R5" s="469">
        <v>1</v>
      </c>
      <c r="S5" s="469">
        <v>1</v>
      </c>
      <c r="T5" s="469">
        <v>1</v>
      </c>
      <c r="U5" s="469">
        <v>1</v>
      </c>
      <c r="V5" s="469">
        <v>1</v>
      </c>
      <c r="W5" s="469">
        <v>0</v>
      </c>
      <c r="X5" s="90">
        <v>0</v>
      </c>
      <c r="Y5" s="471">
        <v>3198644.5476890798</v>
      </c>
      <c r="Z5" s="471">
        <v>3279604.6721609468</v>
      </c>
      <c r="AA5" s="471">
        <v>3362613.9589128913</v>
      </c>
      <c r="AB5" s="471">
        <v>3447724.2737995852</v>
      </c>
      <c r="AC5" s="471">
        <v>3534988.7954399008</v>
      </c>
      <c r="AD5" s="471">
        <v>3624462.0484439693</v>
      </c>
      <c r="AE5" s="471">
        <v>3716199.9374812432</v>
      </c>
      <c r="AF5" s="471">
        <v>3810259.782210846</v>
      </c>
      <c r="AG5" s="471">
        <v>3906700.3530960367</v>
      </c>
      <c r="AH5" s="471">
        <v>4005581.9081251658</v>
      </c>
      <c r="AI5" s="471">
        <v>0</v>
      </c>
      <c r="AJ5" s="90">
        <v>12</v>
      </c>
      <c r="AK5" s="90">
        <v>12</v>
      </c>
      <c r="AL5" s="90">
        <v>12</v>
      </c>
      <c r="AM5" s="90">
        <v>12</v>
      </c>
      <c r="AN5" s="90">
        <v>12</v>
      </c>
      <c r="AO5" s="90">
        <v>12</v>
      </c>
      <c r="AP5" s="90">
        <v>12</v>
      </c>
      <c r="AQ5" s="90">
        <v>12</v>
      </c>
      <c r="AR5" s="90">
        <v>12</v>
      </c>
      <c r="AS5" s="90">
        <v>12</v>
      </c>
      <c r="AT5" s="90"/>
      <c r="AU5" s="91">
        <v>1</v>
      </c>
      <c r="AV5" s="92">
        <v>1.02531076</v>
      </c>
      <c r="AW5" s="89">
        <v>0</v>
      </c>
      <c r="AX5" s="93">
        <v>430641363.32831597</v>
      </c>
      <c r="AY5" s="93">
        <v>38383734.572268955</v>
      </c>
      <c r="AZ5" s="93">
        <v>39355256.065931357</v>
      </c>
      <c r="BA5" s="93">
        <v>40351367.5069547</v>
      </c>
      <c r="BB5" s="93">
        <v>41372691.285595007</v>
      </c>
      <c r="BC5" s="93">
        <v>42419865.545278795</v>
      </c>
      <c r="BD5" s="93">
        <v>43493544.581327632</v>
      </c>
      <c r="BE5" s="93">
        <v>44594399.249774918</v>
      </c>
      <c r="BF5" s="93">
        <v>45723117.386530161</v>
      </c>
      <c r="BG5" s="93">
        <v>46880404.23715245</v>
      </c>
      <c r="BH5" s="93">
        <v>48066982.897501975</v>
      </c>
      <c r="BI5" s="93">
        <v>0</v>
      </c>
      <c r="BJ5" s="94">
        <v>3198644.5476890798</v>
      </c>
      <c r="BK5" s="93">
        <v>3198644.5476890798</v>
      </c>
      <c r="BL5" s="93">
        <v>3198644.5476890798</v>
      </c>
      <c r="BM5" s="93">
        <v>3198644.5476890798</v>
      </c>
      <c r="BN5" s="93">
        <v>3198644.5476890798</v>
      </c>
      <c r="BO5" s="93">
        <v>3198644.5476890798</v>
      </c>
      <c r="BP5" s="93">
        <v>3198644.5476890798</v>
      </c>
      <c r="BQ5" s="93">
        <v>3198644.5476890798</v>
      </c>
      <c r="BR5" s="93">
        <v>3198644.5476890798</v>
      </c>
      <c r="BS5" s="93">
        <v>3198644.5476890798</v>
      </c>
      <c r="BT5" s="93">
        <v>3198644.5476890798</v>
      </c>
      <c r="BU5" s="93">
        <v>3198644.5476890798</v>
      </c>
      <c r="BV5" s="93">
        <v>3279604.6721609468</v>
      </c>
      <c r="BW5" s="93">
        <v>3279604.6721609468</v>
      </c>
      <c r="BX5" s="93">
        <v>3279604.6721609468</v>
      </c>
      <c r="BY5" s="93">
        <v>3279604.6721609468</v>
      </c>
      <c r="BZ5" s="93">
        <v>3279604.6721609468</v>
      </c>
      <c r="CA5" s="93">
        <v>3279604.6721609468</v>
      </c>
      <c r="CB5" s="93">
        <v>3279604.6721609468</v>
      </c>
      <c r="CC5" s="93">
        <v>3279604.6721609468</v>
      </c>
      <c r="CD5" s="93">
        <v>3279604.6721609468</v>
      </c>
      <c r="CE5" s="93">
        <v>3279604.6721609468</v>
      </c>
      <c r="CF5" s="93">
        <v>3279604.6721609468</v>
      </c>
      <c r="CG5" s="93">
        <v>3279604.6721609468</v>
      </c>
      <c r="CH5" s="93">
        <v>3362613.9589128913</v>
      </c>
      <c r="CI5" s="93">
        <v>3362613.9589128913</v>
      </c>
      <c r="CJ5" s="93">
        <v>3362613.9589128913</v>
      </c>
      <c r="CK5" s="93">
        <v>3362613.9589128913</v>
      </c>
      <c r="CL5" s="93">
        <v>3362613.9589128913</v>
      </c>
      <c r="CM5" s="93">
        <v>3362613.9589128913</v>
      </c>
      <c r="CN5" s="93">
        <v>3362613.9589128913</v>
      </c>
      <c r="CO5" s="93">
        <v>3362613.9589128913</v>
      </c>
      <c r="CP5" s="93">
        <v>3362613.9589128913</v>
      </c>
      <c r="CQ5" s="93">
        <v>3362613.9589128913</v>
      </c>
      <c r="CR5" s="93">
        <v>3362613.9589128913</v>
      </c>
      <c r="CS5" s="93">
        <v>3362613.9589128913</v>
      </c>
      <c r="CT5" s="93">
        <v>3447724.2737995852</v>
      </c>
      <c r="CU5" s="93">
        <v>3447724.2737995852</v>
      </c>
      <c r="CV5" s="93">
        <v>3447724.2737995852</v>
      </c>
      <c r="CW5" s="93">
        <v>3447724.2737995852</v>
      </c>
      <c r="CX5" s="93">
        <v>3447724.2737995852</v>
      </c>
      <c r="CY5" s="93">
        <v>3447724.2737995852</v>
      </c>
      <c r="CZ5" s="93">
        <v>3447724.2737995852</v>
      </c>
      <c r="DA5" s="93">
        <v>3447724.2737995852</v>
      </c>
      <c r="DB5" s="93">
        <v>3447724.2737995852</v>
      </c>
      <c r="DC5" s="93">
        <v>3447724.2737995852</v>
      </c>
      <c r="DD5" s="93">
        <v>3447724.2737995852</v>
      </c>
      <c r="DE5" s="93">
        <v>3447724.2737995852</v>
      </c>
      <c r="DF5" s="93">
        <v>3534988.7954399008</v>
      </c>
      <c r="DG5" s="93">
        <v>3534988.7954399008</v>
      </c>
      <c r="DH5" s="93">
        <v>3534988.7954399008</v>
      </c>
      <c r="DI5" s="93">
        <v>3534988.7954399008</v>
      </c>
      <c r="DJ5" s="93">
        <v>3534988.7954399008</v>
      </c>
      <c r="DK5" s="93">
        <v>3534988.7954399008</v>
      </c>
      <c r="DL5" s="93">
        <v>3534988.7954399008</v>
      </c>
      <c r="DM5" s="93">
        <v>3534988.7954399008</v>
      </c>
      <c r="DN5" s="93">
        <v>3534988.7954399008</v>
      </c>
      <c r="DO5" s="93">
        <v>3534988.7954399008</v>
      </c>
      <c r="DP5" s="93">
        <v>3534988.7954399008</v>
      </c>
      <c r="DQ5" s="93">
        <v>3534988.7954399008</v>
      </c>
      <c r="DR5" s="93">
        <v>3624462.0484439693</v>
      </c>
      <c r="DS5" s="93">
        <v>3624462.0484439693</v>
      </c>
      <c r="DT5" s="93">
        <v>3624462.0484439693</v>
      </c>
      <c r="DU5" s="93">
        <v>3624462.0484439693</v>
      </c>
      <c r="DV5" s="93">
        <v>3624462.0484439693</v>
      </c>
      <c r="DW5" s="93">
        <v>3624462.0484439693</v>
      </c>
      <c r="DX5" s="93">
        <v>3624462.0484439693</v>
      </c>
      <c r="DY5" s="93">
        <v>3624462.0484439693</v>
      </c>
      <c r="DZ5" s="93">
        <v>3624462.0484439693</v>
      </c>
      <c r="EA5" s="93">
        <v>3624462.0484439693</v>
      </c>
      <c r="EB5" s="93">
        <v>3624462.0484439693</v>
      </c>
      <c r="EC5" s="93">
        <v>3624462.0484439693</v>
      </c>
      <c r="ED5" s="93">
        <v>3716199.9374812432</v>
      </c>
      <c r="EE5" s="93">
        <v>3716199.9374812432</v>
      </c>
      <c r="EF5" s="93">
        <v>3716199.9374812432</v>
      </c>
      <c r="EG5" s="93">
        <v>3716199.9374812432</v>
      </c>
      <c r="EH5" s="93">
        <v>3716199.9374812432</v>
      </c>
      <c r="EI5" s="93">
        <v>3716199.9374812432</v>
      </c>
      <c r="EJ5" s="93">
        <v>3716199.9374812432</v>
      </c>
      <c r="EK5" s="93">
        <v>3716199.9374812432</v>
      </c>
      <c r="EL5" s="93">
        <v>3716199.9374812432</v>
      </c>
      <c r="EM5" s="93">
        <v>3716199.9374812432</v>
      </c>
      <c r="EN5" s="93">
        <v>3716199.9374812432</v>
      </c>
      <c r="EO5" s="93">
        <v>3716199.9374812432</v>
      </c>
      <c r="EP5" s="93">
        <v>3810259.782210846</v>
      </c>
      <c r="EQ5" s="93">
        <v>3810259.782210846</v>
      </c>
      <c r="ER5" s="93">
        <v>3810259.782210846</v>
      </c>
      <c r="ES5" s="93">
        <v>3810259.782210846</v>
      </c>
      <c r="ET5" s="93">
        <v>3810259.782210846</v>
      </c>
      <c r="EU5" s="93">
        <v>3810259.782210846</v>
      </c>
      <c r="EV5" s="93">
        <v>3810259.782210846</v>
      </c>
      <c r="EW5" s="93">
        <v>3810259.782210846</v>
      </c>
      <c r="EX5" s="93">
        <v>3810259.782210846</v>
      </c>
      <c r="EY5" s="93">
        <v>3810259.782210846</v>
      </c>
      <c r="EZ5" s="93">
        <v>3810259.782210846</v>
      </c>
      <c r="FA5" s="93">
        <v>3810259.782210846</v>
      </c>
      <c r="FB5" s="93">
        <v>3906700.3530960367</v>
      </c>
      <c r="FC5" s="93">
        <v>3906700.3530960367</v>
      </c>
      <c r="FD5" s="93">
        <v>3906700.3530960367</v>
      </c>
      <c r="FE5" s="93">
        <v>3906700.3530960367</v>
      </c>
      <c r="FF5" s="93">
        <v>3906700.3530960367</v>
      </c>
      <c r="FG5" s="93">
        <v>3906700.3530960367</v>
      </c>
      <c r="FH5" s="93">
        <v>3906700.3530960367</v>
      </c>
      <c r="FI5" s="93">
        <v>3906700.3530960367</v>
      </c>
      <c r="FJ5" s="93">
        <v>3906700.3530960367</v>
      </c>
      <c r="FK5" s="93">
        <v>3906700.3530960367</v>
      </c>
      <c r="FL5" s="93">
        <v>3906700.3530960367</v>
      </c>
      <c r="FM5" s="93">
        <v>3906700.3530960367</v>
      </c>
      <c r="FN5" s="93">
        <v>4005581.9081251658</v>
      </c>
      <c r="FO5" s="93">
        <v>4005581.9081251658</v>
      </c>
      <c r="FP5" s="93">
        <v>4005581.9081251658</v>
      </c>
      <c r="FQ5" s="93">
        <v>4005581.9081251658</v>
      </c>
      <c r="FR5" s="93">
        <v>4005581.9081251658</v>
      </c>
      <c r="FS5" s="93">
        <v>4005581.9081251658</v>
      </c>
      <c r="FT5" s="93">
        <v>4005581.9081251658</v>
      </c>
      <c r="FU5" s="93">
        <v>4005581.9081251658</v>
      </c>
      <c r="FV5" s="93">
        <v>4005581.9081251658</v>
      </c>
      <c r="FW5" s="93">
        <v>4005581.9081251658</v>
      </c>
      <c r="FX5" s="93">
        <v>4005581.9081251658</v>
      </c>
      <c r="FY5" s="93">
        <v>4005581.9081251658</v>
      </c>
      <c r="FZ5" s="93">
        <v>0</v>
      </c>
      <c r="GA5" s="93">
        <v>0</v>
      </c>
      <c r="GB5" s="93">
        <v>0</v>
      </c>
      <c r="GC5" s="93">
        <v>0</v>
      </c>
      <c r="GD5" s="93">
        <v>0</v>
      </c>
      <c r="GE5" s="93">
        <v>0</v>
      </c>
      <c r="GF5" s="93">
        <v>0</v>
      </c>
      <c r="GG5" s="93">
        <v>0</v>
      </c>
      <c r="GH5" s="93">
        <v>0</v>
      </c>
      <c r="GI5" s="93">
        <v>0</v>
      </c>
      <c r="GJ5" s="93">
        <v>0</v>
      </c>
      <c r="GK5" s="93">
        <v>0</v>
      </c>
      <c r="GL5" s="94">
        <v>3198644.5476890798</v>
      </c>
      <c r="GM5" s="93">
        <v>3198644.5476890798</v>
      </c>
      <c r="GN5" s="93">
        <v>3198644.5476890798</v>
      </c>
      <c r="GO5" s="93">
        <v>3198644.5476890798</v>
      </c>
      <c r="GP5" s="93">
        <v>3198644.5476890798</v>
      </c>
      <c r="GQ5" s="93">
        <v>3198644.5476890798</v>
      </c>
      <c r="GR5" s="93">
        <v>3198644.5476890798</v>
      </c>
      <c r="GS5" s="93">
        <v>3198644.5476890798</v>
      </c>
      <c r="GT5" s="93">
        <v>3198644.5476890798</v>
      </c>
      <c r="GU5" s="93">
        <v>3198644.5476890798</v>
      </c>
      <c r="GV5" s="93">
        <v>3198644.5476890798</v>
      </c>
      <c r="GW5" s="93">
        <v>3198644.5476890798</v>
      </c>
      <c r="GX5" s="93">
        <v>3279604.6721609468</v>
      </c>
      <c r="GY5" s="93">
        <v>3279604.6721609468</v>
      </c>
      <c r="GZ5" s="93">
        <v>3279604.6721609468</v>
      </c>
      <c r="HA5" s="93">
        <v>3279604.6721609468</v>
      </c>
      <c r="HB5" s="93">
        <v>3279604.6721609468</v>
      </c>
      <c r="HC5" s="93">
        <v>3279604.6721609468</v>
      </c>
      <c r="HD5" s="93">
        <v>3279604.6721609468</v>
      </c>
      <c r="HE5" s="93">
        <v>3279604.6721609468</v>
      </c>
      <c r="HF5" s="93">
        <v>3279604.6721609468</v>
      </c>
      <c r="HG5" s="93">
        <v>3279604.6721609468</v>
      </c>
      <c r="HH5" s="93">
        <v>3279604.6721609468</v>
      </c>
      <c r="HI5" s="93">
        <v>3279604.6721609468</v>
      </c>
      <c r="HJ5" s="93">
        <v>3362613.9589128913</v>
      </c>
      <c r="HK5" s="93">
        <v>3362613.9589128913</v>
      </c>
      <c r="HL5" s="93">
        <v>3362613.9589128913</v>
      </c>
      <c r="HM5" s="93">
        <v>3362613.9589128913</v>
      </c>
      <c r="HN5" s="93">
        <v>3362613.9589128913</v>
      </c>
      <c r="HO5" s="93">
        <v>3362613.9589128913</v>
      </c>
      <c r="HP5" s="93">
        <v>3362613.9589128913</v>
      </c>
      <c r="HQ5" s="93">
        <v>3362613.9589128913</v>
      </c>
      <c r="HR5" s="93">
        <v>3362613.9589128913</v>
      </c>
      <c r="HS5" s="93">
        <v>3362613.9589128913</v>
      </c>
      <c r="HT5" s="93">
        <v>3362613.9589128913</v>
      </c>
      <c r="HU5" s="93">
        <v>3362613.9589128913</v>
      </c>
      <c r="HV5" s="93">
        <v>3447724.2737995852</v>
      </c>
      <c r="HW5" s="93">
        <v>3447724.2737995852</v>
      </c>
      <c r="HX5" s="93">
        <v>3447724.2737995852</v>
      </c>
      <c r="HY5" s="93">
        <v>3447724.2737995852</v>
      </c>
      <c r="HZ5" s="93">
        <v>3447724.2737995852</v>
      </c>
      <c r="IA5" s="93">
        <v>3447724.2737995852</v>
      </c>
      <c r="IB5" s="93">
        <v>3447724.2737995852</v>
      </c>
      <c r="IC5" s="93">
        <v>3447724.2737995852</v>
      </c>
      <c r="ID5" s="93">
        <v>3447724.2737995852</v>
      </c>
      <c r="IE5" s="93">
        <v>3447724.2737995852</v>
      </c>
      <c r="IF5" s="93">
        <v>3447724.2737995852</v>
      </c>
      <c r="IG5" s="93">
        <v>3447724.2737995852</v>
      </c>
      <c r="IH5" s="93">
        <v>3534988.7954399008</v>
      </c>
      <c r="II5" s="93">
        <v>3534988.7954399008</v>
      </c>
      <c r="IJ5" s="93">
        <v>3534988.7954399008</v>
      </c>
      <c r="IK5" s="93">
        <v>3534988.7954399008</v>
      </c>
      <c r="IL5" s="93">
        <v>3534988.7954399008</v>
      </c>
      <c r="IM5" s="93">
        <v>3534988.7954399008</v>
      </c>
      <c r="IN5" s="93">
        <v>3534988.7954399008</v>
      </c>
      <c r="IO5" s="93">
        <v>3534988.7954399008</v>
      </c>
      <c r="IP5" s="93">
        <v>3534988.7954399008</v>
      </c>
      <c r="IQ5" s="93">
        <v>3534988.7954399008</v>
      </c>
      <c r="IR5" s="93">
        <v>3534988.7954399008</v>
      </c>
      <c r="IS5" s="93">
        <v>3534988.7954399008</v>
      </c>
      <c r="IT5" s="93">
        <v>3624462.0484439693</v>
      </c>
      <c r="IU5" s="93">
        <v>3624462.0484439693</v>
      </c>
      <c r="IV5" s="93">
        <v>3624462.0484439693</v>
      </c>
      <c r="IW5" s="93">
        <v>3624462.0484439693</v>
      </c>
      <c r="IX5" s="93">
        <v>3624462.0484439693</v>
      </c>
      <c r="IY5" s="93">
        <v>3624462.0484439693</v>
      </c>
      <c r="IZ5" s="93">
        <v>3624462.0484439693</v>
      </c>
      <c r="JA5" s="93">
        <v>3624462.0484439693</v>
      </c>
      <c r="JB5" s="93">
        <v>3624462.0484439693</v>
      </c>
      <c r="JC5" s="93">
        <v>3624462.0484439693</v>
      </c>
      <c r="JD5" s="93">
        <v>3624462.0484439693</v>
      </c>
      <c r="JE5" s="93">
        <v>3624462.0484439693</v>
      </c>
      <c r="JF5" s="93">
        <v>3716199.9374812432</v>
      </c>
      <c r="JG5" s="93">
        <v>3716199.9374812432</v>
      </c>
      <c r="JH5" s="93">
        <v>3716199.9374812432</v>
      </c>
      <c r="JI5" s="93">
        <v>3716199.9374812432</v>
      </c>
      <c r="JJ5" s="93">
        <v>3716199.9374812432</v>
      </c>
      <c r="JK5" s="93">
        <v>3716199.9374812432</v>
      </c>
      <c r="JL5" s="93">
        <v>3716199.9374812432</v>
      </c>
      <c r="JM5" s="93">
        <v>3716199.9374812432</v>
      </c>
      <c r="JN5" s="93">
        <v>3716199.9374812432</v>
      </c>
      <c r="JO5" s="93">
        <v>3716199.9374812432</v>
      </c>
      <c r="JP5" s="93">
        <v>3716199.9374812432</v>
      </c>
      <c r="JQ5" s="93">
        <v>3716199.9374812432</v>
      </c>
      <c r="JR5" s="93">
        <v>3810259.782210846</v>
      </c>
      <c r="JS5" s="93">
        <v>3810259.782210846</v>
      </c>
      <c r="JT5" s="93">
        <v>3810259.782210846</v>
      </c>
      <c r="JU5" s="93">
        <v>3810259.782210846</v>
      </c>
      <c r="JV5" s="93">
        <v>3810259.782210846</v>
      </c>
      <c r="JW5" s="93">
        <v>3810259.782210846</v>
      </c>
      <c r="JX5" s="93">
        <v>3810259.782210846</v>
      </c>
      <c r="JY5" s="93">
        <v>3810259.782210846</v>
      </c>
      <c r="JZ5" s="93">
        <v>3810259.782210846</v>
      </c>
      <c r="KA5" s="93">
        <v>3810259.782210846</v>
      </c>
      <c r="KB5" s="93">
        <v>3810259.782210846</v>
      </c>
      <c r="KC5" s="93">
        <v>3810259.782210846</v>
      </c>
      <c r="KD5" s="93">
        <v>3906700.3530960367</v>
      </c>
      <c r="KE5" s="93">
        <v>3906700.3530960367</v>
      </c>
      <c r="KF5" s="93">
        <v>3906700.3530960367</v>
      </c>
      <c r="KG5" s="93">
        <v>3906700.3530960367</v>
      </c>
      <c r="KH5" s="93">
        <v>3906700.3530960367</v>
      </c>
      <c r="KI5" s="93">
        <v>3906700.3530960367</v>
      </c>
      <c r="KJ5" s="93">
        <v>3906700.3530960367</v>
      </c>
      <c r="KK5" s="93">
        <v>3906700.3530960367</v>
      </c>
      <c r="KL5" s="93">
        <v>3906700.3530960367</v>
      </c>
      <c r="KM5" s="93">
        <v>3906700.3530960367</v>
      </c>
      <c r="KN5" s="93">
        <v>3906700.3530960367</v>
      </c>
      <c r="KO5" s="93">
        <v>3906700.3530960367</v>
      </c>
      <c r="KP5" s="93">
        <v>4005581.9081251658</v>
      </c>
      <c r="KQ5" s="93">
        <v>4005581.9081251658</v>
      </c>
      <c r="KR5" s="93">
        <v>4005581.9081251658</v>
      </c>
      <c r="KS5" s="93">
        <v>4005581.9081251658</v>
      </c>
      <c r="KT5" s="93">
        <v>4005581.9081251658</v>
      </c>
      <c r="KU5" s="93">
        <v>4005581.9081251658</v>
      </c>
      <c r="KV5" s="93">
        <v>4005581.9081251658</v>
      </c>
      <c r="KW5" s="93">
        <v>4005581.9081251658</v>
      </c>
      <c r="KX5" s="93">
        <v>4005581.9081251658</v>
      </c>
      <c r="KY5" s="93">
        <v>4005581.9081251658</v>
      </c>
      <c r="KZ5" s="93">
        <v>4005581.9081251658</v>
      </c>
      <c r="LA5" s="32">
        <v>4005581.9081251658</v>
      </c>
      <c r="LB5" s="27"/>
    </row>
    <row r="6" spans="1:314">
      <c r="A6" s="459" t="s">
        <v>983</v>
      </c>
      <c r="B6" s="463" t="s">
        <v>1185</v>
      </c>
      <c r="C6" s="463" t="s">
        <v>159</v>
      </c>
      <c r="D6" s="456" t="s">
        <v>1200</v>
      </c>
      <c r="E6" s="463" t="s">
        <v>159</v>
      </c>
      <c r="F6" s="456"/>
      <c r="G6" s="456"/>
      <c r="H6" s="456"/>
      <c r="I6" s="456"/>
      <c r="J6" s="456" t="s">
        <v>1417</v>
      </c>
      <c r="K6" s="456">
        <v>0</v>
      </c>
      <c r="L6" s="456" t="s">
        <v>899</v>
      </c>
      <c r="M6" s="470">
        <v>5</v>
      </c>
      <c r="N6" s="470">
        <v>5</v>
      </c>
      <c r="O6" s="470">
        <v>5</v>
      </c>
      <c r="P6" s="470">
        <v>5</v>
      </c>
      <c r="Q6" s="470">
        <v>5</v>
      </c>
      <c r="R6" s="470">
        <v>5</v>
      </c>
      <c r="S6" s="470">
        <v>5</v>
      </c>
      <c r="T6" s="470">
        <v>5</v>
      </c>
      <c r="U6" s="470">
        <v>5</v>
      </c>
      <c r="V6" s="470">
        <v>5</v>
      </c>
      <c r="W6" s="470">
        <v>0</v>
      </c>
      <c r="X6" s="457">
        <v>0</v>
      </c>
      <c r="Y6" s="472">
        <v>2416906.6118346802</v>
      </c>
      <c r="Z6" s="472">
        <v>2478080.3550292407</v>
      </c>
      <c r="AA6" s="472">
        <v>2540802.4521561004</v>
      </c>
      <c r="AB6" s="472">
        <v>2605112.0932300352</v>
      </c>
      <c r="AC6" s="472">
        <v>2671049.4601948783</v>
      </c>
      <c r="AD6" s="472">
        <v>2738655.7520300006</v>
      </c>
      <c r="AE6" s="472">
        <v>2807973.2104922514</v>
      </c>
      <c r="AF6" s="472">
        <v>2879045.1465094504</v>
      </c>
      <c r="AG6" s="472">
        <v>2951915.9672419159</v>
      </c>
      <c r="AH6" s="472">
        <v>3026631.2038289439</v>
      </c>
      <c r="AI6" s="472">
        <v>0</v>
      </c>
      <c r="AJ6" s="457">
        <v>12</v>
      </c>
      <c r="AK6" s="457">
        <v>12</v>
      </c>
      <c r="AL6" s="457">
        <v>12</v>
      </c>
      <c r="AM6" s="457">
        <v>12</v>
      </c>
      <c r="AN6" s="457">
        <v>12</v>
      </c>
      <c r="AO6" s="457">
        <v>12</v>
      </c>
      <c r="AP6" s="457">
        <v>12</v>
      </c>
      <c r="AQ6" s="457">
        <v>12</v>
      </c>
      <c r="AR6" s="457">
        <v>12</v>
      </c>
      <c r="AS6" s="457">
        <v>12</v>
      </c>
      <c r="AT6" s="457"/>
      <c r="AU6" s="458">
        <v>1</v>
      </c>
      <c r="AV6" s="510">
        <v>1.02531076</v>
      </c>
      <c r="AW6" s="456">
        <v>0</v>
      </c>
      <c r="AX6" s="443">
        <v>1626970335.1528497</v>
      </c>
      <c r="AY6" s="443">
        <v>145014396.71008083</v>
      </c>
      <c r="AZ6" s="443">
        <v>148684821.30175444</v>
      </c>
      <c r="BA6" s="443">
        <v>152448147.12936601</v>
      </c>
      <c r="BB6" s="443">
        <v>156306725.59380212</v>
      </c>
      <c r="BC6" s="443">
        <v>160262967.61169273</v>
      </c>
      <c r="BD6" s="443">
        <v>164319345.12180007</v>
      </c>
      <c r="BE6" s="443">
        <v>168478392.62953508</v>
      </c>
      <c r="BF6" s="443">
        <v>172742708.79056701</v>
      </c>
      <c r="BG6" s="443">
        <v>177114958.03451496</v>
      </c>
      <c r="BH6" s="443">
        <v>181597872.2297366</v>
      </c>
      <c r="BI6" s="443">
        <v>0</v>
      </c>
      <c r="BJ6" s="442">
        <v>12084533.059173401</v>
      </c>
      <c r="BK6" s="443">
        <v>12084533.059173401</v>
      </c>
      <c r="BL6" s="443">
        <v>12084533.059173401</v>
      </c>
      <c r="BM6" s="443">
        <v>12084533.059173401</v>
      </c>
      <c r="BN6" s="443">
        <v>12084533.059173401</v>
      </c>
      <c r="BO6" s="443">
        <v>12084533.059173401</v>
      </c>
      <c r="BP6" s="443">
        <v>12084533.059173401</v>
      </c>
      <c r="BQ6" s="443">
        <v>12084533.059173401</v>
      </c>
      <c r="BR6" s="443">
        <v>12084533.059173401</v>
      </c>
      <c r="BS6" s="443">
        <v>12084533.059173401</v>
      </c>
      <c r="BT6" s="443">
        <v>12084533.059173401</v>
      </c>
      <c r="BU6" s="443">
        <v>12084533.059173401</v>
      </c>
      <c r="BV6" s="443">
        <v>12390401.775146203</v>
      </c>
      <c r="BW6" s="443">
        <v>12390401.775146203</v>
      </c>
      <c r="BX6" s="443">
        <v>12390401.775146203</v>
      </c>
      <c r="BY6" s="443">
        <v>12390401.775146203</v>
      </c>
      <c r="BZ6" s="443">
        <v>12390401.775146203</v>
      </c>
      <c r="CA6" s="443">
        <v>12390401.775146203</v>
      </c>
      <c r="CB6" s="443">
        <v>12390401.775146203</v>
      </c>
      <c r="CC6" s="443">
        <v>12390401.775146203</v>
      </c>
      <c r="CD6" s="443">
        <v>12390401.775146203</v>
      </c>
      <c r="CE6" s="443">
        <v>12390401.775146203</v>
      </c>
      <c r="CF6" s="443">
        <v>12390401.775146203</v>
      </c>
      <c r="CG6" s="443">
        <v>12390401.775146203</v>
      </c>
      <c r="CH6" s="443">
        <v>12704012.260780502</v>
      </c>
      <c r="CI6" s="443">
        <v>12704012.260780502</v>
      </c>
      <c r="CJ6" s="443">
        <v>12704012.260780502</v>
      </c>
      <c r="CK6" s="443">
        <v>12704012.260780502</v>
      </c>
      <c r="CL6" s="443">
        <v>12704012.260780502</v>
      </c>
      <c r="CM6" s="443">
        <v>12704012.260780502</v>
      </c>
      <c r="CN6" s="443">
        <v>12704012.260780502</v>
      </c>
      <c r="CO6" s="443">
        <v>12704012.260780502</v>
      </c>
      <c r="CP6" s="443">
        <v>12704012.260780502</v>
      </c>
      <c r="CQ6" s="443">
        <v>12704012.260780502</v>
      </c>
      <c r="CR6" s="443">
        <v>12704012.260780502</v>
      </c>
      <c r="CS6" s="443">
        <v>12704012.260780502</v>
      </c>
      <c r="CT6" s="443">
        <v>13025560.466150176</v>
      </c>
      <c r="CU6" s="443">
        <v>13025560.466150176</v>
      </c>
      <c r="CV6" s="443">
        <v>13025560.466150176</v>
      </c>
      <c r="CW6" s="443">
        <v>13025560.466150176</v>
      </c>
      <c r="CX6" s="443">
        <v>13025560.466150176</v>
      </c>
      <c r="CY6" s="443">
        <v>13025560.466150176</v>
      </c>
      <c r="CZ6" s="443">
        <v>13025560.466150176</v>
      </c>
      <c r="DA6" s="443">
        <v>13025560.466150176</v>
      </c>
      <c r="DB6" s="443">
        <v>13025560.466150176</v>
      </c>
      <c r="DC6" s="443">
        <v>13025560.466150176</v>
      </c>
      <c r="DD6" s="443">
        <v>13025560.466150176</v>
      </c>
      <c r="DE6" s="443">
        <v>13025560.466150176</v>
      </c>
      <c r="DF6" s="443">
        <v>13355247.300974391</v>
      </c>
      <c r="DG6" s="443">
        <v>13355247.300974391</v>
      </c>
      <c r="DH6" s="443">
        <v>13355247.300974391</v>
      </c>
      <c r="DI6" s="443">
        <v>13355247.300974391</v>
      </c>
      <c r="DJ6" s="443">
        <v>13355247.300974391</v>
      </c>
      <c r="DK6" s="443">
        <v>13355247.300974391</v>
      </c>
      <c r="DL6" s="443">
        <v>13355247.300974391</v>
      </c>
      <c r="DM6" s="443">
        <v>13355247.300974391</v>
      </c>
      <c r="DN6" s="443">
        <v>13355247.300974391</v>
      </c>
      <c r="DO6" s="443">
        <v>13355247.300974391</v>
      </c>
      <c r="DP6" s="443">
        <v>13355247.300974391</v>
      </c>
      <c r="DQ6" s="443">
        <v>13355247.300974391</v>
      </c>
      <c r="DR6" s="443">
        <v>13693278.760150002</v>
      </c>
      <c r="DS6" s="443">
        <v>13693278.760150002</v>
      </c>
      <c r="DT6" s="443">
        <v>13693278.760150002</v>
      </c>
      <c r="DU6" s="443">
        <v>13693278.760150002</v>
      </c>
      <c r="DV6" s="443">
        <v>13693278.760150002</v>
      </c>
      <c r="DW6" s="443">
        <v>13693278.760150002</v>
      </c>
      <c r="DX6" s="443">
        <v>13693278.760150002</v>
      </c>
      <c r="DY6" s="443">
        <v>13693278.760150002</v>
      </c>
      <c r="DZ6" s="443">
        <v>13693278.760150002</v>
      </c>
      <c r="EA6" s="443">
        <v>13693278.760150002</v>
      </c>
      <c r="EB6" s="443">
        <v>13693278.760150002</v>
      </c>
      <c r="EC6" s="443">
        <v>13693278.760150002</v>
      </c>
      <c r="ED6" s="443">
        <v>14039866.052461257</v>
      </c>
      <c r="EE6" s="443">
        <v>14039866.052461257</v>
      </c>
      <c r="EF6" s="443">
        <v>14039866.052461257</v>
      </c>
      <c r="EG6" s="443">
        <v>14039866.052461257</v>
      </c>
      <c r="EH6" s="443">
        <v>14039866.052461257</v>
      </c>
      <c r="EI6" s="443">
        <v>14039866.052461257</v>
      </c>
      <c r="EJ6" s="443">
        <v>14039866.052461257</v>
      </c>
      <c r="EK6" s="443">
        <v>14039866.052461257</v>
      </c>
      <c r="EL6" s="443">
        <v>14039866.052461257</v>
      </c>
      <c r="EM6" s="443">
        <v>14039866.052461257</v>
      </c>
      <c r="EN6" s="443">
        <v>14039866.052461257</v>
      </c>
      <c r="EO6" s="443">
        <v>14039866.052461257</v>
      </c>
      <c r="EP6" s="443">
        <v>14395225.732547252</v>
      </c>
      <c r="EQ6" s="443">
        <v>14395225.732547252</v>
      </c>
      <c r="ER6" s="443">
        <v>14395225.732547252</v>
      </c>
      <c r="ES6" s="443">
        <v>14395225.732547252</v>
      </c>
      <c r="ET6" s="443">
        <v>14395225.732547252</v>
      </c>
      <c r="EU6" s="443">
        <v>14395225.732547252</v>
      </c>
      <c r="EV6" s="443">
        <v>14395225.732547252</v>
      </c>
      <c r="EW6" s="443">
        <v>14395225.732547252</v>
      </c>
      <c r="EX6" s="443">
        <v>14395225.732547252</v>
      </c>
      <c r="EY6" s="443">
        <v>14395225.732547252</v>
      </c>
      <c r="EZ6" s="443">
        <v>14395225.732547252</v>
      </c>
      <c r="FA6" s="443">
        <v>14395225.732547252</v>
      </c>
      <c r="FB6" s="443">
        <v>14759579.83620958</v>
      </c>
      <c r="FC6" s="443">
        <v>14759579.83620958</v>
      </c>
      <c r="FD6" s="443">
        <v>14759579.83620958</v>
      </c>
      <c r="FE6" s="443">
        <v>14759579.83620958</v>
      </c>
      <c r="FF6" s="443">
        <v>14759579.83620958</v>
      </c>
      <c r="FG6" s="443">
        <v>14759579.83620958</v>
      </c>
      <c r="FH6" s="443">
        <v>14759579.83620958</v>
      </c>
      <c r="FI6" s="443">
        <v>14759579.83620958</v>
      </c>
      <c r="FJ6" s="443">
        <v>14759579.83620958</v>
      </c>
      <c r="FK6" s="443">
        <v>14759579.83620958</v>
      </c>
      <c r="FL6" s="443">
        <v>14759579.83620958</v>
      </c>
      <c r="FM6" s="443">
        <v>14759579.83620958</v>
      </c>
      <c r="FN6" s="443">
        <v>15133156.019144719</v>
      </c>
      <c r="FO6" s="443">
        <v>15133156.019144719</v>
      </c>
      <c r="FP6" s="443">
        <v>15133156.019144719</v>
      </c>
      <c r="FQ6" s="443">
        <v>15133156.019144719</v>
      </c>
      <c r="FR6" s="443">
        <v>15133156.019144719</v>
      </c>
      <c r="FS6" s="443">
        <v>15133156.019144719</v>
      </c>
      <c r="FT6" s="443">
        <v>15133156.019144719</v>
      </c>
      <c r="FU6" s="443">
        <v>15133156.019144719</v>
      </c>
      <c r="FV6" s="443">
        <v>15133156.019144719</v>
      </c>
      <c r="FW6" s="443">
        <v>15133156.019144719</v>
      </c>
      <c r="FX6" s="443">
        <v>15133156.019144719</v>
      </c>
      <c r="FY6" s="443">
        <v>15133156.019144719</v>
      </c>
      <c r="FZ6" s="443">
        <v>0</v>
      </c>
      <c r="GA6" s="443">
        <v>0</v>
      </c>
      <c r="GB6" s="443">
        <v>0</v>
      </c>
      <c r="GC6" s="443">
        <v>0</v>
      </c>
      <c r="GD6" s="443">
        <v>0</v>
      </c>
      <c r="GE6" s="443">
        <v>0</v>
      </c>
      <c r="GF6" s="443">
        <v>0</v>
      </c>
      <c r="GG6" s="443">
        <v>0</v>
      </c>
      <c r="GH6" s="443">
        <v>0</v>
      </c>
      <c r="GI6" s="443">
        <v>0</v>
      </c>
      <c r="GJ6" s="443">
        <v>0</v>
      </c>
      <c r="GK6" s="443">
        <v>0</v>
      </c>
      <c r="GL6" s="442">
        <v>12084533.059173401</v>
      </c>
      <c r="GM6" s="443">
        <v>12084533.059173401</v>
      </c>
      <c r="GN6" s="443">
        <v>12084533.059173401</v>
      </c>
      <c r="GO6" s="443">
        <v>12084533.059173401</v>
      </c>
      <c r="GP6" s="443">
        <v>12084533.059173401</v>
      </c>
      <c r="GQ6" s="443">
        <v>12084533.059173401</v>
      </c>
      <c r="GR6" s="443">
        <v>12084533.059173401</v>
      </c>
      <c r="GS6" s="443">
        <v>12084533.059173401</v>
      </c>
      <c r="GT6" s="443">
        <v>12084533.059173401</v>
      </c>
      <c r="GU6" s="443">
        <v>12084533.059173401</v>
      </c>
      <c r="GV6" s="443">
        <v>12084533.059173401</v>
      </c>
      <c r="GW6" s="443">
        <v>12084533.059173401</v>
      </c>
      <c r="GX6" s="443">
        <v>12390401.775146203</v>
      </c>
      <c r="GY6" s="443">
        <v>12390401.775146203</v>
      </c>
      <c r="GZ6" s="443">
        <v>12390401.775146203</v>
      </c>
      <c r="HA6" s="443">
        <v>12390401.775146203</v>
      </c>
      <c r="HB6" s="443">
        <v>12390401.775146203</v>
      </c>
      <c r="HC6" s="443">
        <v>12390401.775146203</v>
      </c>
      <c r="HD6" s="443">
        <v>12390401.775146203</v>
      </c>
      <c r="HE6" s="443">
        <v>12390401.775146203</v>
      </c>
      <c r="HF6" s="443">
        <v>12390401.775146203</v>
      </c>
      <c r="HG6" s="443">
        <v>12390401.775146203</v>
      </c>
      <c r="HH6" s="443">
        <v>12390401.775146203</v>
      </c>
      <c r="HI6" s="443">
        <v>12390401.775146203</v>
      </c>
      <c r="HJ6" s="443">
        <v>12704012.260780502</v>
      </c>
      <c r="HK6" s="443">
        <v>12704012.260780502</v>
      </c>
      <c r="HL6" s="443">
        <v>12704012.260780502</v>
      </c>
      <c r="HM6" s="443">
        <v>12704012.260780502</v>
      </c>
      <c r="HN6" s="443">
        <v>12704012.260780502</v>
      </c>
      <c r="HO6" s="443">
        <v>12704012.260780502</v>
      </c>
      <c r="HP6" s="443">
        <v>12704012.260780502</v>
      </c>
      <c r="HQ6" s="443">
        <v>12704012.260780502</v>
      </c>
      <c r="HR6" s="443">
        <v>12704012.260780502</v>
      </c>
      <c r="HS6" s="443">
        <v>12704012.260780502</v>
      </c>
      <c r="HT6" s="443">
        <v>12704012.260780502</v>
      </c>
      <c r="HU6" s="443">
        <v>12704012.260780502</v>
      </c>
      <c r="HV6" s="443">
        <v>13025560.466150176</v>
      </c>
      <c r="HW6" s="443">
        <v>13025560.466150176</v>
      </c>
      <c r="HX6" s="443">
        <v>13025560.466150176</v>
      </c>
      <c r="HY6" s="443">
        <v>13025560.466150176</v>
      </c>
      <c r="HZ6" s="443">
        <v>13025560.466150176</v>
      </c>
      <c r="IA6" s="443">
        <v>13025560.466150176</v>
      </c>
      <c r="IB6" s="443">
        <v>13025560.466150176</v>
      </c>
      <c r="IC6" s="443">
        <v>13025560.466150176</v>
      </c>
      <c r="ID6" s="443">
        <v>13025560.466150176</v>
      </c>
      <c r="IE6" s="443">
        <v>13025560.466150176</v>
      </c>
      <c r="IF6" s="443">
        <v>13025560.466150176</v>
      </c>
      <c r="IG6" s="443">
        <v>13025560.466150176</v>
      </c>
      <c r="IH6" s="443">
        <v>13355247.300974391</v>
      </c>
      <c r="II6" s="443">
        <v>13355247.300974391</v>
      </c>
      <c r="IJ6" s="443">
        <v>13355247.300974391</v>
      </c>
      <c r="IK6" s="443">
        <v>13355247.300974391</v>
      </c>
      <c r="IL6" s="443">
        <v>13355247.300974391</v>
      </c>
      <c r="IM6" s="443">
        <v>13355247.300974391</v>
      </c>
      <c r="IN6" s="443">
        <v>13355247.300974391</v>
      </c>
      <c r="IO6" s="443">
        <v>13355247.300974391</v>
      </c>
      <c r="IP6" s="443">
        <v>13355247.300974391</v>
      </c>
      <c r="IQ6" s="443">
        <v>13355247.300974391</v>
      </c>
      <c r="IR6" s="443">
        <v>13355247.300974391</v>
      </c>
      <c r="IS6" s="443">
        <v>13355247.300974391</v>
      </c>
      <c r="IT6" s="443">
        <v>13693278.760150002</v>
      </c>
      <c r="IU6" s="443">
        <v>13693278.760150002</v>
      </c>
      <c r="IV6" s="443">
        <v>13693278.760150002</v>
      </c>
      <c r="IW6" s="443">
        <v>13693278.760150002</v>
      </c>
      <c r="IX6" s="443">
        <v>13693278.760150002</v>
      </c>
      <c r="IY6" s="443">
        <v>13693278.760150002</v>
      </c>
      <c r="IZ6" s="443">
        <v>13693278.760150002</v>
      </c>
      <c r="JA6" s="443">
        <v>13693278.760150002</v>
      </c>
      <c r="JB6" s="443">
        <v>13693278.760150002</v>
      </c>
      <c r="JC6" s="443">
        <v>13693278.760150002</v>
      </c>
      <c r="JD6" s="443">
        <v>13693278.760150002</v>
      </c>
      <c r="JE6" s="443">
        <v>13693278.760150002</v>
      </c>
      <c r="JF6" s="443">
        <v>14039866.052461257</v>
      </c>
      <c r="JG6" s="443">
        <v>14039866.052461257</v>
      </c>
      <c r="JH6" s="443">
        <v>14039866.052461257</v>
      </c>
      <c r="JI6" s="443">
        <v>14039866.052461257</v>
      </c>
      <c r="JJ6" s="443">
        <v>14039866.052461257</v>
      </c>
      <c r="JK6" s="443">
        <v>14039866.052461257</v>
      </c>
      <c r="JL6" s="443">
        <v>14039866.052461257</v>
      </c>
      <c r="JM6" s="443">
        <v>14039866.052461257</v>
      </c>
      <c r="JN6" s="443">
        <v>14039866.052461257</v>
      </c>
      <c r="JO6" s="443">
        <v>14039866.052461257</v>
      </c>
      <c r="JP6" s="443">
        <v>14039866.052461257</v>
      </c>
      <c r="JQ6" s="443">
        <v>14039866.052461257</v>
      </c>
      <c r="JR6" s="443">
        <v>14395225.732547252</v>
      </c>
      <c r="JS6" s="443">
        <v>14395225.732547252</v>
      </c>
      <c r="JT6" s="443">
        <v>14395225.732547252</v>
      </c>
      <c r="JU6" s="443">
        <v>14395225.732547252</v>
      </c>
      <c r="JV6" s="443">
        <v>14395225.732547252</v>
      </c>
      <c r="JW6" s="443">
        <v>14395225.732547252</v>
      </c>
      <c r="JX6" s="443">
        <v>14395225.732547252</v>
      </c>
      <c r="JY6" s="443">
        <v>14395225.732547252</v>
      </c>
      <c r="JZ6" s="443">
        <v>14395225.732547252</v>
      </c>
      <c r="KA6" s="443">
        <v>14395225.732547252</v>
      </c>
      <c r="KB6" s="443">
        <v>14395225.732547252</v>
      </c>
      <c r="KC6" s="443">
        <v>14395225.732547252</v>
      </c>
      <c r="KD6" s="443">
        <v>14759579.83620958</v>
      </c>
      <c r="KE6" s="443">
        <v>14759579.83620958</v>
      </c>
      <c r="KF6" s="443">
        <v>14759579.83620958</v>
      </c>
      <c r="KG6" s="443">
        <v>14759579.83620958</v>
      </c>
      <c r="KH6" s="443">
        <v>14759579.83620958</v>
      </c>
      <c r="KI6" s="443">
        <v>14759579.83620958</v>
      </c>
      <c r="KJ6" s="443">
        <v>14759579.83620958</v>
      </c>
      <c r="KK6" s="443">
        <v>14759579.83620958</v>
      </c>
      <c r="KL6" s="443">
        <v>14759579.83620958</v>
      </c>
      <c r="KM6" s="443">
        <v>14759579.83620958</v>
      </c>
      <c r="KN6" s="443">
        <v>14759579.83620958</v>
      </c>
      <c r="KO6" s="443">
        <v>14759579.83620958</v>
      </c>
      <c r="KP6" s="443">
        <v>15133156.019144719</v>
      </c>
      <c r="KQ6" s="443">
        <v>15133156.019144719</v>
      </c>
      <c r="KR6" s="443">
        <v>15133156.019144719</v>
      </c>
      <c r="KS6" s="443">
        <v>15133156.019144719</v>
      </c>
      <c r="KT6" s="443">
        <v>15133156.019144719</v>
      </c>
      <c r="KU6" s="443">
        <v>15133156.019144719</v>
      </c>
      <c r="KV6" s="443">
        <v>15133156.019144719</v>
      </c>
      <c r="KW6" s="443">
        <v>15133156.019144719</v>
      </c>
      <c r="KX6" s="443">
        <v>15133156.019144719</v>
      </c>
      <c r="KY6" s="443">
        <v>15133156.019144719</v>
      </c>
      <c r="KZ6" s="443">
        <v>15133156.019144719</v>
      </c>
      <c r="LA6" s="33">
        <v>15133156.019144719</v>
      </c>
      <c r="LB6" s="27"/>
    </row>
    <row r="7" spans="1:314">
      <c r="A7" s="459" t="s">
        <v>984</v>
      </c>
      <c r="B7" s="463" t="s">
        <v>1185</v>
      </c>
      <c r="C7" s="463" t="s">
        <v>159</v>
      </c>
      <c r="D7" s="456" t="s">
        <v>1202</v>
      </c>
      <c r="E7" s="463" t="s">
        <v>159</v>
      </c>
      <c r="F7" s="456"/>
      <c r="G7" s="456"/>
      <c r="H7" s="456"/>
      <c r="I7" s="456"/>
      <c r="J7" s="456" t="s">
        <v>1417</v>
      </c>
      <c r="K7" s="456">
        <v>0</v>
      </c>
      <c r="L7" s="456" t="s">
        <v>899</v>
      </c>
      <c r="M7" s="470">
        <v>5</v>
      </c>
      <c r="N7" s="470">
        <v>5</v>
      </c>
      <c r="O7" s="470">
        <v>5</v>
      </c>
      <c r="P7" s="470">
        <v>5</v>
      </c>
      <c r="Q7" s="470">
        <v>5</v>
      </c>
      <c r="R7" s="470">
        <v>5</v>
      </c>
      <c r="S7" s="470">
        <v>5</v>
      </c>
      <c r="T7" s="470">
        <v>5</v>
      </c>
      <c r="U7" s="470">
        <v>5</v>
      </c>
      <c r="V7" s="470">
        <v>5</v>
      </c>
      <c r="W7" s="470">
        <v>0</v>
      </c>
      <c r="X7" s="457">
        <v>0</v>
      </c>
      <c r="Y7" s="472">
        <v>2416906.6118346802</v>
      </c>
      <c r="Z7" s="472">
        <v>2478080.3550292407</v>
      </c>
      <c r="AA7" s="472">
        <v>2540802.4521561004</v>
      </c>
      <c r="AB7" s="472">
        <v>2605112.0932300352</v>
      </c>
      <c r="AC7" s="472">
        <v>2671049.4601948783</v>
      </c>
      <c r="AD7" s="472">
        <v>2738655.7520300006</v>
      </c>
      <c r="AE7" s="472">
        <v>2807973.2104922514</v>
      </c>
      <c r="AF7" s="472">
        <v>2879045.1465094504</v>
      </c>
      <c r="AG7" s="472">
        <v>2951915.9672419159</v>
      </c>
      <c r="AH7" s="472">
        <v>3026631.2038289439</v>
      </c>
      <c r="AI7" s="472">
        <v>0</v>
      </c>
      <c r="AJ7" s="457">
        <v>12</v>
      </c>
      <c r="AK7" s="457">
        <v>12</v>
      </c>
      <c r="AL7" s="457">
        <v>12</v>
      </c>
      <c r="AM7" s="457">
        <v>12</v>
      </c>
      <c r="AN7" s="457">
        <v>12</v>
      </c>
      <c r="AO7" s="457">
        <v>12</v>
      </c>
      <c r="AP7" s="457">
        <v>12</v>
      </c>
      <c r="AQ7" s="457">
        <v>12</v>
      </c>
      <c r="AR7" s="457">
        <v>12</v>
      </c>
      <c r="AS7" s="457">
        <v>12</v>
      </c>
      <c r="AT7" s="457"/>
      <c r="AU7" s="458">
        <v>1</v>
      </c>
      <c r="AV7" s="510">
        <v>1.02531076</v>
      </c>
      <c r="AW7" s="456">
        <v>0</v>
      </c>
      <c r="AX7" s="443">
        <v>1626970335.1528497</v>
      </c>
      <c r="AY7" s="443">
        <v>145014396.71008083</v>
      </c>
      <c r="AZ7" s="443">
        <v>148684821.30175444</v>
      </c>
      <c r="BA7" s="443">
        <v>152448147.12936601</v>
      </c>
      <c r="BB7" s="443">
        <v>156306725.59380212</v>
      </c>
      <c r="BC7" s="443">
        <v>160262967.61169273</v>
      </c>
      <c r="BD7" s="443">
        <v>164319345.12180007</v>
      </c>
      <c r="BE7" s="443">
        <v>168478392.62953508</v>
      </c>
      <c r="BF7" s="443">
        <v>172742708.79056701</v>
      </c>
      <c r="BG7" s="443">
        <v>177114958.03451496</v>
      </c>
      <c r="BH7" s="443">
        <v>181597872.2297366</v>
      </c>
      <c r="BI7" s="443">
        <v>0</v>
      </c>
      <c r="BJ7" s="442">
        <v>12084533.059173401</v>
      </c>
      <c r="BK7" s="443">
        <v>12084533.059173401</v>
      </c>
      <c r="BL7" s="443">
        <v>12084533.059173401</v>
      </c>
      <c r="BM7" s="443">
        <v>12084533.059173401</v>
      </c>
      <c r="BN7" s="443">
        <v>12084533.059173401</v>
      </c>
      <c r="BO7" s="443">
        <v>12084533.059173401</v>
      </c>
      <c r="BP7" s="443">
        <v>12084533.059173401</v>
      </c>
      <c r="BQ7" s="443">
        <v>12084533.059173401</v>
      </c>
      <c r="BR7" s="443">
        <v>12084533.059173401</v>
      </c>
      <c r="BS7" s="443">
        <v>12084533.059173401</v>
      </c>
      <c r="BT7" s="443">
        <v>12084533.059173401</v>
      </c>
      <c r="BU7" s="443">
        <v>12084533.059173401</v>
      </c>
      <c r="BV7" s="443">
        <v>12390401.775146203</v>
      </c>
      <c r="BW7" s="443">
        <v>12390401.775146203</v>
      </c>
      <c r="BX7" s="443">
        <v>12390401.775146203</v>
      </c>
      <c r="BY7" s="443">
        <v>12390401.775146203</v>
      </c>
      <c r="BZ7" s="443">
        <v>12390401.775146203</v>
      </c>
      <c r="CA7" s="443">
        <v>12390401.775146203</v>
      </c>
      <c r="CB7" s="443">
        <v>12390401.775146203</v>
      </c>
      <c r="CC7" s="443">
        <v>12390401.775146203</v>
      </c>
      <c r="CD7" s="443">
        <v>12390401.775146203</v>
      </c>
      <c r="CE7" s="443">
        <v>12390401.775146203</v>
      </c>
      <c r="CF7" s="443">
        <v>12390401.775146203</v>
      </c>
      <c r="CG7" s="443">
        <v>12390401.775146203</v>
      </c>
      <c r="CH7" s="443">
        <v>12704012.260780502</v>
      </c>
      <c r="CI7" s="443">
        <v>12704012.260780502</v>
      </c>
      <c r="CJ7" s="443">
        <v>12704012.260780502</v>
      </c>
      <c r="CK7" s="443">
        <v>12704012.260780502</v>
      </c>
      <c r="CL7" s="443">
        <v>12704012.260780502</v>
      </c>
      <c r="CM7" s="443">
        <v>12704012.260780502</v>
      </c>
      <c r="CN7" s="443">
        <v>12704012.260780502</v>
      </c>
      <c r="CO7" s="443">
        <v>12704012.260780502</v>
      </c>
      <c r="CP7" s="443">
        <v>12704012.260780502</v>
      </c>
      <c r="CQ7" s="443">
        <v>12704012.260780502</v>
      </c>
      <c r="CR7" s="443">
        <v>12704012.260780502</v>
      </c>
      <c r="CS7" s="443">
        <v>12704012.260780502</v>
      </c>
      <c r="CT7" s="443">
        <v>13025560.466150176</v>
      </c>
      <c r="CU7" s="443">
        <v>13025560.466150176</v>
      </c>
      <c r="CV7" s="443">
        <v>13025560.466150176</v>
      </c>
      <c r="CW7" s="443">
        <v>13025560.466150176</v>
      </c>
      <c r="CX7" s="443">
        <v>13025560.466150176</v>
      </c>
      <c r="CY7" s="443">
        <v>13025560.466150176</v>
      </c>
      <c r="CZ7" s="443">
        <v>13025560.466150176</v>
      </c>
      <c r="DA7" s="443">
        <v>13025560.466150176</v>
      </c>
      <c r="DB7" s="443">
        <v>13025560.466150176</v>
      </c>
      <c r="DC7" s="443">
        <v>13025560.466150176</v>
      </c>
      <c r="DD7" s="443">
        <v>13025560.466150176</v>
      </c>
      <c r="DE7" s="443">
        <v>13025560.466150176</v>
      </c>
      <c r="DF7" s="443">
        <v>13355247.300974391</v>
      </c>
      <c r="DG7" s="443">
        <v>13355247.300974391</v>
      </c>
      <c r="DH7" s="443">
        <v>13355247.300974391</v>
      </c>
      <c r="DI7" s="443">
        <v>13355247.300974391</v>
      </c>
      <c r="DJ7" s="443">
        <v>13355247.300974391</v>
      </c>
      <c r="DK7" s="443">
        <v>13355247.300974391</v>
      </c>
      <c r="DL7" s="443">
        <v>13355247.300974391</v>
      </c>
      <c r="DM7" s="443">
        <v>13355247.300974391</v>
      </c>
      <c r="DN7" s="443">
        <v>13355247.300974391</v>
      </c>
      <c r="DO7" s="443">
        <v>13355247.300974391</v>
      </c>
      <c r="DP7" s="443">
        <v>13355247.300974391</v>
      </c>
      <c r="DQ7" s="443">
        <v>13355247.300974391</v>
      </c>
      <c r="DR7" s="443">
        <v>13693278.760150002</v>
      </c>
      <c r="DS7" s="443">
        <v>13693278.760150002</v>
      </c>
      <c r="DT7" s="443">
        <v>13693278.760150002</v>
      </c>
      <c r="DU7" s="443">
        <v>13693278.760150002</v>
      </c>
      <c r="DV7" s="443">
        <v>13693278.760150002</v>
      </c>
      <c r="DW7" s="443">
        <v>13693278.760150002</v>
      </c>
      <c r="DX7" s="443">
        <v>13693278.760150002</v>
      </c>
      <c r="DY7" s="443">
        <v>13693278.760150002</v>
      </c>
      <c r="DZ7" s="443">
        <v>13693278.760150002</v>
      </c>
      <c r="EA7" s="443">
        <v>13693278.760150002</v>
      </c>
      <c r="EB7" s="443">
        <v>13693278.760150002</v>
      </c>
      <c r="EC7" s="443">
        <v>13693278.760150002</v>
      </c>
      <c r="ED7" s="443">
        <v>14039866.052461257</v>
      </c>
      <c r="EE7" s="443">
        <v>14039866.052461257</v>
      </c>
      <c r="EF7" s="443">
        <v>14039866.052461257</v>
      </c>
      <c r="EG7" s="443">
        <v>14039866.052461257</v>
      </c>
      <c r="EH7" s="443">
        <v>14039866.052461257</v>
      </c>
      <c r="EI7" s="443">
        <v>14039866.052461257</v>
      </c>
      <c r="EJ7" s="443">
        <v>14039866.052461257</v>
      </c>
      <c r="EK7" s="443">
        <v>14039866.052461257</v>
      </c>
      <c r="EL7" s="443">
        <v>14039866.052461257</v>
      </c>
      <c r="EM7" s="443">
        <v>14039866.052461257</v>
      </c>
      <c r="EN7" s="443">
        <v>14039866.052461257</v>
      </c>
      <c r="EO7" s="443">
        <v>14039866.052461257</v>
      </c>
      <c r="EP7" s="443">
        <v>14395225.732547252</v>
      </c>
      <c r="EQ7" s="443">
        <v>14395225.732547252</v>
      </c>
      <c r="ER7" s="443">
        <v>14395225.732547252</v>
      </c>
      <c r="ES7" s="443">
        <v>14395225.732547252</v>
      </c>
      <c r="ET7" s="443">
        <v>14395225.732547252</v>
      </c>
      <c r="EU7" s="443">
        <v>14395225.732547252</v>
      </c>
      <c r="EV7" s="443">
        <v>14395225.732547252</v>
      </c>
      <c r="EW7" s="443">
        <v>14395225.732547252</v>
      </c>
      <c r="EX7" s="443">
        <v>14395225.732547252</v>
      </c>
      <c r="EY7" s="443">
        <v>14395225.732547252</v>
      </c>
      <c r="EZ7" s="443">
        <v>14395225.732547252</v>
      </c>
      <c r="FA7" s="443">
        <v>14395225.732547252</v>
      </c>
      <c r="FB7" s="443">
        <v>14759579.83620958</v>
      </c>
      <c r="FC7" s="443">
        <v>14759579.83620958</v>
      </c>
      <c r="FD7" s="443">
        <v>14759579.83620958</v>
      </c>
      <c r="FE7" s="443">
        <v>14759579.83620958</v>
      </c>
      <c r="FF7" s="443">
        <v>14759579.83620958</v>
      </c>
      <c r="FG7" s="443">
        <v>14759579.83620958</v>
      </c>
      <c r="FH7" s="443">
        <v>14759579.83620958</v>
      </c>
      <c r="FI7" s="443">
        <v>14759579.83620958</v>
      </c>
      <c r="FJ7" s="443">
        <v>14759579.83620958</v>
      </c>
      <c r="FK7" s="443">
        <v>14759579.83620958</v>
      </c>
      <c r="FL7" s="443">
        <v>14759579.83620958</v>
      </c>
      <c r="FM7" s="443">
        <v>14759579.83620958</v>
      </c>
      <c r="FN7" s="443">
        <v>15133156.019144719</v>
      </c>
      <c r="FO7" s="443">
        <v>15133156.019144719</v>
      </c>
      <c r="FP7" s="443">
        <v>15133156.019144719</v>
      </c>
      <c r="FQ7" s="443">
        <v>15133156.019144719</v>
      </c>
      <c r="FR7" s="443">
        <v>15133156.019144719</v>
      </c>
      <c r="FS7" s="443">
        <v>15133156.019144719</v>
      </c>
      <c r="FT7" s="443">
        <v>15133156.019144719</v>
      </c>
      <c r="FU7" s="443">
        <v>15133156.019144719</v>
      </c>
      <c r="FV7" s="443">
        <v>15133156.019144719</v>
      </c>
      <c r="FW7" s="443">
        <v>15133156.019144719</v>
      </c>
      <c r="FX7" s="443">
        <v>15133156.019144719</v>
      </c>
      <c r="FY7" s="443">
        <v>15133156.019144719</v>
      </c>
      <c r="FZ7" s="443">
        <v>0</v>
      </c>
      <c r="GA7" s="443">
        <v>0</v>
      </c>
      <c r="GB7" s="443">
        <v>0</v>
      </c>
      <c r="GC7" s="443">
        <v>0</v>
      </c>
      <c r="GD7" s="443">
        <v>0</v>
      </c>
      <c r="GE7" s="443">
        <v>0</v>
      </c>
      <c r="GF7" s="443">
        <v>0</v>
      </c>
      <c r="GG7" s="443">
        <v>0</v>
      </c>
      <c r="GH7" s="443">
        <v>0</v>
      </c>
      <c r="GI7" s="443">
        <v>0</v>
      </c>
      <c r="GJ7" s="443">
        <v>0</v>
      </c>
      <c r="GK7" s="443">
        <v>0</v>
      </c>
      <c r="GL7" s="442">
        <v>12084533.059173401</v>
      </c>
      <c r="GM7" s="443">
        <v>12084533.059173401</v>
      </c>
      <c r="GN7" s="443">
        <v>12084533.059173401</v>
      </c>
      <c r="GO7" s="443">
        <v>12084533.059173401</v>
      </c>
      <c r="GP7" s="443">
        <v>12084533.059173401</v>
      </c>
      <c r="GQ7" s="443">
        <v>12084533.059173401</v>
      </c>
      <c r="GR7" s="443">
        <v>12084533.059173401</v>
      </c>
      <c r="GS7" s="443">
        <v>12084533.059173401</v>
      </c>
      <c r="GT7" s="443">
        <v>12084533.059173401</v>
      </c>
      <c r="GU7" s="443">
        <v>12084533.059173401</v>
      </c>
      <c r="GV7" s="443">
        <v>12084533.059173401</v>
      </c>
      <c r="GW7" s="443">
        <v>12084533.059173401</v>
      </c>
      <c r="GX7" s="443">
        <v>12390401.775146203</v>
      </c>
      <c r="GY7" s="443">
        <v>12390401.775146203</v>
      </c>
      <c r="GZ7" s="443">
        <v>12390401.775146203</v>
      </c>
      <c r="HA7" s="443">
        <v>12390401.775146203</v>
      </c>
      <c r="HB7" s="443">
        <v>12390401.775146203</v>
      </c>
      <c r="HC7" s="443">
        <v>12390401.775146203</v>
      </c>
      <c r="HD7" s="443">
        <v>12390401.775146203</v>
      </c>
      <c r="HE7" s="443">
        <v>12390401.775146203</v>
      </c>
      <c r="HF7" s="443">
        <v>12390401.775146203</v>
      </c>
      <c r="HG7" s="443">
        <v>12390401.775146203</v>
      </c>
      <c r="HH7" s="443">
        <v>12390401.775146203</v>
      </c>
      <c r="HI7" s="443">
        <v>12390401.775146203</v>
      </c>
      <c r="HJ7" s="443">
        <v>12704012.260780502</v>
      </c>
      <c r="HK7" s="443">
        <v>12704012.260780502</v>
      </c>
      <c r="HL7" s="443">
        <v>12704012.260780502</v>
      </c>
      <c r="HM7" s="443">
        <v>12704012.260780502</v>
      </c>
      <c r="HN7" s="443">
        <v>12704012.260780502</v>
      </c>
      <c r="HO7" s="443">
        <v>12704012.260780502</v>
      </c>
      <c r="HP7" s="443">
        <v>12704012.260780502</v>
      </c>
      <c r="HQ7" s="443">
        <v>12704012.260780502</v>
      </c>
      <c r="HR7" s="443">
        <v>12704012.260780502</v>
      </c>
      <c r="HS7" s="443">
        <v>12704012.260780502</v>
      </c>
      <c r="HT7" s="443">
        <v>12704012.260780502</v>
      </c>
      <c r="HU7" s="443">
        <v>12704012.260780502</v>
      </c>
      <c r="HV7" s="443">
        <v>13025560.466150176</v>
      </c>
      <c r="HW7" s="443">
        <v>13025560.466150176</v>
      </c>
      <c r="HX7" s="443">
        <v>13025560.466150176</v>
      </c>
      <c r="HY7" s="443">
        <v>13025560.466150176</v>
      </c>
      <c r="HZ7" s="443">
        <v>13025560.466150176</v>
      </c>
      <c r="IA7" s="443">
        <v>13025560.466150176</v>
      </c>
      <c r="IB7" s="443">
        <v>13025560.466150176</v>
      </c>
      <c r="IC7" s="443">
        <v>13025560.466150176</v>
      </c>
      <c r="ID7" s="443">
        <v>13025560.466150176</v>
      </c>
      <c r="IE7" s="443">
        <v>13025560.466150176</v>
      </c>
      <c r="IF7" s="443">
        <v>13025560.466150176</v>
      </c>
      <c r="IG7" s="443">
        <v>13025560.466150176</v>
      </c>
      <c r="IH7" s="443">
        <v>13355247.300974391</v>
      </c>
      <c r="II7" s="443">
        <v>13355247.300974391</v>
      </c>
      <c r="IJ7" s="443">
        <v>13355247.300974391</v>
      </c>
      <c r="IK7" s="443">
        <v>13355247.300974391</v>
      </c>
      <c r="IL7" s="443">
        <v>13355247.300974391</v>
      </c>
      <c r="IM7" s="443">
        <v>13355247.300974391</v>
      </c>
      <c r="IN7" s="443">
        <v>13355247.300974391</v>
      </c>
      <c r="IO7" s="443">
        <v>13355247.300974391</v>
      </c>
      <c r="IP7" s="443">
        <v>13355247.300974391</v>
      </c>
      <c r="IQ7" s="443">
        <v>13355247.300974391</v>
      </c>
      <c r="IR7" s="443">
        <v>13355247.300974391</v>
      </c>
      <c r="IS7" s="443">
        <v>13355247.300974391</v>
      </c>
      <c r="IT7" s="443">
        <v>13693278.760150002</v>
      </c>
      <c r="IU7" s="443">
        <v>13693278.760150002</v>
      </c>
      <c r="IV7" s="443">
        <v>13693278.760150002</v>
      </c>
      <c r="IW7" s="443">
        <v>13693278.760150002</v>
      </c>
      <c r="IX7" s="443">
        <v>13693278.760150002</v>
      </c>
      <c r="IY7" s="443">
        <v>13693278.760150002</v>
      </c>
      <c r="IZ7" s="443">
        <v>13693278.760150002</v>
      </c>
      <c r="JA7" s="443">
        <v>13693278.760150002</v>
      </c>
      <c r="JB7" s="443">
        <v>13693278.760150002</v>
      </c>
      <c r="JC7" s="443">
        <v>13693278.760150002</v>
      </c>
      <c r="JD7" s="443">
        <v>13693278.760150002</v>
      </c>
      <c r="JE7" s="443">
        <v>13693278.760150002</v>
      </c>
      <c r="JF7" s="443">
        <v>14039866.052461257</v>
      </c>
      <c r="JG7" s="443">
        <v>14039866.052461257</v>
      </c>
      <c r="JH7" s="443">
        <v>14039866.052461257</v>
      </c>
      <c r="JI7" s="443">
        <v>14039866.052461257</v>
      </c>
      <c r="JJ7" s="443">
        <v>14039866.052461257</v>
      </c>
      <c r="JK7" s="443">
        <v>14039866.052461257</v>
      </c>
      <c r="JL7" s="443">
        <v>14039866.052461257</v>
      </c>
      <c r="JM7" s="443">
        <v>14039866.052461257</v>
      </c>
      <c r="JN7" s="443">
        <v>14039866.052461257</v>
      </c>
      <c r="JO7" s="443">
        <v>14039866.052461257</v>
      </c>
      <c r="JP7" s="443">
        <v>14039866.052461257</v>
      </c>
      <c r="JQ7" s="443">
        <v>14039866.052461257</v>
      </c>
      <c r="JR7" s="443">
        <v>14395225.732547252</v>
      </c>
      <c r="JS7" s="443">
        <v>14395225.732547252</v>
      </c>
      <c r="JT7" s="443">
        <v>14395225.732547252</v>
      </c>
      <c r="JU7" s="443">
        <v>14395225.732547252</v>
      </c>
      <c r="JV7" s="443">
        <v>14395225.732547252</v>
      </c>
      <c r="JW7" s="443">
        <v>14395225.732547252</v>
      </c>
      <c r="JX7" s="443">
        <v>14395225.732547252</v>
      </c>
      <c r="JY7" s="443">
        <v>14395225.732547252</v>
      </c>
      <c r="JZ7" s="443">
        <v>14395225.732547252</v>
      </c>
      <c r="KA7" s="443">
        <v>14395225.732547252</v>
      </c>
      <c r="KB7" s="443">
        <v>14395225.732547252</v>
      </c>
      <c r="KC7" s="443">
        <v>14395225.732547252</v>
      </c>
      <c r="KD7" s="443">
        <v>14759579.83620958</v>
      </c>
      <c r="KE7" s="443">
        <v>14759579.83620958</v>
      </c>
      <c r="KF7" s="443">
        <v>14759579.83620958</v>
      </c>
      <c r="KG7" s="443">
        <v>14759579.83620958</v>
      </c>
      <c r="KH7" s="443">
        <v>14759579.83620958</v>
      </c>
      <c r="KI7" s="443">
        <v>14759579.83620958</v>
      </c>
      <c r="KJ7" s="443">
        <v>14759579.83620958</v>
      </c>
      <c r="KK7" s="443">
        <v>14759579.83620958</v>
      </c>
      <c r="KL7" s="443">
        <v>14759579.83620958</v>
      </c>
      <c r="KM7" s="443">
        <v>14759579.83620958</v>
      </c>
      <c r="KN7" s="443">
        <v>14759579.83620958</v>
      </c>
      <c r="KO7" s="443">
        <v>14759579.83620958</v>
      </c>
      <c r="KP7" s="443">
        <v>15133156.019144719</v>
      </c>
      <c r="KQ7" s="443">
        <v>15133156.019144719</v>
      </c>
      <c r="KR7" s="443">
        <v>15133156.019144719</v>
      </c>
      <c r="KS7" s="443">
        <v>15133156.019144719</v>
      </c>
      <c r="KT7" s="443">
        <v>15133156.019144719</v>
      </c>
      <c r="KU7" s="443">
        <v>15133156.019144719</v>
      </c>
      <c r="KV7" s="443">
        <v>15133156.019144719</v>
      </c>
      <c r="KW7" s="443">
        <v>15133156.019144719</v>
      </c>
      <c r="KX7" s="443">
        <v>15133156.019144719</v>
      </c>
      <c r="KY7" s="443">
        <v>15133156.019144719</v>
      </c>
      <c r="KZ7" s="443">
        <v>15133156.019144719</v>
      </c>
      <c r="LA7" s="33">
        <v>15133156.019144719</v>
      </c>
      <c r="LB7" s="27"/>
    </row>
    <row r="8" spans="1:314">
      <c r="A8" s="459" t="s">
        <v>985</v>
      </c>
      <c r="B8" s="463" t="s">
        <v>1185</v>
      </c>
      <c r="C8" s="463" t="s">
        <v>159</v>
      </c>
      <c r="D8" s="456" t="s">
        <v>1203</v>
      </c>
      <c r="E8" s="463" t="s">
        <v>159</v>
      </c>
      <c r="F8" s="456"/>
      <c r="G8" s="456"/>
      <c r="H8" s="456"/>
      <c r="I8" s="456"/>
      <c r="J8" s="456" t="s">
        <v>1417</v>
      </c>
      <c r="K8" s="456">
        <v>0</v>
      </c>
      <c r="L8" s="456" t="s">
        <v>899</v>
      </c>
      <c r="M8" s="470">
        <v>25</v>
      </c>
      <c r="N8" s="470">
        <v>25</v>
      </c>
      <c r="O8" s="470">
        <v>25</v>
      </c>
      <c r="P8" s="470">
        <v>25</v>
      </c>
      <c r="Q8" s="470">
        <v>25</v>
      </c>
      <c r="R8" s="470">
        <v>25</v>
      </c>
      <c r="S8" s="470">
        <v>25</v>
      </c>
      <c r="T8" s="470">
        <v>25</v>
      </c>
      <c r="U8" s="470">
        <v>25</v>
      </c>
      <c r="V8" s="470">
        <v>25</v>
      </c>
      <c r="W8" s="470">
        <v>0</v>
      </c>
      <c r="X8" s="457">
        <v>0</v>
      </c>
      <c r="Y8" s="472">
        <v>2475400.5906926799</v>
      </c>
      <c r="Z8" s="472">
        <v>2538054.8609475605</v>
      </c>
      <c r="AA8" s="472">
        <v>2602294.9583998374</v>
      </c>
      <c r="AB8" s="472">
        <v>2668161.0215411056</v>
      </c>
      <c r="AC8" s="472">
        <v>2735694.2047986872</v>
      </c>
      <c r="AD8" s="472">
        <v>2804936.7042497378</v>
      </c>
      <c r="AE8" s="472">
        <v>2875931.7839861941</v>
      </c>
      <c r="AF8" s="472">
        <v>2948723.8031470403</v>
      </c>
      <c r="AG8" s="472">
        <v>3023358.2436347823</v>
      </c>
      <c r="AH8" s="472">
        <v>3099881.7385334438</v>
      </c>
      <c r="AI8" s="472">
        <v>0</v>
      </c>
      <c r="AJ8" s="457">
        <v>12</v>
      </c>
      <c r="AK8" s="457">
        <v>12</v>
      </c>
      <c r="AL8" s="457">
        <v>12</v>
      </c>
      <c r="AM8" s="457">
        <v>12</v>
      </c>
      <c r="AN8" s="457">
        <v>12</v>
      </c>
      <c r="AO8" s="457">
        <v>12</v>
      </c>
      <c r="AP8" s="457">
        <v>12</v>
      </c>
      <c r="AQ8" s="457">
        <v>12</v>
      </c>
      <c r="AR8" s="457">
        <v>12</v>
      </c>
      <c r="AS8" s="457">
        <v>12</v>
      </c>
      <c r="AT8" s="457"/>
      <c r="AU8" s="458">
        <v>1</v>
      </c>
      <c r="AV8" s="510">
        <v>1.02531076</v>
      </c>
      <c r="AW8" s="456">
        <v>0</v>
      </c>
      <c r="AX8" s="443">
        <v>8331731372.9793205</v>
      </c>
      <c r="AY8" s="443">
        <v>742620177.2078042</v>
      </c>
      <c r="AZ8" s="443">
        <v>761416458.28426826</v>
      </c>
      <c r="BA8" s="443">
        <v>780688487.51995134</v>
      </c>
      <c r="BB8" s="443">
        <v>800448306.46233141</v>
      </c>
      <c r="BC8" s="443">
        <v>820708261.43960631</v>
      </c>
      <c r="BD8" s="443">
        <v>841481011.27492154</v>
      </c>
      <c r="BE8" s="443">
        <v>862779535.19585848</v>
      </c>
      <c r="BF8" s="443">
        <v>884617140.94411194</v>
      </c>
      <c r="BG8" s="443">
        <v>907007473.09043467</v>
      </c>
      <c r="BH8" s="443">
        <v>929964521.5600332</v>
      </c>
      <c r="BI8" s="443">
        <v>0</v>
      </c>
      <c r="BJ8" s="442">
        <v>61885014.767316997</v>
      </c>
      <c r="BK8" s="443">
        <v>61885014.767316997</v>
      </c>
      <c r="BL8" s="443">
        <v>61885014.767316997</v>
      </c>
      <c r="BM8" s="443">
        <v>61885014.767316997</v>
      </c>
      <c r="BN8" s="443">
        <v>61885014.767316997</v>
      </c>
      <c r="BO8" s="443">
        <v>61885014.767316997</v>
      </c>
      <c r="BP8" s="443">
        <v>61885014.767316997</v>
      </c>
      <c r="BQ8" s="443">
        <v>61885014.767316997</v>
      </c>
      <c r="BR8" s="443">
        <v>61885014.767316997</v>
      </c>
      <c r="BS8" s="443">
        <v>61885014.767316997</v>
      </c>
      <c r="BT8" s="443">
        <v>61885014.767316997</v>
      </c>
      <c r="BU8" s="443">
        <v>61885014.767316997</v>
      </c>
      <c r="BV8" s="443">
        <v>63451371.523689017</v>
      </c>
      <c r="BW8" s="443">
        <v>63451371.523689017</v>
      </c>
      <c r="BX8" s="443">
        <v>63451371.523689017</v>
      </c>
      <c r="BY8" s="443">
        <v>63451371.523689017</v>
      </c>
      <c r="BZ8" s="443">
        <v>63451371.523689017</v>
      </c>
      <c r="CA8" s="443">
        <v>63451371.523689017</v>
      </c>
      <c r="CB8" s="443">
        <v>63451371.523689017</v>
      </c>
      <c r="CC8" s="443">
        <v>63451371.523689017</v>
      </c>
      <c r="CD8" s="443">
        <v>63451371.523689017</v>
      </c>
      <c r="CE8" s="443">
        <v>63451371.523689017</v>
      </c>
      <c r="CF8" s="443">
        <v>63451371.523689017</v>
      </c>
      <c r="CG8" s="443">
        <v>63451371.523689017</v>
      </c>
      <c r="CH8" s="443">
        <v>65057373.959995933</v>
      </c>
      <c r="CI8" s="443">
        <v>65057373.959995933</v>
      </c>
      <c r="CJ8" s="443">
        <v>65057373.959995933</v>
      </c>
      <c r="CK8" s="443">
        <v>65057373.959995933</v>
      </c>
      <c r="CL8" s="443">
        <v>65057373.959995933</v>
      </c>
      <c r="CM8" s="443">
        <v>65057373.959995933</v>
      </c>
      <c r="CN8" s="443">
        <v>65057373.959995933</v>
      </c>
      <c r="CO8" s="443">
        <v>65057373.959995933</v>
      </c>
      <c r="CP8" s="443">
        <v>65057373.959995933</v>
      </c>
      <c r="CQ8" s="443">
        <v>65057373.959995933</v>
      </c>
      <c r="CR8" s="443">
        <v>65057373.959995933</v>
      </c>
      <c r="CS8" s="443">
        <v>65057373.959995933</v>
      </c>
      <c r="CT8" s="443">
        <v>66704025.538527638</v>
      </c>
      <c r="CU8" s="443">
        <v>66704025.538527638</v>
      </c>
      <c r="CV8" s="443">
        <v>66704025.538527638</v>
      </c>
      <c r="CW8" s="443">
        <v>66704025.538527638</v>
      </c>
      <c r="CX8" s="443">
        <v>66704025.538527638</v>
      </c>
      <c r="CY8" s="443">
        <v>66704025.538527638</v>
      </c>
      <c r="CZ8" s="443">
        <v>66704025.538527638</v>
      </c>
      <c r="DA8" s="443">
        <v>66704025.538527638</v>
      </c>
      <c r="DB8" s="443">
        <v>66704025.538527638</v>
      </c>
      <c r="DC8" s="443">
        <v>66704025.538527638</v>
      </c>
      <c r="DD8" s="443">
        <v>66704025.538527638</v>
      </c>
      <c r="DE8" s="443">
        <v>66704025.538527638</v>
      </c>
      <c r="DF8" s="443">
        <v>68392355.119967178</v>
      </c>
      <c r="DG8" s="443">
        <v>68392355.119967178</v>
      </c>
      <c r="DH8" s="443">
        <v>68392355.119967178</v>
      </c>
      <c r="DI8" s="443">
        <v>68392355.119967178</v>
      </c>
      <c r="DJ8" s="443">
        <v>68392355.119967178</v>
      </c>
      <c r="DK8" s="443">
        <v>68392355.119967178</v>
      </c>
      <c r="DL8" s="443">
        <v>68392355.119967178</v>
      </c>
      <c r="DM8" s="443">
        <v>68392355.119967178</v>
      </c>
      <c r="DN8" s="443">
        <v>68392355.119967178</v>
      </c>
      <c r="DO8" s="443">
        <v>68392355.119967178</v>
      </c>
      <c r="DP8" s="443">
        <v>68392355.119967178</v>
      </c>
      <c r="DQ8" s="443">
        <v>68392355.119967178</v>
      </c>
      <c r="DR8" s="443">
        <v>70123417.606243446</v>
      </c>
      <c r="DS8" s="443">
        <v>70123417.606243446</v>
      </c>
      <c r="DT8" s="443">
        <v>70123417.606243446</v>
      </c>
      <c r="DU8" s="443">
        <v>70123417.606243446</v>
      </c>
      <c r="DV8" s="443">
        <v>70123417.606243446</v>
      </c>
      <c r="DW8" s="443">
        <v>70123417.606243446</v>
      </c>
      <c r="DX8" s="443">
        <v>70123417.606243446</v>
      </c>
      <c r="DY8" s="443">
        <v>70123417.606243446</v>
      </c>
      <c r="DZ8" s="443">
        <v>70123417.606243446</v>
      </c>
      <c r="EA8" s="443">
        <v>70123417.606243446</v>
      </c>
      <c r="EB8" s="443">
        <v>70123417.606243446</v>
      </c>
      <c r="EC8" s="443">
        <v>70123417.606243446</v>
      </c>
      <c r="ED8" s="443">
        <v>71898294.599654853</v>
      </c>
      <c r="EE8" s="443">
        <v>71898294.599654853</v>
      </c>
      <c r="EF8" s="443">
        <v>71898294.599654853</v>
      </c>
      <c r="EG8" s="443">
        <v>71898294.599654853</v>
      </c>
      <c r="EH8" s="443">
        <v>71898294.599654853</v>
      </c>
      <c r="EI8" s="443">
        <v>71898294.599654853</v>
      </c>
      <c r="EJ8" s="443">
        <v>71898294.599654853</v>
      </c>
      <c r="EK8" s="443">
        <v>71898294.599654853</v>
      </c>
      <c r="EL8" s="443">
        <v>71898294.599654853</v>
      </c>
      <c r="EM8" s="443">
        <v>71898294.599654853</v>
      </c>
      <c r="EN8" s="443">
        <v>71898294.599654853</v>
      </c>
      <c r="EO8" s="443">
        <v>71898294.599654853</v>
      </c>
      <c r="EP8" s="443">
        <v>73718095.078676015</v>
      </c>
      <c r="EQ8" s="443">
        <v>73718095.078676015</v>
      </c>
      <c r="ER8" s="443">
        <v>73718095.078676015</v>
      </c>
      <c r="ES8" s="443">
        <v>73718095.078676015</v>
      </c>
      <c r="ET8" s="443">
        <v>73718095.078676015</v>
      </c>
      <c r="EU8" s="443">
        <v>73718095.078676015</v>
      </c>
      <c r="EV8" s="443">
        <v>73718095.078676015</v>
      </c>
      <c r="EW8" s="443">
        <v>73718095.078676015</v>
      </c>
      <c r="EX8" s="443">
        <v>73718095.078676015</v>
      </c>
      <c r="EY8" s="443">
        <v>73718095.078676015</v>
      </c>
      <c r="EZ8" s="443">
        <v>73718095.078676015</v>
      </c>
      <c r="FA8" s="443">
        <v>73718095.078676015</v>
      </c>
      <c r="FB8" s="443">
        <v>75583956.090869561</v>
      </c>
      <c r="FC8" s="443">
        <v>75583956.090869561</v>
      </c>
      <c r="FD8" s="443">
        <v>75583956.090869561</v>
      </c>
      <c r="FE8" s="443">
        <v>75583956.090869561</v>
      </c>
      <c r="FF8" s="443">
        <v>75583956.090869561</v>
      </c>
      <c r="FG8" s="443">
        <v>75583956.090869561</v>
      </c>
      <c r="FH8" s="443">
        <v>75583956.090869561</v>
      </c>
      <c r="FI8" s="443">
        <v>75583956.090869561</v>
      </c>
      <c r="FJ8" s="443">
        <v>75583956.090869561</v>
      </c>
      <c r="FK8" s="443">
        <v>75583956.090869561</v>
      </c>
      <c r="FL8" s="443">
        <v>75583956.090869561</v>
      </c>
      <c r="FM8" s="443">
        <v>75583956.090869561</v>
      </c>
      <c r="FN8" s="443">
        <v>77497043.463336095</v>
      </c>
      <c r="FO8" s="443">
        <v>77497043.463336095</v>
      </c>
      <c r="FP8" s="443">
        <v>77497043.463336095</v>
      </c>
      <c r="FQ8" s="443">
        <v>77497043.463336095</v>
      </c>
      <c r="FR8" s="443">
        <v>77497043.463336095</v>
      </c>
      <c r="FS8" s="443">
        <v>77497043.463336095</v>
      </c>
      <c r="FT8" s="443">
        <v>77497043.463336095</v>
      </c>
      <c r="FU8" s="443">
        <v>77497043.463336095</v>
      </c>
      <c r="FV8" s="443">
        <v>77497043.463336095</v>
      </c>
      <c r="FW8" s="443">
        <v>77497043.463336095</v>
      </c>
      <c r="FX8" s="443">
        <v>77497043.463336095</v>
      </c>
      <c r="FY8" s="443">
        <v>77497043.463336095</v>
      </c>
      <c r="FZ8" s="443">
        <v>0</v>
      </c>
      <c r="GA8" s="443">
        <v>0</v>
      </c>
      <c r="GB8" s="443">
        <v>0</v>
      </c>
      <c r="GC8" s="443">
        <v>0</v>
      </c>
      <c r="GD8" s="443">
        <v>0</v>
      </c>
      <c r="GE8" s="443">
        <v>0</v>
      </c>
      <c r="GF8" s="443">
        <v>0</v>
      </c>
      <c r="GG8" s="443">
        <v>0</v>
      </c>
      <c r="GH8" s="443">
        <v>0</v>
      </c>
      <c r="GI8" s="443">
        <v>0</v>
      </c>
      <c r="GJ8" s="443">
        <v>0</v>
      </c>
      <c r="GK8" s="443">
        <v>0</v>
      </c>
      <c r="GL8" s="442">
        <v>61885014.767316997</v>
      </c>
      <c r="GM8" s="443">
        <v>61885014.767316997</v>
      </c>
      <c r="GN8" s="443">
        <v>61885014.767316997</v>
      </c>
      <c r="GO8" s="443">
        <v>61885014.767316997</v>
      </c>
      <c r="GP8" s="443">
        <v>61885014.767316997</v>
      </c>
      <c r="GQ8" s="443">
        <v>61885014.767316997</v>
      </c>
      <c r="GR8" s="443">
        <v>61885014.767316997</v>
      </c>
      <c r="GS8" s="443">
        <v>61885014.767316997</v>
      </c>
      <c r="GT8" s="443">
        <v>61885014.767316997</v>
      </c>
      <c r="GU8" s="443">
        <v>61885014.767316997</v>
      </c>
      <c r="GV8" s="443">
        <v>61885014.767316997</v>
      </c>
      <c r="GW8" s="443">
        <v>61885014.767316997</v>
      </c>
      <c r="GX8" s="443">
        <v>63451371.523689017</v>
      </c>
      <c r="GY8" s="443">
        <v>63451371.523689017</v>
      </c>
      <c r="GZ8" s="443">
        <v>63451371.523689017</v>
      </c>
      <c r="HA8" s="443">
        <v>63451371.523689017</v>
      </c>
      <c r="HB8" s="443">
        <v>63451371.523689017</v>
      </c>
      <c r="HC8" s="443">
        <v>63451371.523689017</v>
      </c>
      <c r="HD8" s="443">
        <v>63451371.523689017</v>
      </c>
      <c r="HE8" s="443">
        <v>63451371.523689017</v>
      </c>
      <c r="HF8" s="443">
        <v>63451371.523689017</v>
      </c>
      <c r="HG8" s="443">
        <v>63451371.523689017</v>
      </c>
      <c r="HH8" s="443">
        <v>63451371.523689017</v>
      </c>
      <c r="HI8" s="443">
        <v>63451371.523689017</v>
      </c>
      <c r="HJ8" s="443">
        <v>65057373.959995933</v>
      </c>
      <c r="HK8" s="443">
        <v>65057373.959995933</v>
      </c>
      <c r="HL8" s="443">
        <v>65057373.959995933</v>
      </c>
      <c r="HM8" s="443">
        <v>65057373.959995933</v>
      </c>
      <c r="HN8" s="443">
        <v>65057373.959995933</v>
      </c>
      <c r="HO8" s="443">
        <v>65057373.959995933</v>
      </c>
      <c r="HP8" s="443">
        <v>65057373.959995933</v>
      </c>
      <c r="HQ8" s="443">
        <v>65057373.959995933</v>
      </c>
      <c r="HR8" s="443">
        <v>65057373.959995933</v>
      </c>
      <c r="HS8" s="443">
        <v>65057373.959995933</v>
      </c>
      <c r="HT8" s="443">
        <v>65057373.959995933</v>
      </c>
      <c r="HU8" s="443">
        <v>65057373.959995933</v>
      </c>
      <c r="HV8" s="443">
        <v>66704025.538527638</v>
      </c>
      <c r="HW8" s="443">
        <v>66704025.538527638</v>
      </c>
      <c r="HX8" s="443">
        <v>66704025.538527638</v>
      </c>
      <c r="HY8" s="443">
        <v>66704025.538527638</v>
      </c>
      <c r="HZ8" s="443">
        <v>66704025.538527638</v>
      </c>
      <c r="IA8" s="443">
        <v>66704025.538527638</v>
      </c>
      <c r="IB8" s="443">
        <v>66704025.538527638</v>
      </c>
      <c r="IC8" s="443">
        <v>66704025.538527638</v>
      </c>
      <c r="ID8" s="443">
        <v>66704025.538527638</v>
      </c>
      <c r="IE8" s="443">
        <v>66704025.538527638</v>
      </c>
      <c r="IF8" s="443">
        <v>66704025.538527638</v>
      </c>
      <c r="IG8" s="443">
        <v>66704025.538527638</v>
      </c>
      <c r="IH8" s="443">
        <v>68392355.119967178</v>
      </c>
      <c r="II8" s="443">
        <v>68392355.119967178</v>
      </c>
      <c r="IJ8" s="443">
        <v>68392355.119967178</v>
      </c>
      <c r="IK8" s="443">
        <v>68392355.119967178</v>
      </c>
      <c r="IL8" s="443">
        <v>68392355.119967178</v>
      </c>
      <c r="IM8" s="443">
        <v>68392355.119967178</v>
      </c>
      <c r="IN8" s="443">
        <v>68392355.119967178</v>
      </c>
      <c r="IO8" s="443">
        <v>68392355.119967178</v>
      </c>
      <c r="IP8" s="443">
        <v>68392355.119967178</v>
      </c>
      <c r="IQ8" s="443">
        <v>68392355.119967178</v>
      </c>
      <c r="IR8" s="443">
        <v>68392355.119967178</v>
      </c>
      <c r="IS8" s="443">
        <v>68392355.119967178</v>
      </c>
      <c r="IT8" s="443">
        <v>70123417.606243446</v>
      </c>
      <c r="IU8" s="443">
        <v>70123417.606243446</v>
      </c>
      <c r="IV8" s="443">
        <v>70123417.606243446</v>
      </c>
      <c r="IW8" s="443">
        <v>70123417.606243446</v>
      </c>
      <c r="IX8" s="443">
        <v>70123417.606243446</v>
      </c>
      <c r="IY8" s="443">
        <v>70123417.606243446</v>
      </c>
      <c r="IZ8" s="443">
        <v>70123417.606243446</v>
      </c>
      <c r="JA8" s="443">
        <v>70123417.606243446</v>
      </c>
      <c r="JB8" s="443">
        <v>70123417.606243446</v>
      </c>
      <c r="JC8" s="443">
        <v>70123417.606243446</v>
      </c>
      <c r="JD8" s="443">
        <v>70123417.606243446</v>
      </c>
      <c r="JE8" s="443">
        <v>70123417.606243446</v>
      </c>
      <c r="JF8" s="443">
        <v>71898294.599654853</v>
      </c>
      <c r="JG8" s="443">
        <v>71898294.599654853</v>
      </c>
      <c r="JH8" s="443">
        <v>71898294.599654853</v>
      </c>
      <c r="JI8" s="443">
        <v>71898294.599654853</v>
      </c>
      <c r="JJ8" s="443">
        <v>71898294.599654853</v>
      </c>
      <c r="JK8" s="443">
        <v>71898294.599654853</v>
      </c>
      <c r="JL8" s="443">
        <v>71898294.599654853</v>
      </c>
      <c r="JM8" s="443">
        <v>71898294.599654853</v>
      </c>
      <c r="JN8" s="443">
        <v>71898294.599654853</v>
      </c>
      <c r="JO8" s="443">
        <v>71898294.599654853</v>
      </c>
      <c r="JP8" s="443">
        <v>71898294.599654853</v>
      </c>
      <c r="JQ8" s="443">
        <v>71898294.599654853</v>
      </c>
      <c r="JR8" s="443">
        <v>73718095.078676015</v>
      </c>
      <c r="JS8" s="443">
        <v>73718095.078676015</v>
      </c>
      <c r="JT8" s="443">
        <v>73718095.078676015</v>
      </c>
      <c r="JU8" s="443">
        <v>73718095.078676015</v>
      </c>
      <c r="JV8" s="443">
        <v>73718095.078676015</v>
      </c>
      <c r="JW8" s="443">
        <v>73718095.078676015</v>
      </c>
      <c r="JX8" s="443">
        <v>73718095.078676015</v>
      </c>
      <c r="JY8" s="443">
        <v>73718095.078676015</v>
      </c>
      <c r="JZ8" s="443">
        <v>73718095.078676015</v>
      </c>
      <c r="KA8" s="443">
        <v>73718095.078676015</v>
      </c>
      <c r="KB8" s="443">
        <v>73718095.078676015</v>
      </c>
      <c r="KC8" s="443">
        <v>73718095.078676015</v>
      </c>
      <c r="KD8" s="443">
        <v>75583956.090869561</v>
      </c>
      <c r="KE8" s="443">
        <v>75583956.090869561</v>
      </c>
      <c r="KF8" s="443">
        <v>75583956.090869561</v>
      </c>
      <c r="KG8" s="443">
        <v>75583956.090869561</v>
      </c>
      <c r="KH8" s="443">
        <v>75583956.090869561</v>
      </c>
      <c r="KI8" s="443">
        <v>75583956.090869561</v>
      </c>
      <c r="KJ8" s="443">
        <v>75583956.090869561</v>
      </c>
      <c r="KK8" s="443">
        <v>75583956.090869561</v>
      </c>
      <c r="KL8" s="443">
        <v>75583956.090869561</v>
      </c>
      <c r="KM8" s="443">
        <v>75583956.090869561</v>
      </c>
      <c r="KN8" s="443">
        <v>75583956.090869561</v>
      </c>
      <c r="KO8" s="443">
        <v>75583956.090869561</v>
      </c>
      <c r="KP8" s="443">
        <v>77497043.463336095</v>
      </c>
      <c r="KQ8" s="443">
        <v>77497043.463336095</v>
      </c>
      <c r="KR8" s="443">
        <v>77497043.463336095</v>
      </c>
      <c r="KS8" s="443">
        <v>77497043.463336095</v>
      </c>
      <c r="KT8" s="443">
        <v>77497043.463336095</v>
      </c>
      <c r="KU8" s="443">
        <v>77497043.463336095</v>
      </c>
      <c r="KV8" s="443">
        <v>77497043.463336095</v>
      </c>
      <c r="KW8" s="443">
        <v>77497043.463336095</v>
      </c>
      <c r="KX8" s="443">
        <v>77497043.463336095</v>
      </c>
      <c r="KY8" s="443">
        <v>77497043.463336095</v>
      </c>
      <c r="KZ8" s="443">
        <v>77497043.463336095</v>
      </c>
      <c r="LA8" s="33">
        <v>77497043.463336095</v>
      </c>
      <c r="LB8" s="27"/>
    </row>
    <row r="9" spans="1:314">
      <c r="A9" s="459" t="s">
        <v>986</v>
      </c>
      <c r="B9" s="463" t="s">
        <v>1185</v>
      </c>
      <c r="C9" s="463" t="s">
        <v>159</v>
      </c>
      <c r="D9" s="456" t="s">
        <v>1203</v>
      </c>
      <c r="E9" s="463" t="s">
        <v>1204</v>
      </c>
      <c r="F9" s="456"/>
      <c r="G9" s="456"/>
      <c r="H9" s="456"/>
      <c r="I9" s="456"/>
      <c r="J9" s="456" t="s">
        <v>1417</v>
      </c>
      <c r="K9" s="456">
        <v>0</v>
      </c>
      <c r="L9" s="456" t="s">
        <v>899</v>
      </c>
      <c r="M9" s="470">
        <v>1</v>
      </c>
      <c r="N9" s="470">
        <v>1</v>
      </c>
      <c r="O9" s="470">
        <v>1</v>
      </c>
      <c r="P9" s="470">
        <v>1</v>
      </c>
      <c r="Q9" s="470">
        <v>1</v>
      </c>
      <c r="R9" s="470">
        <v>1</v>
      </c>
      <c r="S9" s="470">
        <v>1</v>
      </c>
      <c r="T9" s="470">
        <v>1</v>
      </c>
      <c r="U9" s="470">
        <v>1</v>
      </c>
      <c r="V9" s="470">
        <v>1</v>
      </c>
      <c r="W9" s="470">
        <v>0</v>
      </c>
      <c r="X9" s="457">
        <v>0</v>
      </c>
      <c r="Y9" s="472">
        <v>2890361.2855476001</v>
      </c>
      <c r="Z9" s="472">
        <v>2963518.5263593867</v>
      </c>
      <c r="AA9" s="472">
        <v>3038527.4325356227</v>
      </c>
      <c r="AB9" s="472">
        <v>3115434.8711339482</v>
      </c>
      <c r="AC9" s="472">
        <v>3194288.8954528505</v>
      </c>
      <c r="AD9" s="472">
        <v>3275138.7750563226</v>
      </c>
      <c r="AE9" s="472">
        <v>3358035.0265584672</v>
      </c>
      <c r="AF9" s="472">
        <v>3443029.4451872823</v>
      </c>
      <c r="AG9" s="472">
        <v>3530175.1371473507</v>
      </c>
      <c r="AH9" s="472">
        <v>3619526.5528016542</v>
      </c>
      <c r="AI9" s="472">
        <v>0</v>
      </c>
      <c r="AJ9" s="457">
        <v>12</v>
      </c>
      <c r="AK9" s="457">
        <v>12</v>
      </c>
      <c r="AL9" s="457">
        <v>12</v>
      </c>
      <c r="AM9" s="457">
        <v>12</v>
      </c>
      <c r="AN9" s="457">
        <v>12</v>
      </c>
      <c r="AO9" s="457">
        <v>12</v>
      </c>
      <c r="AP9" s="457">
        <v>12</v>
      </c>
      <c r="AQ9" s="457">
        <v>12</v>
      </c>
      <c r="AR9" s="457">
        <v>12</v>
      </c>
      <c r="AS9" s="457">
        <v>12</v>
      </c>
      <c r="AT9" s="457"/>
      <c r="AU9" s="458">
        <v>1</v>
      </c>
      <c r="AV9" s="510">
        <v>1.02531076</v>
      </c>
      <c r="AW9" s="456">
        <v>0</v>
      </c>
      <c r="AX9" s="443">
        <v>389136431.37336582</v>
      </c>
      <c r="AY9" s="443">
        <v>34684335.426571198</v>
      </c>
      <c r="AZ9" s="443">
        <v>35562222.316312641</v>
      </c>
      <c r="BA9" s="443">
        <v>36462329.190427475</v>
      </c>
      <c r="BB9" s="443">
        <v>37385218.45360738</v>
      </c>
      <c r="BC9" s="443">
        <v>38331466.745434202</v>
      </c>
      <c r="BD9" s="443">
        <v>39301665.300675869</v>
      </c>
      <c r="BE9" s="443">
        <v>40296420.318701603</v>
      </c>
      <c r="BF9" s="443">
        <v>41316353.342247397</v>
      </c>
      <c r="BG9" s="443">
        <v>42362101.645768218</v>
      </c>
      <c r="BH9" s="443">
        <v>43434318.633619852</v>
      </c>
      <c r="BI9" s="443">
        <v>0</v>
      </c>
      <c r="BJ9" s="442">
        <v>2890361.2855476001</v>
      </c>
      <c r="BK9" s="443">
        <v>2890361.2855476001</v>
      </c>
      <c r="BL9" s="443">
        <v>2890361.2855476001</v>
      </c>
      <c r="BM9" s="443">
        <v>2890361.2855476001</v>
      </c>
      <c r="BN9" s="443">
        <v>2890361.2855476001</v>
      </c>
      <c r="BO9" s="443">
        <v>2890361.2855476001</v>
      </c>
      <c r="BP9" s="443">
        <v>2890361.2855476001</v>
      </c>
      <c r="BQ9" s="443">
        <v>2890361.2855476001</v>
      </c>
      <c r="BR9" s="443">
        <v>2890361.2855476001</v>
      </c>
      <c r="BS9" s="443">
        <v>2890361.2855476001</v>
      </c>
      <c r="BT9" s="443">
        <v>2890361.2855476001</v>
      </c>
      <c r="BU9" s="443">
        <v>2890361.2855476001</v>
      </c>
      <c r="BV9" s="443">
        <v>2963518.5263593867</v>
      </c>
      <c r="BW9" s="443">
        <v>2963518.5263593867</v>
      </c>
      <c r="BX9" s="443">
        <v>2963518.5263593867</v>
      </c>
      <c r="BY9" s="443">
        <v>2963518.5263593867</v>
      </c>
      <c r="BZ9" s="443">
        <v>2963518.5263593867</v>
      </c>
      <c r="CA9" s="443">
        <v>2963518.5263593867</v>
      </c>
      <c r="CB9" s="443">
        <v>2963518.5263593867</v>
      </c>
      <c r="CC9" s="443">
        <v>2963518.5263593867</v>
      </c>
      <c r="CD9" s="443">
        <v>2963518.5263593867</v>
      </c>
      <c r="CE9" s="443">
        <v>2963518.5263593867</v>
      </c>
      <c r="CF9" s="443">
        <v>2963518.5263593867</v>
      </c>
      <c r="CG9" s="443">
        <v>2963518.5263593867</v>
      </c>
      <c r="CH9" s="443">
        <v>3038527.4325356227</v>
      </c>
      <c r="CI9" s="443">
        <v>3038527.4325356227</v>
      </c>
      <c r="CJ9" s="443">
        <v>3038527.4325356227</v>
      </c>
      <c r="CK9" s="443">
        <v>3038527.4325356227</v>
      </c>
      <c r="CL9" s="443">
        <v>3038527.4325356227</v>
      </c>
      <c r="CM9" s="443">
        <v>3038527.4325356227</v>
      </c>
      <c r="CN9" s="443">
        <v>3038527.4325356227</v>
      </c>
      <c r="CO9" s="443">
        <v>3038527.4325356227</v>
      </c>
      <c r="CP9" s="443">
        <v>3038527.4325356227</v>
      </c>
      <c r="CQ9" s="443">
        <v>3038527.4325356227</v>
      </c>
      <c r="CR9" s="443">
        <v>3038527.4325356227</v>
      </c>
      <c r="CS9" s="443">
        <v>3038527.4325356227</v>
      </c>
      <c r="CT9" s="443">
        <v>3115434.8711339482</v>
      </c>
      <c r="CU9" s="443">
        <v>3115434.8711339482</v>
      </c>
      <c r="CV9" s="443">
        <v>3115434.8711339482</v>
      </c>
      <c r="CW9" s="443">
        <v>3115434.8711339482</v>
      </c>
      <c r="CX9" s="443">
        <v>3115434.8711339482</v>
      </c>
      <c r="CY9" s="443">
        <v>3115434.8711339482</v>
      </c>
      <c r="CZ9" s="443">
        <v>3115434.8711339482</v>
      </c>
      <c r="DA9" s="443">
        <v>3115434.8711339482</v>
      </c>
      <c r="DB9" s="443">
        <v>3115434.8711339482</v>
      </c>
      <c r="DC9" s="443">
        <v>3115434.8711339482</v>
      </c>
      <c r="DD9" s="443">
        <v>3115434.8711339482</v>
      </c>
      <c r="DE9" s="443">
        <v>3115434.8711339482</v>
      </c>
      <c r="DF9" s="443">
        <v>3194288.8954528505</v>
      </c>
      <c r="DG9" s="443">
        <v>3194288.8954528505</v>
      </c>
      <c r="DH9" s="443">
        <v>3194288.8954528505</v>
      </c>
      <c r="DI9" s="443">
        <v>3194288.8954528505</v>
      </c>
      <c r="DJ9" s="443">
        <v>3194288.8954528505</v>
      </c>
      <c r="DK9" s="443">
        <v>3194288.8954528505</v>
      </c>
      <c r="DL9" s="443">
        <v>3194288.8954528505</v>
      </c>
      <c r="DM9" s="443">
        <v>3194288.8954528505</v>
      </c>
      <c r="DN9" s="443">
        <v>3194288.8954528505</v>
      </c>
      <c r="DO9" s="443">
        <v>3194288.8954528505</v>
      </c>
      <c r="DP9" s="443">
        <v>3194288.8954528505</v>
      </c>
      <c r="DQ9" s="443">
        <v>3194288.8954528505</v>
      </c>
      <c r="DR9" s="443">
        <v>3275138.7750563226</v>
      </c>
      <c r="DS9" s="443">
        <v>3275138.7750563226</v>
      </c>
      <c r="DT9" s="443">
        <v>3275138.7750563226</v>
      </c>
      <c r="DU9" s="443">
        <v>3275138.7750563226</v>
      </c>
      <c r="DV9" s="443">
        <v>3275138.7750563226</v>
      </c>
      <c r="DW9" s="443">
        <v>3275138.7750563226</v>
      </c>
      <c r="DX9" s="443">
        <v>3275138.7750563226</v>
      </c>
      <c r="DY9" s="443">
        <v>3275138.7750563226</v>
      </c>
      <c r="DZ9" s="443">
        <v>3275138.7750563226</v>
      </c>
      <c r="EA9" s="443">
        <v>3275138.7750563226</v>
      </c>
      <c r="EB9" s="443">
        <v>3275138.7750563226</v>
      </c>
      <c r="EC9" s="443">
        <v>3275138.7750563226</v>
      </c>
      <c r="ED9" s="443">
        <v>3358035.0265584672</v>
      </c>
      <c r="EE9" s="443">
        <v>3358035.0265584672</v>
      </c>
      <c r="EF9" s="443">
        <v>3358035.0265584672</v>
      </c>
      <c r="EG9" s="443">
        <v>3358035.0265584672</v>
      </c>
      <c r="EH9" s="443">
        <v>3358035.0265584672</v>
      </c>
      <c r="EI9" s="443">
        <v>3358035.0265584672</v>
      </c>
      <c r="EJ9" s="443">
        <v>3358035.0265584672</v>
      </c>
      <c r="EK9" s="443">
        <v>3358035.0265584672</v>
      </c>
      <c r="EL9" s="443">
        <v>3358035.0265584672</v>
      </c>
      <c r="EM9" s="443">
        <v>3358035.0265584672</v>
      </c>
      <c r="EN9" s="443">
        <v>3358035.0265584672</v>
      </c>
      <c r="EO9" s="443">
        <v>3358035.0265584672</v>
      </c>
      <c r="EP9" s="443">
        <v>3443029.4451872823</v>
      </c>
      <c r="EQ9" s="443">
        <v>3443029.4451872823</v>
      </c>
      <c r="ER9" s="443">
        <v>3443029.4451872823</v>
      </c>
      <c r="ES9" s="443">
        <v>3443029.4451872823</v>
      </c>
      <c r="ET9" s="443">
        <v>3443029.4451872823</v>
      </c>
      <c r="EU9" s="443">
        <v>3443029.4451872823</v>
      </c>
      <c r="EV9" s="443">
        <v>3443029.4451872823</v>
      </c>
      <c r="EW9" s="443">
        <v>3443029.4451872823</v>
      </c>
      <c r="EX9" s="443">
        <v>3443029.4451872823</v>
      </c>
      <c r="EY9" s="443">
        <v>3443029.4451872823</v>
      </c>
      <c r="EZ9" s="443">
        <v>3443029.4451872823</v>
      </c>
      <c r="FA9" s="443">
        <v>3443029.4451872823</v>
      </c>
      <c r="FB9" s="443">
        <v>3530175.1371473507</v>
      </c>
      <c r="FC9" s="443">
        <v>3530175.1371473507</v>
      </c>
      <c r="FD9" s="443">
        <v>3530175.1371473507</v>
      </c>
      <c r="FE9" s="443">
        <v>3530175.1371473507</v>
      </c>
      <c r="FF9" s="443">
        <v>3530175.1371473507</v>
      </c>
      <c r="FG9" s="443">
        <v>3530175.1371473507</v>
      </c>
      <c r="FH9" s="443">
        <v>3530175.1371473507</v>
      </c>
      <c r="FI9" s="443">
        <v>3530175.1371473507</v>
      </c>
      <c r="FJ9" s="443">
        <v>3530175.1371473507</v>
      </c>
      <c r="FK9" s="443">
        <v>3530175.1371473507</v>
      </c>
      <c r="FL9" s="443">
        <v>3530175.1371473507</v>
      </c>
      <c r="FM9" s="443">
        <v>3530175.1371473507</v>
      </c>
      <c r="FN9" s="443">
        <v>3619526.5528016542</v>
      </c>
      <c r="FO9" s="443">
        <v>3619526.5528016542</v>
      </c>
      <c r="FP9" s="443">
        <v>3619526.5528016542</v>
      </c>
      <c r="FQ9" s="443">
        <v>3619526.5528016542</v>
      </c>
      <c r="FR9" s="443">
        <v>3619526.5528016542</v>
      </c>
      <c r="FS9" s="443">
        <v>3619526.5528016542</v>
      </c>
      <c r="FT9" s="443">
        <v>3619526.5528016542</v>
      </c>
      <c r="FU9" s="443">
        <v>3619526.5528016542</v>
      </c>
      <c r="FV9" s="443">
        <v>3619526.5528016542</v>
      </c>
      <c r="FW9" s="443">
        <v>3619526.5528016542</v>
      </c>
      <c r="FX9" s="443">
        <v>3619526.5528016542</v>
      </c>
      <c r="FY9" s="443">
        <v>3619526.5528016542</v>
      </c>
      <c r="FZ9" s="443">
        <v>0</v>
      </c>
      <c r="GA9" s="443">
        <v>0</v>
      </c>
      <c r="GB9" s="443">
        <v>0</v>
      </c>
      <c r="GC9" s="443">
        <v>0</v>
      </c>
      <c r="GD9" s="443">
        <v>0</v>
      </c>
      <c r="GE9" s="443">
        <v>0</v>
      </c>
      <c r="GF9" s="443">
        <v>0</v>
      </c>
      <c r="GG9" s="443">
        <v>0</v>
      </c>
      <c r="GH9" s="443">
        <v>0</v>
      </c>
      <c r="GI9" s="443">
        <v>0</v>
      </c>
      <c r="GJ9" s="443">
        <v>0</v>
      </c>
      <c r="GK9" s="443">
        <v>0</v>
      </c>
      <c r="GL9" s="442">
        <v>2890361.2855476001</v>
      </c>
      <c r="GM9" s="443">
        <v>2890361.2855476001</v>
      </c>
      <c r="GN9" s="443">
        <v>2890361.2855476001</v>
      </c>
      <c r="GO9" s="443">
        <v>2890361.2855476001</v>
      </c>
      <c r="GP9" s="443">
        <v>2890361.2855476001</v>
      </c>
      <c r="GQ9" s="443">
        <v>2890361.2855476001</v>
      </c>
      <c r="GR9" s="443">
        <v>2890361.2855476001</v>
      </c>
      <c r="GS9" s="443">
        <v>2890361.2855476001</v>
      </c>
      <c r="GT9" s="443">
        <v>2890361.2855476001</v>
      </c>
      <c r="GU9" s="443">
        <v>2890361.2855476001</v>
      </c>
      <c r="GV9" s="443">
        <v>2890361.2855476001</v>
      </c>
      <c r="GW9" s="443">
        <v>2890361.2855476001</v>
      </c>
      <c r="GX9" s="443">
        <v>2963518.5263593867</v>
      </c>
      <c r="GY9" s="443">
        <v>2963518.5263593867</v>
      </c>
      <c r="GZ9" s="443">
        <v>2963518.5263593867</v>
      </c>
      <c r="HA9" s="443">
        <v>2963518.5263593867</v>
      </c>
      <c r="HB9" s="443">
        <v>2963518.5263593867</v>
      </c>
      <c r="HC9" s="443">
        <v>2963518.5263593867</v>
      </c>
      <c r="HD9" s="443">
        <v>2963518.5263593867</v>
      </c>
      <c r="HE9" s="443">
        <v>2963518.5263593867</v>
      </c>
      <c r="HF9" s="443">
        <v>2963518.5263593867</v>
      </c>
      <c r="HG9" s="443">
        <v>2963518.5263593867</v>
      </c>
      <c r="HH9" s="443">
        <v>2963518.5263593867</v>
      </c>
      <c r="HI9" s="443">
        <v>2963518.5263593867</v>
      </c>
      <c r="HJ9" s="443">
        <v>3038527.4325356227</v>
      </c>
      <c r="HK9" s="443">
        <v>3038527.4325356227</v>
      </c>
      <c r="HL9" s="443">
        <v>3038527.4325356227</v>
      </c>
      <c r="HM9" s="443">
        <v>3038527.4325356227</v>
      </c>
      <c r="HN9" s="443">
        <v>3038527.4325356227</v>
      </c>
      <c r="HO9" s="443">
        <v>3038527.4325356227</v>
      </c>
      <c r="HP9" s="443">
        <v>3038527.4325356227</v>
      </c>
      <c r="HQ9" s="443">
        <v>3038527.4325356227</v>
      </c>
      <c r="HR9" s="443">
        <v>3038527.4325356227</v>
      </c>
      <c r="HS9" s="443">
        <v>3038527.4325356227</v>
      </c>
      <c r="HT9" s="443">
        <v>3038527.4325356227</v>
      </c>
      <c r="HU9" s="443">
        <v>3038527.4325356227</v>
      </c>
      <c r="HV9" s="443">
        <v>3115434.8711339482</v>
      </c>
      <c r="HW9" s="443">
        <v>3115434.8711339482</v>
      </c>
      <c r="HX9" s="443">
        <v>3115434.8711339482</v>
      </c>
      <c r="HY9" s="443">
        <v>3115434.8711339482</v>
      </c>
      <c r="HZ9" s="443">
        <v>3115434.8711339482</v>
      </c>
      <c r="IA9" s="443">
        <v>3115434.8711339482</v>
      </c>
      <c r="IB9" s="443">
        <v>3115434.8711339482</v>
      </c>
      <c r="IC9" s="443">
        <v>3115434.8711339482</v>
      </c>
      <c r="ID9" s="443">
        <v>3115434.8711339482</v>
      </c>
      <c r="IE9" s="443">
        <v>3115434.8711339482</v>
      </c>
      <c r="IF9" s="443">
        <v>3115434.8711339482</v>
      </c>
      <c r="IG9" s="443">
        <v>3115434.8711339482</v>
      </c>
      <c r="IH9" s="443">
        <v>3194288.8954528505</v>
      </c>
      <c r="II9" s="443">
        <v>3194288.8954528505</v>
      </c>
      <c r="IJ9" s="443">
        <v>3194288.8954528505</v>
      </c>
      <c r="IK9" s="443">
        <v>3194288.8954528505</v>
      </c>
      <c r="IL9" s="443">
        <v>3194288.8954528505</v>
      </c>
      <c r="IM9" s="443">
        <v>3194288.8954528505</v>
      </c>
      <c r="IN9" s="443">
        <v>3194288.8954528505</v>
      </c>
      <c r="IO9" s="443">
        <v>3194288.8954528505</v>
      </c>
      <c r="IP9" s="443">
        <v>3194288.8954528505</v>
      </c>
      <c r="IQ9" s="443">
        <v>3194288.8954528505</v>
      </c>
      <c r="IR9" s="443">
        <v>3194288.8954528505</v>
      </c>
      <c r="IS9" s="443">
        <v>3194288.8954528505</v>
      </c>
      <c r="IT9" s="443">
        <v>3275138.7750563226</v>
      </c>
      <c r="IU9" s="443">
        <v>3275138.7750563226</v>
      </c>
      <c r="IV9" s="443">
        <v>3275138.7750563226</v>
      </c>
      <c r="IW9" s="443">
        <v>3275138.7750563226</v>
      </c>
      <c r="IX9" s="443">
        <v>3275138.7750563226</v>
      </c>
      <c r="IY9" s="443">
        <v>3275138.7750563226</v>
      </c>
      <c r="IZ9" s="443">
        <v>3275138.7750563226</v>
      </c>
      <c r="JA9" s="443">
        <v>3275138.7750563226</v>
      </c>
      <c r="JB9" s="443">
        <v>3275138.7750563226</v>
      </c>
      <c r="JC9" s="443">
        <v>3275138.7750563226</v>
      </c>
      <c r="JD9" s="443">
        <v>3275138.7750563226</v>
      </c>
      <c r="JE9" s="443">
        <v>3275138.7750563226</v>
      </c>
      <c r="JF9" s="443">
        <v>3358035.0265584672</v>
      </c>
      <c r="JG9" s="443">
        <v>3358035.0265584672</v>
      </c>
      <c r="JH9" s="443">
        <v>3358035.0265584672</v>
      </c>
      <c r="JI9" s="443">
        <v>3358035.0265584672</v>
      </c>
      <c r="JJ9" s="443">
        <v>3358035.0265584672</v>
      </c>
      <c r="JK9" s="443">
        <v>3358035.0265584672</v>
      </c>
      <c r="JL9" s="443">
        <v>3358035.0265584672</v>
      </c>
      <c r="JM9" s="443">
        <v>3358035.0265584672</v>
      </c>
      <c r="JN9" s="443">
        <v>3358035.0265584672</v>
      </c>
      <c r="JO9" s="443">
        <v>3358035.0265584672</v>
      </c>
      <c r="JP9" s="443">
        <v>3358035.0265584672</v>
      </c>
      <c r="JQ9" s="443">
        <v>3358035.0265584672</v>
      </c>
      <c r="JR9" s="443">
        <v>3443029.4451872823</v>
      </c>
      <c r="JS9" s="443">
        <v>3443029.4451872823</v>
      </c>
      <c r="JT9" s="443">
        <v>3443029.4451872823</v>
      </c>
      <c r="JU9" s="443">
        <v>3443029.4451872823</v>
      </c>
      <c r="JV9" s="443">
        <v>3443029.4451872823</v>
      </c>
      <c r="JW9" s="443">
        <v>3443029.4451872823</v>
      </c>
      <c r="JX9" s="443">
        <v>3443029.4451872823</v>
      </c>
      <c r="JY9" s="443">
        <v>3443029.4451872823</v>
      </c>
      <c r="JZ9" s="443">
        <v>3443029.4451872823</v>
      </c>
      <c r="KA9" s="443">
        <v>3443029.4451872823</v>
      </c>
      <c r="KB9" s="443">
        <v>3443029.4451872823</v>
      </c>
      <c r="KC9" s="443">
        <v>3443029.4451872823</v>
      </c>
      <c r="KD9" s="443">
        <v>3530175.1371473507</v>
      </c>
      <c r="KE9" s="443">
        <v>3530175.1371473507</v>
      </c>
      <c r="KF9" s="443">
        <v>3530175.1371473507</v>
      </c>
      <c r="KG9" s="443">
        <v>3530175.1371473507</v>
      </c>
      <c r="KH9" s="443">
        <v>3530175.1371473507</v>
      </c>
      <c r="KI9" s="443">
        <v>3530175.1371473507</v>
      </c>
      <c r="KJ9" s="443">
        <v>3530175.1371473507</v>
      </c>
      <c r="KK9" s="443">
        <v>3530175.1371473507</v>
      </c>
      <c r="KL9" s="443">
        <v>3530175.1371473507</v>
      </c>
      <c r="KM9" s="443">
        <v>3530175.1371473507</v>
      </c>
      <c r="KN9" s="443">
        <v>3530175.1371473507</v>
      </c>
      <c r="KO9" s="443">
        <v>3530175.1371473507</v>
      </c>
      <c r="KP9" s="443">
        <v>3619526.5528016542</v>
      </c>
      <c r="KQ9" s="443">
        <v>3619526.5528016542</v>
      </c>
      <c r="KR9" s="443">
        <v>3619526.5528016542</v>
      </c>
      <c r="KS9" s="443">
        <v>3619526.5528016542</v>
      </c>
      <c r="KT9" s="443">
        <v>3619526.5528016542</v>
      </c>
      <c r="KU9" s="443">
        <v>3619526.5528016542</v>
      </c>
      <c r="KV9" s="443">
        <v>3619526.5528016542</v>
      </c>
      <c r="KW9" s="443">
        <v>3619526.5528016542</v>
      </c>
      <c r="KX9" s="443">
        <v>3619526.5528016542</v>
      </c>
      <c r="KY9" s="443">
        <v>3619526.5528016542</v>
      </c>
      <c r="KZ9" s="443">
        <v>3619526.5528016542</v>
      </c>
      <c r="LA9" s="33">
        <v>3619526.5528016542</v>
      </c>
      <c r="LB9" s="27"/>
    </row>
    <row r="10" spans="1:314">
      <c r="A10" s="459" t="s">
        <v>987</v>
      </c>
      <c r="B10" s="463" t="s">
        <v>1185</v>
      </c>
      <c r="C10" s="463" t="s">
        <v>159</v>
      </c>
      <c r="D10" s="456" t="s">
        <v>1203</v>
      </c>
      <c r="E10" s="463" t="s">
        <v>1205</v>
      </c>
      <c r="F10" s="456"/>
      <c r="G10" s="456"/>
      <c r="H10" s="456"/>
      <c r="I10" s="456"/>
      <c r="J10" s="456" t="s">
        <v>1417</v>
      </c>
      <c r="K10" s="456">
        <v>0</v>
      </c>
      <c r="L10" s="456" t="s">
        <v>899</v>
      </c>
      <c r="M10" s="470">
        <v>1</v>
      </c>
      <c r="N10" s="470">
        <v>1</v>
      </c>
      <c r="O10" s="470">
        <v>1</v>
      </c>
      <c r="P10" s="470">
        <v>1</v>
      </c>
      <c r="Q10" s="470">
        <v>1</v>
      </c>
      <c r="R10" s="470">
        <v>1</v>
      </c>
      <c r="S10" s="470">
        <v>1</v>
      </c>
      <c r="T10" s="470">
        <v>1</v>
      </c>
      <c r="U10" s="470">
        <v>1</v>
      </c>
      <c r="V10" s="470">
        <v>1</v>
      </c>
      <c r="W10" s="470">
        <v>0</v>
      </c>
      <c r="X10" s="457">
        <v>0</v>
      </c>
      <c r="Y10" s="472">
        <v>2713848.9116598</v>
      </c>
      <c r="Z10" s="472">
        <v>2782538.4901390825</v>
      </c>
      <c r="AA10" s="472">
        <v>2852966.6540537551</v>
      </c>
      <c r="AB10" s="472">
        <v>2925177.4083225126</v>
      </c>
      <c r="AC10" s="472">
        <v>2999215.8716619858</v>
      </c>
      <c r="AD10" s="472">
        <v>3075128.3047778131</v>
      </c>
      <c r="AE10" s="472">
        <v>3152962.1392692514</v>
      </c>
      <c r="AF10" s="472">
        <v>3232766.007265382</v>
      </c>
      <c r="AG10" s="472">
        <v>3314589.7718114341</v>
      </c>
      <c r="AH10" s="472">
        <v>3398484.5580242081</v>
      </c>
      <c r="AI10" s="472">
        <v>0</v>
      </c>
      <c r="AJ10" s="457">
        <v>12</v>
      </c>
      <c r="AK10" s="457">
        <v>12</v>
      </c>
      <c r="AL10" s="457">
        <v>12</v>
      </c>
      <c r="AM10" s="457">
        <v>12</v>
      </c>
      <c r="AN10" s="457">
        <v>12</v>
      </c>
      <c r="AO10" s="457">
        <v>12</v>
      </c>
      <c r="AP10" s="457">
        <v>12</v>
      </c>
      <c r="AQ10" s="457">
        <v>12</v>
      </c>
      <c r="AR10" s="457">
        <v>12</v>
      </c>
      <c r="AS10" s="457">
        <v>12</v>
      </c>
      <c r="AT10" s="457"/>
      <c r="AU10" s="458">
        <v>1</v>
      </c>
      <c r="AV10" s="510">
        <v>1.02531076</v>
      </c>
      <c r="AW10" s="456">
        <v>0</v>
      </c>
      <c r="AX10" s="443">
        <v>365372137.40382272</v>
      </c>
      <c r="AY10" s="443">
        <v>32566186.939917598</v>
      </c>
      <c r="AZ10" s="443">
        <v>33390461.881668989</v>
      </c>
      <c r="BA10" s="443">
        <v>34235599.848645061</v>
      </c>
      <c r="BB10" s="443">
        <v>35102128.89987015</v>
      </c>
      <c r="BC10" s="443">
        <v>35990590.459943838</v>
      </c>
      <c r="BD10" s="443">
        <v>36901539.657333754</v>
      </c>
      <c r="BE10" s="443">
        <v>37835545.671231017</v>
      </c>
      <c r="BF10" s="443">
        <v>38793192.087184586</v>
      </c>
      <c r="BG10" s="443">
        <v>39775077.261737205</v>
      </c>
      <c r="BH10" s="443">
        <v>40781814.696290493</v>
      </c>
      <c r="BI10" s="443">
        <v>0</v>
      </c>
      <c r="BJ10" s="442">
        <v>2713848.9116598</v>
      </c>
      <c r="BK10" s="443">
        <v>2713848.9116598</v>
      </c>
      <c r="BL10" s="443">
        <v>2713848.9116598</v>
      </c>
      <c r="BM10" s="443">
        <v>2713848.9116598</v>
      </c>
      <c r="BN10" s="443">
        <v>2713848.9116598</v>
      </c>
      <c r="BO10" s="443">
        <v>2713848.9116598</v>
      </c>
      <c r="BP10" s="443">
        <v>2713848.9116598</v>
      </c>
      <c r="BQ10" s="443">
        <v>2713848.9116598</v>
      </c>
      <c r="BR10" s="443">
        <v>2713848.9116598</v>
      </c>
      <c r="BS10" s="443">
        <v>2713848.9116598</v>
      </c>
      <c r="BT10" s="443">
        <v>2713848.9116598</v>
      </c>
      <c r="BU10" s="443">
        <v>2713848.9116598</v>
      </c>
      <c r="BV10" s="443">
        <v>2782538.4901390825</v>
      </c>
      <c r="BW10" s="443">
        <v>2782538.4901390825</v>
      </c>
      <c r="BX10" s="443">
        <v>2782538.4901390825</v>
      </c>
      <c r="BY10" s="443">
        <v>2782538.4901390825</v>
      </c>
      <c r="BZ10" s="443">
        <v>2782538.4901390825</v>
      </c>
      <c r="CA10" s="443">
        <v>2782538.4901390825</v>
      </c>
      <c r="CB10" s="443">
        <v>2782538.4901390825</v>
      </c>
      <c r="CC10" s="443">
        <v>2782538.4901390825</v>
      </c>
      <c r="CD10" s="443">
        <v>2782538.4901390825</v>
      </c>
      <c r="CE10" s="443">
        <v>2782538.4901390825</v>
      </c>
      <c r="CF10" s="443">
        <v>2782538.4901390825</v>
      </c>
      <c r="CG10" s="443">
        <v>2782538.4901390825</v>
      </c>
      <c r="CH10" s="443">
        <v>2852966.6540537551</v>
      </c>
      <c r="CI10" s="443">
        <v>2852966.6540537551</v>
      </c>
      <c r="CJ10" s="443">
        <v>2852966.6540537551</v>
      </c>
      <c r="CK10" s="443">
        <v>2852966.6540537551</v>
      </c>
      <c r="CL10" s="443">
        <v>2852966.6540537551</v>
      </c>
      <c r="CM10" s="443">
        <v>2852966.6540537551</v>
      </c>
      <c r="CN10" s="443">
        <v>2852966.6540537551</v>
      </c>
      <c r="CO10" s="443">
        <v>2852966.6540537551</v>
      </c>
      <c r="CP10" s="443">
        <v>2852966.6540537551</v>
      </c>
      <c r="CQ10" s="443">
        <v>2852966.6540537551</v>
      </c>
      <c r="CR10" s="443">
        <v>2852966.6540537551</v>
      </c>
      <c r="CS10" s="443">
        <v>2852966.6540537551</v>
      </c>
      <c r="CT10" s="443">
        <v>2925177.4083225126</v>
      </c>
      <c r="CU10" s="443">
        <v>2925177.4083225126</v>
      </c>
      <c r="CV10" s="443">
        <v>2925177.4083225126</v>
      </c>
      <c r="CW10" s="443">
        <v>2925177.4083225126</v>
      </c>
      <c r="CX10" s="443">
        <v>2925177.4083225126</v>
      </c>
      <c r="CY10" s="443">
        <v>2925177.4083225126</v>
      </c>
      <c r="CZ10" s="443">
        <v>2925177.4083225126</v>
      </c>
      <c r="DA10" s="443">
        <v>2925177.4083225126</v>
      </c>
      <c r="DB10" s="443">
        <v>2925177.4083225126</v>
      </c>
      <c r="DC10" s="443">
        <v>2925177.4083225126</v>
      </c>
      <c r="DD10" s="443">
        <v>2925177.4083225126</v>
      </c>
      <c r="DE10" s="443">
        <v>2925177.4083225126</v>
      </c>
      <c r="DF10" s="443">
        <v>2999215.8716619858</v>
      </c>
      <c r="DG10" s="443">
        <v>2999215.8716619858</v>
      </c>
      <c r="DH10" s="443">
        <v>2999215.8716619858</v>
      </c>
      <c r="DI10" s="443">
        <v>2999215.8716619858</v>
      </c>
      <c r="DJ10" s="443">
        <v>2999215.8716619858</v>
      </c>
      <c r="DK10" s="443">
        <v>2999215.8716619858</v>
      </c>
      <c r="DL10" s="443">
        <v>2999215.8716619858</v>
      </c>
      <c r="DM10" s="443">
        <v>2999215.8716619858</v>
      </c>
      <c r="DN10" s="443">
        <v>2999215.8716619858</v>
      </c>
      <c r="DO10" s="443">
        <v>2999215.8716619858</v>
      </c>
      <c r="DP10" s="443">
        <v>2999215.8716619858</v>
      </c>
      <c r="DQ10" s="443">
        <v>2999215.8716619858</v>
      </c>
      <c r="DR10" s="443">
        <v>3075128.3047778131</v>
      </c>
      <c r="DS10" s="443">
        <v>3075128.3047778131</v>
      </c>
      <c r="DT10" s="443">
        <v>3075128.3047778131</v>
      </c>
      <c r="DU10" s="443">
        <v>3075128.3047778131</v>
      </c>
      <c r="DV10" s="443">
        <v>3075128.3047778131</v>
      </c>
      <c r="DW10" s="443">
        <v>3075128.3047778131</v>
      </c>
      <c r="DX10" s="443">
        <v>3075128.3047778131</v>
      </c>
      <c r="DY10" s="443">
        <v>3075128.3047778131</v>
      </c>
      <c r="DZ10" s="443">
        <v>3075128.3047778131</v>
      </c>
      <c r="EA10" s="443">
        <v>3075128.3047778131</v>
      </c>
      <c r="EB10" s="443">
        <v>3075128.3047778131</v>
      </c>
      <c r="EC10" s="443">
        <v>3075128.3047778131</v>
      </c>
      <c r="ED10" s="443">
        <v>3152962.1392692514</v>
      </c>
      <c r="EE10" s="443">
        <v>3152962.1392692514</v>
      </c>
      <c r="EF10" s="443">
        <v>3152962.1392692514</v>
      </c>
      <c r="EG10" s="443">
        <v>3152962.1392692514</v>
      </c>
      <c r="EH10" s="443">
        <v>3152962.1392692514</v>
      </c>
      <c r="EI10" s="443">
        <v>3152962.1392692514</v>
      </c>
      <c r="EJ10" s="443">
        <v>3152962.1392692514</v>
      </c>
      <c r="EK10" s="443">
        <v>3152962.1392692514</v>
      </c>
      <c r="EL10" s="443">
        <v>3152962.1392692514</v>
      </c>
      <c r="EM10" s="443">
        <v>3152962.1392692514</v>
      </c>
      <c r="EN10" s="443">
        <v>3152962.1392692514</v>
      </c>
      <c r="EO10" s="443">
        <v>3152962.1392692514</v>
      </c>
      <c r="EP10" s="443">
        <v>3232766.007265382</v>
      </c>
      <c r="EQ10" s="443">
        <v>3232766.007265382</v>
      </c>
      <c r="ER10" s="443">
        <v>3232766.007265382</v>
      </c>
      <c r="ES10" s="443">
        <v>3232766.007265382</v>
      </c>
      <c r="ET10" s="443">
        <v>3232766.007265382</v>
      </c>
      <c r="EU10" s="443">
        <v>3232766.007265382</v>
      </c>
      <c r="EV10" s="443">
        <v>3232766.007265382</v>
      </c>
      <c r="EW10" s="443">
        <v>3232766.007265382</v>
      </c>
      <c r="EX10" s="443">
        <v>3232766.007265382</v>
      </c>
      <c r="EY10" s="443">
        <v>3232766.007265382</v>
      </c>
      <c r="EZ10" s="443">
        <v>3232766.007265382</v>
      </c>
      <c r="FA10" s="443">
        <v>3232766.007265382</v>
      </c>
      <c r="FB10" s="443">
        <v>3314589.7718114341</v>
      </c>
      <c r="FC10" s="443">
        <v>3314589.7718114341</v>
      </c>
      <c r="FD10" s="443">
        <v>3314589.7718114341</v>
      </c>
      <c r="FE10" s="443">
        <v>3314589.7718114341</v>
      </c>
      <c r="FF10" s="443">
        <v>3314589.7718114341</v>
      </c>
      <c r="FG10" s="443">
        <v>3314589.7718114341</v>
      </c>
      <c r="FH10" s="443">
        <v>3314589.7718114341</v>
      </c>
      <c r="FI10" s="443">
        <v>3314589.7718114341</v>
      </c>
      <c r="FJ10" s="443">
        <v>3314589.7718114341</v>
      </c>
      <c r="FK10" s="443">
        <v>3314589.7718114341</v>
      </c>
      <c r="FL10" s="443">
        <v>3314589.7718114341</v>
      </c>
      <c r="FM10" s="443">
        <v>3314589.7718114341</v>
      </c>
      <c r="FN10" s="443">
        <v>3398484.5580242081</v>
      </c>
      <c r="FO10" s="443">
        <v>3398484.5580242081</v>
      </c>
      <c r="FP10" s="443">
        <v>3398484.5580242081</v>
      </c>
      <c r="FQ10" s="443">
        <v>3398484.5580242081</v>
      </c>
      <c r="FR10" s="443">
        <v>3398484.5580242081</v>
      </c>
      <c r="FS10" s="443">
        <v>3398484.5580242081</v>
      </c>
      <c r="FT10" s="443">
        <v>3398484.5580242081</v>
      </c>
      <c r="FU10" s="443">
        <v>3398484.5580242081</v>
      </c>
      <c r="FV10" s="443">
        <v>3398484.5580242081</v>
      </c>
      <c r="FW10" s="443">
        <v>3398484.5580242081</v>
      </c>
      <c r="FX10" s="443">
        <v>3398484.5580242081</v>
      </c>
      <c r="FY10" s="443">
        <v>3398484.5580242081</v>
      </c>
      <c r="FZ10" s="443">
        <v>0</v>
      </c>
      <c r="GA10" s="443">
        <v>0</v>
      </c>
      <c r="GB10" s="443">
        <v>0</v>
      </c>
      <c r="GC10" s="443">
        <v>0</v>
      </c>
      <c r="GD10" s="443">
        <v>0</v>
      </c>
      <c r="GE10" s="443">
        <v>0</v>
      </c>
      <c r="GF10" s="443">
        <v>0</v>
      </c>
      <c r="GG10" s="443">
        <v>0</v>
      </c>
      <c r="GH10" s="443">
        <v>0</v>
      </c>
      <c r="GI10" s="443">
        <v>0</v>
      </c>
      <c r="GJ10" s="443">
        <v>0</v>
      </c>
      <c r="GK10" s="443">
        <v>0</v>
      </c>
      <c r="GL10" s="442">
        <v>2713848.9116598</v>
      </c>
      <c r="GM10" s="443">
        <v>2713848.9116598</v>
      </c>
      <c r="GN10" s="443">
        <v>2713848.9116598</v>
      </c>
      <c r="GO10" s="443">
        <v>2713848.9116598</v>
      </c>
      <c r="GP10" s="443">
        <v>2713848.9116598</v>
      </c>
      <c r="GQ10" s="443">
        <v>2713848.9116598</v>
      </c>
      <c r="GR10" s="443">
        <v>2713848.9116598</v>
      </c>
      <c r="GS10" s="443">
        <v>2713848.9116598</v>
      </c>
      <c r="GT10" s="443">
        <v>2713848.9116598</v>
      </c>
      <c r="GU10" s="443">
        <v>2713848.9116598</v>
      </c>
      <c r="GV10" s="443">
        <v>2713848.9116598</v>
      </c>
      <c r="GW10" s="443">
        <v>2713848.9116598</v>
      </c>
      <c r="GX10" s="443">
        <v>2782538.4901390825</v>
      </c>
      <c r="GY10" s="443">
        <v>2782538.4901390825</v>
      </c>
      <c r="GZ10" s="443">
        <v>2782538.4901390825</v>
      </c>
      <c r="HA10" s="443">
        <v>2782538.4901390825</v>
      </c>
      <c r="HB10" s="443">
        <v>2782538.4901390825</v>
      </c>
      <c r="HC10" s="443">
        <v>2782538.4901390825</v>
      </c>
      <c r="HD10" s="443">
        <v>2782538.4901390825</v>
      </c>
      <c r="HE10" s="443">
        <v>2782538.4901390825</v>
      </c>
      <c r="HF10" s="443">
        <v>2782538.4901390825</v>
      </c>
      <c r="HG10" s="443">
        <v>2782538.4901390825</v>
      </c>
      <c r="HH10" s="443">
        <v>2782538.4901390825</v>
      </c>
      <c r="HI10" s="443">
        <v>2782538.4901390825</v>
      </c>
      <c r="HJ10" s="443">
        <v>2852966.6540537551</v>
      </c>
      <c r="HK10" s="443">
        <v>2852966.6540537551</v>
      </c>
      <c r="HL10" s="443">
        <v>2852966.6540537551</v>
      </c>
      <c r="HM10" s="443">
        <v>2852966.6540537551</v>
      </c>
      <c r="HN10" s="443">
        <v>2852966.6540537551</v>
      </c>
      <c r="HO10" s="443">
        <v>2852966.6540537551</v>
      </c>
      <c r="HP10" s="443">
        <v>2852966.6540537551</v>
      </c>
      <c r="HQ10" s="443">
        <v>2852966.6540537551</v>
      </c>
      <c r="HR10" s="443">
        <v>2852966.6540537551</v>
      </c>
      <c r="HS10" s="443">
        <v>2852966.6540537551</v>
      </c>
      <c r="HT10" s="443">
        <v>2852966.6540537551</v>
      </c>
      <c r="HU10" s="443">
        <v>2852966.6540537551</v>
      </c>
      <c r="HV10" s="443">
        <v>2925177.4083225126</v>
      </c>
      <c r="HW10" s="443">
        <v>2925177.4083225126</v>
      </c>
      <c r="HX10" s="443">
        <v>2925177.4083225126</v>
      </c>
      <c r="HY10" s="443">
        <v>2925177.4083225126</v>
      </c>
      <c r="HZ10" s="443">
        <v>2925177.4083225126</v>
      </c>
      <c r="IA10" s="443">
        <v>2925177.4083225126</v>
      </c>
      <c r="IB10" s="443">
        <v>2925177.4083225126</v>
      </c>
      <c r="IC10" s="443">
        <v>2925177.4083225126</v>
      </c>
      <c r="ID10" s="443">
        <v>2925177.4083225126</v>
      </c>
      <c r="IE10" s="443">
        <v>2925177.4083225126</v>
      </c>
      <c r="IF10" s="443">
        <v>2925177.4083225126</v>
      </c>
      <c r="IG10" s="443">
        <v>2925177.4083225126</v>
      </c>
      <c r="IH10" s="443">
        <v>2999215.8716619858</v>
      </c>
      <c r="II10" s="443">
        <v>2999215.8716619858</v>
      </c>
      <c r="IJ10" s="443">
        <v>2999215.8716619858</v>
      </c>
      <c r="IK10" s="443">
        <v>2999215.8716619858</v>
      </c>
      <c r="IL10" s="443">
        <v>2999215.8716619858</v>
      </c>
      <c r="IM10" s="443">
        <v>2999215.8716619858</v>
      </c>
      <c r="IN10" s="443">
        <v>2999215.8716619858</v>
      </c>
      <c r="IO10" s="443">
        <v>2999215.8716619858</v>
      </c>
      <c r="IP10" s="443">
        <v>2999215.8716619858</v>
      </c>
      <c r="IQ10" s="443">
        <v>2999215.8716619858</v>
      </c>
      <c r="IR10" s="443">
        <v>2999215.8716619858</v>
      </c>
      <c r="IS10" s="443">
        <v>2999215.8716619858</v>
      </c>
      <c r="IT10" s="443">
        <v>3075128.3047778131</v>
      </c>
      <c r="IU10" s="443">
        <v>3075128.3047778131</v>
      </c>
      <c r="IV10" s="443">
        <v>3075128.3047778131</v>
      </c>
      <c r="IW10" s="443">
        <v>3075128.3047778131</v>
      </c>
      <c r="IX10" s="443">
        <v>3075128.3047778131</v>
      </c>
      <c r="IY10" s="443">
        <v>3075128.3047778131</v>
      </c>
      <c r="IZ10" s="443">
        <v>3075128.3047778131</v>
      </c>
      <c r="JA10" s="443">
        <v>3075128.3047778131</v>
      </c>
      <c r="JB10" s="443">
        <v>3075128.3047778131</v>
      </c>
      <c r="JC10" s="443">
        <v>3075128.3047778131</v>
      </c>
      <c r="JD10" s="443">
        <v>3075128.3047778131</v>
      </c>
      <c r="JE10" s="443">
        <v>3075128.3047778131</v>
      </c>
      <c r="JF10" s="443">
        <v>3152962.1392692514</v>
      </c>
      <c r="JG10" s="443">
        <v>3152962.1392692514</v>
      </c>
      <c r="JH10" s="443">
        <v>3152962.1392692514</v>
      </c>
      <c r="JI10" s="443">
        <v>3152962.1392692514</v>
      </c>
      <c r="JJ10" s="443">
        <v>3152962.1392692514</v>
      </c>
      <c r="JK10" s="443">
        <v>3152962.1392692514</v>
      </c>
      <c r="JL10" s="443">
        <v>3152962.1392692514</v>
      </c>
      <c r="JM10" s="443">
        <v>3152962.1392692514</v>
      </c>
      <c r="JN10" s="443">
        <v>3152962.1392692514</v>
      </c>
      <c r="JO10" s="443">
        <v>3152962.1392692514</v>
      </c>
      <c r="JP10" s="443">
        <v>3152962.1392692514</v>
      </c>
      <c r="JQ10" s="443">
        <v>3152962.1392692514</v>
      </c>
      <c r="JR10" s="443">
        <v>3232766.007265382</v>
      </c>
      <c r="JS10" s="443">
        <v>3232766.007265382</v>
      </c>
      <c r="JT10" s="443">
        <v>3232766.007265382</v>
      </c>
      <c r="JU10" s="443">
        <v>3232766.007265382</v>
      </c>
      <c r="JV10" s="443">
        <v>3232766.007265382</v>
      </c>
      <c r="JW10" s="443">
        <v>3232766.007265382</v>
      </c>
      <c r="JX10" s="443">
        <v>3232766.007265382</v>
      </c>
      <c r="JY10" s="443">
        <v>3232766.007265382</v>
      </c>
      <c r="JZ10" s="443">
        <v>3232766.007265382</v>
      </c>
      <c r="KA10" s="443">
        <v>3232766.007265382</v>
      </c>
      <c r="KB10" s="443">
        <v>3232766.007265382</v>
      </c>
      <c r="KC10" s="443">
        <v>3232766.007265382</v>
      </c>
      <c r="KD10" s="443">
        <v>3314589.7718114341</v>
      </c>
      <c r="KE10" s="443">
        <v>3314589.7718114341</v>
      </c>
      <c r="KF10" s="443">
        <v>3314589.7718114341</v>
      </c>
      <c r="KG10" s="443">
        <v>3314589.7718114341</v>
      </c>
      <c r="KH10" s="443">
        <v>3314589.7718114341</v>
      </c>
      <c r="KI10" s="443">
        <v>3314589.7718114341</v>
      </c>
      <c r="KJ10" s="443">
        <v>3314589.7718114341</v>
      </c>
      <c r="KK10" s="443">
        <v>3314589.7718114341</v>
      </c>
      <c r="KL10" s="443">
        <v>3314589.7718114341</v>
      </c>
      <c r="KM10" s="443">
        <v>3314589.7718114341</v>
      </c>
      <c r="KN10" s="443">
        <v>3314589.7718114341</v>
      </c>
      <c r="KO10" s="443">
        <v>3314589.7718114341</v>
      </c>
      <c r="KP10" s="443">
        <v>3398484.5580242081</v>
      </c>
      <c r="KQ10" s="443">
        <v>3398484.5580242081</v>
      </c>
      <c r="KR10" s="443">
        <v>3398484.5580242081</v>
      </c>
      <c r="KS10" s="443">
        <v>3398484.5580242081</v>
      </c>
      <c r="KT10" s="443">
        <v>3398484.5580242081</v>
      </c>
      <c r="KU10" s="443">
        <v>3398484.5580242081</v>
      </c>
      <c r="KV10" s="443">
        <v>3398484.5580242081</v>
      </c>
      <c r="KW10" s="443">
        <v>3398484.5580242081</v>
      </c>
      <c r="KX10" s="443">
        <v>3398484.5580242081</v>
      </c>
      <c r="KY10" s="443">
        <v>3398484.5580242081</v>
      </c>
      <c r="KZ10" s="443">
        <v>3398484.5580242081</v>
      </c>
      <c r="LA10" s="33">
        <v>3398484.5580242081</v>
      </c>
      <c r="LB10" s="27"/>
    </row>
    <row r="11" spans="1:314">
      <c r="A11" s="459" t="s">
        <v>988</v>
      </c>
      <c r="B11" s="463" t="s">
        <v>1185</v>
      </c>
      <c r="C11" s="463" t="s">
        <v>159</v>
      </c>
      <c r="D11" s="456" t="s">
        <v>1206</v>
      </c>
      <c r="E11" s="463" t="s">
        <v>159</v>
      </c>
      <c r="F11" s="456"/>
      <c r="G11" s="456"/>
      <c r="H11" s="456"/>
      <c r="I11" s="456"/>
      <c r="J11" s="456" t="s">
        <v>1417</v>
      </c>
      <c r="K11" s="456">
        <v>0</v>
      </c>
      <c r="L11" s="456" t="s">
        <v>899</v>
      </c>
      <c r="M11" s="470">
        <v>10</v>
      </c>
      <c r="N11" s="470">
        <v>10</v>
      </c>
      <c r="O11" s="470">
        <v>10</v>
      </c>
      <c r="P11" s="470">
        <v>10</v>
      </c>
      <c r="Q11" s="470">
        <v>10</v>
      </c>
      <c r="R11" s="470">
        <v>10</v>
      </c>
      <c r="S11" s="470">
        <v>10</v>
      </c>
      <c r="T11" s="470">
        <v>10</v>
      </c>
      <c r="U11" s="470">
        <v>10</v>
      </c>
      <c r="V11" s="470">
        <v>10</v>
      </c>
      <c r="W11" s="470">
        <v>0</v>
      </c>
      <c r="X11" s="457">
        <v>0</v>
      </c>
      <c r="Y11" s="472">
        <v>2428512.1043271199</v>
      </c>
      <c r="Z11" s="472">
        <v>2489979.5913568386</v>
      </c>
      <c r="AA11" s="472">
        <v>2553002.8671985697</v>
      </c>
      <c r="AB11" s="472">
        <v>2617621.3100495446</v>
      </c>
      <c r="AC11" s="472">
        <v>2683875.2947990941</v>
      </c>
      <c r="AD11" s="472">
        <v>2751806.2182556833</v>
      </c>
      <c r="AE11" s="472">
        <v>2821456.5250124605</v>
      </c>
      <c r="AF11" s="472">
        <v>2892869.7339674849</v>
      </c>
      <c r="AG11" s="472">
        <v>2966090.4655151996</v>
      </c>
      <c r="AH11" s="472">
        <v>3041164.469426143</v>
      </c>
      <c r="AI11" s="472">
        <v>0</v>
      </c>
      <c r="AJ11" s="457">
        <v>12</v>
      </c>
      <c r="AK11" s="457">
        <v>12</v>
      </c>
      <c r="AL11" s="457">
        <v>12</v>
      </c>
      <c r="AM11" s="457">
        <v>12</v>
      </c>
      <c r="AN11" s="457">
        <v>12</v>
      </c>
      <c r="AO11" s="457">
        <v>12</v>
      </c>
      <c r="AP11" s="457">
        <v>12</v>
      </c>
      <c r="AQ11" s="457">
        <v>12</v>
      </c>
      <c r="AR11" s="457">
        <v>12</v>
      </c>
      <c r="AS11" s="457">
        <v>12</v>
      </c>
      <c r="AT11" s="457"/>
      <c r="AU11" s="458">
        <v>1</v>
      </c>
      <c r="AV11" s="510">
        <v>1.02531076</v>
      </c>
      <c r="AW11" s="456">
        <v>0</v>
      </c>
      <c r="AX11" s="443">
        <v>3269565429.5889764</v>
      </c>
      <c r="AY11" s="443">
        <v>291421452.51925433</v>
      </c>
      <c r="AZ11" s="443">
        <v>298797550.96282059</v>
      </c>
      <c r="BA11" s="443">
        <v>306360344.06382829</v>
      </c>
      <c r="BB11" s="443">
        <v>314114557.20594543</v>
      </c>
      <c r="BC11" s="443">
        <v>322065035.37589133</v>
      </c>
      <c r="BD11" s="443">
        <v>330216746.19068193</v>
      </c>
      <c r="BE11" s="443">
        <v>338574783.00149524</v>
      </c>
      <c r="BF11" s="443">
        <v>347144368.0760982</v>
      </c>
      <c r="BG11" s="443">
        <v>355930855.86182404</v>
      </c>
      <c r="BH11" s="443">
        <v>364939736.33113718</v>
      </c>
      <c r="BI11" s="443">
        <v>0</v>
      </c>
      <c r="BJ11" s="442">
        <v>24285121.043271199</v>
      </c>
      <c r="BK11" s="443">
        <v>24285121.043271199</v>
      </c>
      <c r="BL11" s="443">
        <v>24285121.043271199</v>
      </c>
      <c r="BM11" s="443">
        <v>24285121.043271199</v>
      </c>
      <c r="BN11" s="443">
        <v>24285121.043271199</v>
      </c>
      <c r="BO11" s="443">
        <v>24285121.043271199</v>
      </c>
      <c r="BP11" s="443">
        <v>24285121.043271199</v>
      </c>
      <c r="BQ11" s="443">
        <v>24285121.043271199</v>
      </c>
      <c r="BR11" s="443">
        <v>24285121.043271199</v>
      </c>
      <c r="BS11" s="443">
        <v>24285121.043271199</v>
      </c>
      <c r="BT11" s="443">
        <v>24285121.043271199</v>
      </c>
      <c r="BU11" s="443">
        <v>24285121.043271199</v>
      </c>
      <c r="BV11" s="443">
        <v>24899795.913568385</v>
      </c>
      <c r="BW11" s="443">
        <v>24899795.913568385</v>
      </c>
      <c r="BX11" s="443">
        <v>24899795.913568385</v>
      </c>
      <c r="BY11" s="443">
        <v>24899795.913568385</v>
      </c>
      <c r="BZ11" s="443">
        <v>24899795.913568385</v>
      </c>
      <c r="CA11" s="443">
        <v>24899795.913568385</v>
      </c>
      <c r="CB11" s="443">
        <v>24899795.913568385</v>
      </c>
      <c r="CC11" s="443">
        <v>24899795.913568385</v>
      </c>
      <c r="CD11" s="443">
        <v>24899795.913568385</v>
      </c>
      <c r="CE11" s="443">
        <v>24899795.913568385</v>
      </c>
      <c r="CF11" s="443">
        <v>24899795.913568385</v>
      </c>
      <c r="CG11" s="443">
        <v>24899795.913568385</v>
      </c>
      <c r="CH11" s="443">
        <v>25530028.671985697</v>
      </c>
      <c r="CI11" s="443">
        <v>25530028.671985697</v>
      </c>
      <c r="CJ11" s="443">
        <v>25530028.671985697</v>
      </c>
      <c r="CK11" s="443">
        <v>25530028.671985697</v>
      </c>
      <c r="CL11" s="443">
        <v>25530028.671985697</v>
      </c>
      <c r="CM11" s="443">
        <v>25530028.671985697</v>
      </c>
      <c r="CN11" s="443">
        <v>25530028.671985697</v>
      </c>
      <c r="CO11" s="443">
        <v>25530028.671985697</v>
      </c>
      <c r="CP11" s="443">
        <v>25530028.671985697</v>
      </c>
      <c r="CQ11" s="443">
        <v>25530028.671985697</v>
      </c>
      <c r="CR11" s="443">
        <v>25530028.671985697</v>
      </c>
      <c r="CS11" s="443">
        <v>25530028.671985697</v>
      </c>
      <c r="CT11" s="443">
        <v>26176213.100495446</v>
      </c>
      <c r="CU11" s="443">
        <v>26176213.100495446</v>
      </c>
      <c r="CV11" s="443">
        <v>26176213.100495446</v>
      </c>
      <c r="CW11" s="443">
        <v>26176213.100495446</v>
      </c>
      <c r="CX11" s="443">
        <v>26176213.100495446</v>
      </c>
      <c r="CY11" s="443">
        <v>26176213.100495446</v>
      </c>
      <c r="CZ11" s="443">
        <v>26176213.100495446</v>
      </c>
      <c r="DA11" s="443">
        <v>26176213.100495446</v>
      </c>
      <c r="DB11" s="443">
        <v>26176213.100495446</v>
      </c>
      <c r="DC11" s="443">
        <v>26176213.100495446</v>
      </c>
      <c r="DD11" s="443">
        <v>26176213.100495446</v>
      </c>
      <c r="DE11" s="443">
        <v>26176213.100495446</v>
      </c>
      <c r="DF11" s="443">
        <v>26838752.947990939</v>
      </c>
      <c r="DG11" s="443">
        <v>26838752.947990939</v>
      </c>
      <c r="DH11" s="443">
        <v>26838752.947990939</v>
      </c>
      <c r="DI11" s="443">
        <v>26838752.947990939</v>
      </c>
      <c r="DJ11" s="443">
        <v>26838752.947990939</v>
      </c>
      <c r="DK11" s="443">
        <v>26838752.947990939</v>
      </c>
      <c r="DL11" s="443">
        <v>26838752.947990939</v>
      </c>
      <c r="DM11" s="443">
        <v>26838752.947990939</v>
      </c>
      <c r="DN11" s="443">
        <v>26838752.947990939</v>
      </c>
      <c r="DO11" s="443">
        <v>26838752.947990939</v>
      </c>
      <c r="DP11" s="443">
        <v>26838752.947990939</v>
      </c>
      <c r="DQ11" s="443">
        <v>26838752.947990939</v>
      </c>
      <c r="DR11" s="443">
        <v>27518062.182556834</v>
      </c>
      <c r="DS11" s="443">
        <v>27518062.182556834</v>
      </c>
      <c r="DT11" s="443">
        <v>27518062.182556834</v>
      </c>
      <c r="DU11" s="443">
        <v>27518062.182556834</v>
      </c>
      <c r="DV11" s="443">
        <v>27518062.182556834</v>
      </c>
      <c r="DW11" s="443">
        <v>27518062.182556834</v>
      </c>
      <c r="DX11" s="443">
        <v>27518062.182556834</v>
      </c>
      <c r="DY11" s="443">
        <v>27518062.182556834</v>
      </c>
      <c r="DZ11" s="443">
        <v>27518062.182556834</v>
      </c>
      <c r="EA11" s="443">
        <v>27518062.182556834</v>
      </c>
      <c r="EB11" s="443">
        <v>27518062.182556834</v>
      </c>
      <c r="EC11" s="443">
        <v>27518062.182556834</v>
      </c>
      <c r="ED11" s="443">
        <v>28214565.250124604</v>
      </c>
      <c r="EE11" s="443">
        <v>28214565.250124604</v>
      </c>
      <c r="EF11" s="443">
        <v>28214565.250124604</v>
      </c>
      <c r="EG11" s="443">
        <v>28214565.250124604</v>
      </c>
      <c r="EH11" s="443">
        <v>28214565.250124604</v>
      </c>
      <c r="EI11" s="443">
        <v>28214565.250124604</v>
      </c>
      <c r="EJ11" s="443">
        <v>28214565.250124604</v>
      </c>
      <c r="EK11" s="443">
        <v>28214565.250124604</v>
      </c>
      <c r="EL11" s="443">
        <v>28214565.250124604</v>
      </c>
      <c r="EM11" s="443">
        <v>28214565.250124604</v>
      </c>
      <c r="EN11" s="443">
        <v>28214565.250124604</v>
      </c>
      <c r="EO11" s="443">
        <v>28214565.250124604</v>
      </c>
      <c r="EP11" s="443">
        <v>28928697.339674849</v>
      </c>
      <c r="EQ11" s="443">
        <v>28928697.339674849</v>
      </c>
      <c r="ER11" s="443">
        <v>28928697.339674849</v>
      </c>
      <c r="ES11" s="443">
        <v>28928697.339674849</v>
      </c>
      <c r="ET11" s="443">
        <v>28928697.339674849</v>
      </c>
      <c r="EU11" s="443">
        <v>28928697.339674849</v>
      </c>
      <c r="EV11" s="443">
        <v>28928697.339674849</v>
      </c>
      <c r="EW11" s="443">
        <v>28928697.339674849</v>
      </c>
      <c r="EX11" s="443">
        <v>28928697.339674849</v>
      </c>
      <c r="EY11" s="443">
        <v>28928697.339674849</v>
      </c>
      <c r="EZ11" s="443">
        <v>28928697.339674849</v>
      </c>
      <c r="FA11" s="443">
        <v>28928697.339674849</v>
      </c>
      <c r="FB11" s="443">
        <v>29660904.655151997</v>
      </c>
      <c r="FC11" s="443">
        <v>29660904.655151997</v>
      </c>
      <c r="FD11" s="443">
        <v>29660904.655151997</v>
      </c>
      <c r="FE11" s="443">
        <v>29660904.655151997</v>
      </c>
      <c r="FF11" s="443">
        <v>29660904.655151997</v>
      </c>
      <c r="FG11" s="443">
        <v>29660904.655151997</v>
      </c>
      <c r="FH11" s="443">
        <v>29660904.655151997</v>
      </c>
      <c r="FI11" s="443">
        <v>29660904.655151997</v>
      </c>
      <c r="FJ11" s="443">
        <v>29660904.655151997</v>
      </c>
      <c r="FK11" s="443">
        <v>29660904.655151997</v>
      </c>
      <c r="FL11" s="443">
        <v>29660904.655151997</v>
      </c>
      <c r="FM11" s="443">
        <v>29660904.655151997</v>
      </c>
      <c r="FN11" s="443">
        <v>30411644.694261432</v>
      </c>
      <c r="FO11" s="443">
        <v>30411644.694261432</v>
      </c>
      <c r="FP11" s="443">
        <v>30411644.694261432</v>
      </c>
      <c r="FQ11" s="443">
        <v>30411644.694261432</v>
      </c>
      <c r="FR11" s="443">
        <v>30411644.694261432</v>
      </c>
      <c r="FS11" s="443">
        <v>30411644.694261432</v>
      </c>
      <c r="FT11" s="443">
        <v>30411644.694261432</v>
      </c>
      <c r="FU11" s="443">
        <v>30411644.694261432</v>
      </c>
      <c r="FV11" s="443">
        <v>30411644.694261432</v>
      </c>
      <c r="FW11" s="443">
        <v>30411644.694261432</v>
      </c>
      <c r="FX11" s="443">
        <v>30411644.694261432</v>
      </c>
      <c r="FY11" s="443">
        <v>30411644.694261432</v>
      </c>
      <c r="FZ11" s="443">
        <v>0</v>
      </c>
      <c r="GA11" s="443">
        <v>0</v>
      </c>
      <c r="GB11" s="443">
        <v>0</v>
      </c>
      <c r="GC11" s="443">
        <v>0</v>
      </c>
      <c r="GD11" s="443">
        <v>0</v>
      </c>
      <c r="GE11" s="443">
        <v>0</v>
      </c>
      <c r="GF11" s="443">
        <v>0</v>
      </c>
      <c r="GG11" s="443">
        <v>0</v>
      </c>
      <c r="GH11" s="443">
        <v>0</v>
      </c>
      <c r="GI11" s="443">
        <v>0</v>
      </c>
      <c r="GJ11" s="443">
        <v>0</v>
      </c>
      <c r="GK11" s="443">
        <v>0</v>
      </c>
      <c r="GL11" s="442">
        <v>24285121.043271199</v>
      </c>
      <c r="GM11" s="443">
        <v>24285121.043271199</v>
      </c>
      <c r="GN11" s="443">
        <v>24285121.043271199</v>
      </c>
      <c r="GO11" s="443">
        <v>24285121.043271199</v>
      </c>
      <c r="GP11" s="443">
        <v>24285121.043271199</v>
      </c>
      <c r="GQ11" s="443">
        <v>24285121.043271199</v>
      </c>
      <c r="GR11" s="443">
        <v>24285121.043271199</v>
      </c>
      <c r="GS11" s="443">
        <v>24285121.043271199</v>
      </c>
      <c r="GT11" s="443">
        <v>24285121.043271199</v>
      </c>
      <c r="GU11" s="443">
        <v>24285121.043271199</v>
      </c>
      <c r="GV11" s="443">
        <v>24285121.043271199</v>
      </c>
      <c r="GW11" s="443">
        <v>24285121.043271199</v>
      </c>
      <c r="GX11" s="443">
        <v>24899795.913568385</v>
      </c>
      <c r="GY11" s="443">
        <v>24899795.913568385</v>
      </c>
      <c r="GZ11" s="443">
        <v>24899795.913568385</v>
      </c>
      <c r="HA11" s="443">
        <v>24899795.913568385</v>
      </c>
      <c r="HB11" s="443">
        <v>24899795.913568385</v>
      </c>
      <c r="HC11" s="443">
        <v>24899795.913568385</v>
      </c>
      <c r="HD11" s="443">
        <v>24899795.913568385</v>
      </c>
      <c r="HE11" s="443">
        <v>24899795.913568385</v>
      </c>
      <c r="HF11" s="443">
        <v>24899795.913568385</v>
      </c>
      <c r="HG11" s="443">
        <v>24899795.913568385</v>
      </c>
      <c r="HH11" s="443">
        <v>24899795.913568385</v>
      </c>
      <c r="HI11" s="443">
        <v>24899795.913568385</v>
      </c>
      <c r="HJ11" s="443">
        <v>25530028.671985697</v>
      </c>
      <c r="HK11" s="443">
        <v>25530028.671985697</v>
      </c>
      <c r="HL11" s="443">
        <v>25530028.671985697</v>
      </c>
      <c r="HM11" s="443">
        <v>25530028.671985697</v>
      </c>
      <c r="HN11" s="443">
        <v>25530028.671985697</v>
      </c>
      <c r="HO11" s="443">
        <v>25530028.671985697</v>
      </c>
      <c r="HP11" s="443">
        <v>25530028.671985697</v>
      </c>
      <c r="HQ11" s="443">
        <v>25530028.671985697</v>
      </c>
      <c r="HR11" s="443">
        <v>25530028.671985697</v>
      </c>
      <c r="HS11" s="443">
        <v>25530028.671985697</v>
      </c>
      <c r="HT11" s="443">
        <v>25530028.671985697</v>
      </c>
      <c r="HU11" s="443">
        <v>25530028.671985697</v>
      </c>
      <c r="HV11" s="443">
        <v>26176213.100495446</v>
      </c>
      <c r="HW11" s="443">
        <v>26176213.100495446</v>
      </c>
      <c r="HX11" s="443">
        <v>26176213.100495446</v>
      </c>
      <c r="HY11" s="443">
        <v>26176213.100495446</v>
      </c>
      <c r="HZ11" s="443">
        <v>26176213.100495446</v>
      </c>
      <c r="IA11" s="443">
        <v>26176213.100495446</v>
      </c>
      <c r="IB11" s="443">
        <v>26176213.100495446</v>
      </c>
      <c r="IC11" s="443">
        <v>26176213.100495446</v>
      </c>
      <c r="ID11" s="443">
        <v>26176213.100495446</v>
      </c>
      <c r="IE11" s="443">
        <v>26176213.100495446</v>
      </c>
      <c r="IF11" s="443">
        <v>26176213.100495446</v>
      </c>
      <c r="IG11" s="443">
        <v>26176213.100495446</v>
      </c>
      <c r="IH11" s="443">
        <v>26838752.947990939</v>
      </c>
      <c r="II11" s="443">
        <v>26838752.947990939</v>
      </c>
      <c r="IJ11" s="443">
        <v>26838752.947990939</v>
      </c>
      <c r="IK11" s="443">
        <v>26838752.947990939</v>
      </c>
      <c r="IL11" s="443">
        <v>26838752.947990939</v>
      </c>
      <c r="IM11" s="443">
        <v>26838752.947990939</v>
      </c>
      <c r="IN11" s="443">
        <v>26838752.947990939</v>
      </c>
      <c r="IO11" s="443">
        <v>26838752.947990939</v>
      </c>
      <c r="IP11" s="443">
        <v>26838752.947990939</v>
      </c>
      <c r="IQ11" s="443">
        <v>26838752.947990939</v>
      </c>
      <c r="IR11" s="443">
        <v>26838752.947990939</v>
      </c>
      <c r="IS11" s="443">
        <v>26838752.947990939</v>
      </c>
      <c r="IT11" s="443">
        <v>27518062.182556834</v>
      </c>
      <c r="IU11" s="443">
        <v>27518062.182556834</v>
      </c>
      <c r="IV11" s="443">
        <v>27518062.182556834</v>
      </c>
      <c r="IW11" s="443">
        <v>27518062.182556834</v>
      </c>
      <c r="IX11" s="443">
        <v>27518062.182556834</v>
      </c>
      <c r="IY11" s="443">
        <v>27518062.182556834</v>
      </c>
      <c r="IZ11" s="443">
        <v>27518062.182556834</v>
      </c>
      <c r="JA11" s="443">
        <v>27518062.182556834</v>
      </c>
      <c r="JB11" s="443">
        <v>27518062.182556834</v>
      </c>
      <c r="JC11" s="443">
        <v>27518062.182556834</v>
      </c>
      <c r="JD11" s="443">
        <v>27518062.182556834</v>
      </c>
      <c r="JE11" s="443">
        <v>27518062.182556834</v>
      </c>
      <c r="JF11" s="443">
        <v>28214565.250124604</v>
      </c>
      <c r="JG11" s="443">
        <v>28214565.250124604</v>
      </c>
      <c r="JH11" s="443">
        <v>28214565.250124604</v>
      </c>
      <c r="JI11" s="443">
        <v>28214565.250124604</v>
      </c>
      <c r="JJ11" s="443">
        <v>28214565.250124604</v>
      </c>
      <c r="JK11" s="443">
        <v>28214565.250124604</v>
      </c>
      <c r="JL11" s="443">
        <v>28214565.250124604</v>
      </c>
      <c r="JM11" s="443">
        <v>28214565.250124604</v>
      </c>
      <c r="JN11" s="443">
        <v>28214565.250124604</v>
      </c>
      <c r="JO11" s="443">
        <v>28214565.250124604</v>
      </c>
      <c r="JP11" s="443">
        <v>28214565.250124604</v>
      </c>
      <c r="JQ11" s="443">
        <v>28214565.250124604</v>
      </c>
      <c r="JR11" s="443">
        <v>28928697.339674849</v>
      </c>
      <c r="JS11" s="443">
        <v>28928697.339674849</v>
      </c>
      <c r="JT11" s="443">
        <v>28928697.339674849</v>
      </c>
      <c r="JU11" s="443">
        <v>28928697.339674849</v>
      </c>
      <c r="JV11" s="443">
        <v>28928697.339674849</v>
      </c>
      <c r="JW11" s="443">
        <v>28928697.339674849</v>
      </c>
      <c r="JX11" s="443">
        <v>28928697.339674849</v>
      </c>
      <c r="JY11" s="443">
        <v>28928697.339674849</v>
      </c>
      <c r="JZ11" s="443">
        <v>28928697.339674849</v>
      </c>
      <c r="KA11" s="443">
        <v>28928697.339674849</v>
      </c>
      <c r="KB11" s="443">
        <v>28928697.339674849</v>
      </c>
      <c r="KC11" s="443">
        <v>28928697.339674849</v>
      </c>
      <c r="KD11" s="443">
        <v>29660904.655151997</v>
      </c>
      <c r="KE11" s="443">
        <v>29660904.655151997</v>
      </c>
      <c r="KF11" s="443">
        <v>29660904.655151997</v>
      </c>
      <c r="KG11" s="443">
        <v>29660904.655151997</v>
      </c>
      <c r="KH11" s="443">
        <v>29660904.655151997</v>
      </c>
      <c r="KI11" s="443">
        <v>29660904.655151997</v>
      </c>
      <c r="KJ11" s="443">
        <v>29660904.655151997</v>
      </c>
      <c r="KK11" s="443">
        <v>29660904.655151997</v>
      </c>
      <c r="KL11" s="443">
        <v>29660904.655151997</v>
      </c>
      <c r="KM11" s="443">
        <v>29660904.655151997</v>
      </c>
      <c r="KN11" s="443">
        <v>29660904.655151997</v>
      </c>
      <c r="KO11" s="443">
        <v>29660904.655151997</v>
      </c>
      <c r="KP11" s="443">
        <v>30411644.694261432</v>
      </c>
      <c r="KQ11" s="443">
        <v>30411644.694261432</v>
      </c>
      <c r="KR11" s="443">
        <v>30411644.694261432</v>
      </c>
      <c r="KS11" s="443">
        <v>30411644.694261432</v>
      </c>
      <c r="KT11" s="443">
        <v>30411644.694261432</v>
      </c>
      <c r="KU11" s="443">
        <v>30411644.694261432</v>
      </c>
      <c r="KV11" s="443">
        <v>30411644.694261432</v>
      </c>
      <c r="KW11" s="443">
        <v>30411644.694261432</v>
      </c>
      <c r="KX11" s="443">
        <v>30411644.694261432</v>
      </c>
      <c r="KY11" s="443">
        <v>30411644.694261432</v>
      </c>
      <c r="KZ11" s="443">
        <v>30411644.694261432</v>
      </c>
      <c r="LA11" s="33">
        <v>30411644.694261432</v>
      </c>
      <c r="LB11" s="27"/>
    </row>
    <row r="12" spans="1:314">
      <c r="A12" s="459" t="s">
        <v>989</v>
      </c>
      <c r="B12" s="463" t="s">
        <v>1185</v>
      </c>
      <c r="C12" s="463" t="s">
        <v>176</v>
      </c>
      <c r="D12" s="456" t="s">
        <v>1207</v>
      </c>
      <c r="E12" s="463" t="s">
        <v>177</v>
      </c>
      <c r="F12" s="456"/>
      <c r="G12" s="456"/>
      <c r="H12" s="456"/>
      <c r="I12" s="456"/>
      <c r="J12" s="456" t="s">
        <v>1417</v>
      </c>
      <c r="K12" s="456">
        <v>0</v>
      </c>
      <c r="L12" s="456" t="s">
        <v>899</v>
      </c>
      <c r="M12" s="470">
        <v>1</v>
      </c>
      <c r="N12" s="470">
        <v>1</v>
      </c>
      <c r="O12" s="470">
        <v>1</v>
      </c>
      <c r="P12" s="470">
        <v>1</v>
      </c>
      <c r="Q12" s="470">
        <v>1</v>
      </c>
      <c r="R12" s="470">
        <v>1</v>
      </c>
      <c r="S12" s="470">
        <v>1</v>
      </c>
      <c r="T12" s="470">
        <v>1</v>
      </c>
      <c r="U12" s="470">
        <v>1</v>
      </c>
      <c r="V12" s="470">
        <v>1</v>
      </c>
      <c r="W12" s="470">
        <v>0</v>
      </c>
      <c r="X12" s="457">
        <v>0</v>
      </c>
      <c r="Y12" s="472">
        <v>3934599.2821772001</v>
      </c>
      <c r="Z12" s="472">
        <v>4034186.9803045592</v>
      </c>
      <c r="AA12" s="472">
        <v>4136295.3187581724</v>
      </c>
      <c r="AB12" s="472">
        <v>4240988.0968603836</v>
      </c>
      <c r="AC12" s="472">
        <v>4348330.7287428733</v>
      </c>
      <c r="AD12" s="472">
        <v>4458390.284218709</v>
      </c>
      <c r="AE12" s="472">
        <v>4571235.5306889005</v>
      </c>
      <c r="AF12" s="472">
        <v>4686936.9761096397</v>
      </c>
      <c r="AG12" s="472">
        <v>4805566.9130470762</v>
      </c>
      <c r="AH12" s="472">
        <v>4927199.463847152</v>
      </c>
      <c r="AI12" s="472">
        <v>0</v>
      </c>
      <c r="AJ12" s="457">
        <v>12</v>
      </c>
      <c r="AK12" s="457">
        <v>12</v>
      </c>
      <c r="AL12" s="457">
        <v>12</v>
      </c>
      <c r="AM12" s="457">
        <v>12</v>
      </c>
      <c r="AN12" s="457">
        <v>12</v>
      </c>
      <c r="AO12" s="457">
        <v>12</v>
      </c>
      <c r="AP12" s="457">
        <v>12</v>
      </c>
      <c r="AQ12" s="457">
        <v>12</v>
      </c>
      <c r="AR12" s="457">
        <v>12</v>
      </c>
      <c r="AS12" s="457">
        <v>12</v>
      </c>
      <c r="AT12" s="457"/>
      <c r="AU12" s="458">
        <v>1</v>
      </c>
      <c r="AV12" s="510">
        <v>1.02531076</v>
      </c>
      <c r="AW12" s="456">
        <v>0</v>
      </c>
      <c r="AX12" s="443">
        <v>529724754.89705592</v>
      </c>
      <c r="AY12" s="443">
        <v>47215191.386126406</v>
      </c>
      <c r="AZ12" s="443">
        <v>48410243.763654716</v>
      </c>
      <c r="BA12" s="443">
        <v>49635543.825098075</v>
      </c>
      <c r="BB12" s="443">
        <v>50891857.162324615</v>
      </c>
      <c r="BC12" s="443">
        <v>52179968.744914494</v>
      </c>
      <c r="BD12" s="443">
        <v>53500683.410624497</v>
      </c>
      <c r="BE12" s="443">
        <v>54854826.368266791</v>
      </c>
      <c r="BF12" s="443">
        <v>56243243.713315673</v>
      </c>
      <c r="BG12" s="443">
        <v>57666802.956564911</v>
      </c>
      <c r="BH12" s="443">
        <v>59126393.566165827</v>
      </c>
      <c r="BI12" s="443">
        <v>0</v>
      </c>
      <c r="BJ12" s="442">
        <v>3934599.2821772001</v>
      </c>
      <c r="BK12" s="443">
        <v>3934599.2821772001</v>
      </c>
      <c r="BL12" s="443">
        <v>3934599.2821772001</v>
      </c>
      <c r="BM12" s="443">
        <v>3934599.2821772001</v>
      </c>
      <c r="BN12" s="443">
        <v>3934599.2821772001</v>
      </c>
      <c r="BO12" s="443">
        <v>3934599.2821772001</v>
      </c>
      <c r="BP12" s="443">
        <v>3934599.2821772001</v>
      </c>
      <c r="BQ12" s="443">
        <v>3934599.2821772001</v>
      </c>
      <c r="BR12" s="443">
        <v>3934599.2821772001</v>
      </c>
      <c r="BS12" s="443">
        <v>3934599.2821772001</v>
      </c>
      <c r="BT12" s="443">
        <v>3934599.2821772001</v>
      </c>
      <c r="BU12" s="443">
        <v>3934599.2821772001</v>
      </c>
      <c r="BV12" s="443">
        <v>4034186.9803045592</v>
      </c>
      <c r="BW12" s="443">
        <v>4034186.9803045592</v>
      </c>
      <c r="BX12" s="443">
        <v>4034186.9803045592</v>
      </c>
      <c r="BY12" s="443">
        <v>4034186.9803045592</v>
      </c>
      <c r="BZ12" s="443">
        <v>4034186.9803045592</v>
      </c>
      <c r="CA12" s="443">
        <v>4034186.9803045592</v>
      </c>
      <c r="CB12" s="443">
        <v>4034186.9803045592</v>
      </c>
      <c r="CC12" s="443">
        <v>4034186.9803045592</v>
      </c>
      <c r="CD12" s="443">
        <v>4034186.9803045592</v>
      </c>
      <c r="CE12" s="443">
        <v>4034186.9803045592</v>
      </c>
      <c r="CF12" s="443">
        <v>4034186.9803045592</v>
      </c>
      <c r="CG12" s="443">
        <v>4034186.9803045592</v>
      </c>
      <c r="CH12" s="443">
        <v>4136295.3187581724</v>
      </c>
      <c r="CI12" s="443">
        <v>4136295.3187581724</v>
      </c>
      <c r="CJ12" s="443">
        <v>4136295.3187581724</v>
      </c>
      <c r="CK12" s="443">
        <v>4136295.3187581724</v>
      </c>
      <c r="CL12" s="443">
        <v>4136295.3187581724</v>
      </c>
      <c r="CM12" s="443">
        <v>4136295.3187581724</v>
      </c>
      <c r="CN12" s="443">
        <v>4136295.3187581724</v>
      </c>
      <c r="CO12" s="443">
        <v>4136295.3187581724</v>
      </c>
      <c r="CP12" s="443">
        <v>4136295.3187581724</v>
      </c>
      <c r="CQ12" s="443">
        <v>4136295.3187581724</v>
      </c>
      <c r="CR12" s="443">
        <v>4136295.3187581724</v>
      </c>
      <c r="CS12" s="443">
        <v>4136295.3187581724</v>
      </c>
      <c r="CT12" s="443">
        <v>4240988.0968603836</v>
      </c>
      <c r="CU12" s="443">
        <v>4240988.0968603836</v>
      </c>
      <c r="CV12" s="443">
        <v>4240988.0968603836</v>
      </c>
      <c r="CW12" s="443">
        <v>4240988.0968603836</v>
      </c>
      <c r="CX12" s="443">
        <v>4240988.0968603836</v>
      </c>
      <c r="CY12" s="443">
        <v>4240988.0968603836</v>
      </c>
      <c r="CZ12" s="443">
        <v>4240988.0968603836</v>
      </c>
      <c r="DA12" s="443">
        <v>4240988.0968603836</v>
      </c>
      <c r="DB12" s="443">
        <v>4240988.0968603836</v>
      </c>
      <c r="DC12" s="443">
        <v>4240988.0968603836</v>
      </c>
      <c r="DD12" s="443">
        <v>4240988.0968603836</v>
      </c>
      <c r="DE12" s="443">
        <v>4240988.0968603836</v>
      </c>
      <c r="DF12" s="443">
        <v>4348330.7287428733</v>
      </c>
      <c r="DG12" s="443">
        <v>4348330.7287428733</v>
      </c>
      <c r="DH12" s="443">
        <v>4348330.7287428733</v>
      </c>
      <c r="DI12" s="443">
        <v>4348330.7287428733</v>
      </c>
      <c r="DJ12" s="443">
        <v>4348330.7287428733</v>
      </c>
      <c r="DK12" s="443">
        <v>4348330.7287428733</v>
      </c>
      <c r="DL12" s="443">
        <v>4348330.7287428733</v>
      </c>
      <c r="DM12" s="443">
        <v>4348330.7287428733</v>
      </c>
      <c r="DN12" s="443">
        <v>4348330.7287428733</v>
      </c>
      <c r="DO12" s="443">
        <v>4348330.7287428733</v>
      </c>
      <c r="DP12" s="443">
        <v>4348330.7287428733</v>
      </c>
      <c r="DQ12" s="443">
        <v>4348330.7287428733</v>
      </c>
      <c r="DR12" s="443">
        <v>4458390.284218709</v>
      </c>
      <c r="DS12" s="443">
        <v>4458390.284218709</v>
      </c>
      <c r="DT12" s="443">
        <v>4458390.284218709</v>
      </c>
      <c r="DU12" s="443">
        <v>4458390.284218709</v>
      </c>
      <c r="DV12" s="443">
        <v>4458390.284218709</v>
      </c>
      <c r="DW12" s="443">
        <v>4458390.284218709</v>
      </c>
      <c r="DX12" s="443">
        <v>4458390.284218709</v>
      </c>
      <c r="DY12" s="443">
        <v>4458390.284218709</v>
      </c>
      <c r="DZ12" s="443">
        <v>4458390.284218709</v>
      </c>
      <c r="EA12" s="443">
        <v>4458390.284218709</v>
      </c>
      <c r="EB12" s="443">
        <v>4458390.284218709</v>
      </c>
      <c r="EC12" s="443">
        <v>4458390.284218709</v>
      </c>
      <c r="ED12" s="443">
        <v>4571235.5306889005</v>
      </c>
      <c r="EE12" s="443">
        <v>4571235.5306889005</v>
      </c>
      <c r="EF12" s="443">
        <v>4571235.5306889005</v>
      </c>
      <c r="EG12" s="443">
        <v>4571235.5306889005</v>
      </c>
      <c r="EH12" s="443">
        <v>4571235.5306889005</v>
      </c>
      <c r="EI12" s="443">
        <v>4571235.5306889005</v>
      </c>
      <c r="EJ12" s="443">
        <v>4571235.5306889005</v>
      </c>
      <c r="EK12" s="443">
        <v>4571235.5306889005</v>
      </c>
      <c r="EL12" s="443">
        <v>4571235.5306889005</v>
      </c>
      <c r="EM12" s="443">
        <v>4571235.5306889005</v>
      </c>
      <c r="EN12" s="443">
        <v>4571235.5306889005</v>
      </c>
      <c r="EO12" s="443">
        <v>4571235.5306889005</v>
      </c>
      <c r="EP12" s="443">
        <v>4686936.9761096397</v>
      </c>
      <c r="EQ12" s="443">
        <v>4686936.9761096397</v>
      </c>
      <c r="ER12" s="443">
        <v>4686936.9761096397</v>
      </c>
      <c r="ES12" s="443">
        <v>4686936.9761096397</v>
      </c>
      <c r="ET12" s="443">
        <v>4686936.9761096397</v>
      </c>
      <c r="EU12" s="443">
        <v>4686936.9761096397</v>
      </c>
      <c r="EV12" s="443">
        <v>4686936.9761096397</v>
      </c>
      <c r="EW12" s="443">
        <v>4686936.9761096397</v>
      </c>
      <c r="EX12" s="443">
        <v>4686936.9761096397</v>
      </c>
      <c r="EY12" s="443">
        <v>4686936.9761096397</v>
      </c>
      <c r="EZ12" s="443">
        <v>4686936.9761096397</v>
      </c>
      <c r="FA12" s="443">
        <v>4686936.9761096397</v>
      </c>
      <c r="FB12" s="443">
        <v>4805566.9130470762</v>
      </c>
      <c r="FC12" s="443">
        <v>4805566.9130470762</v>
      </c>
      <c r="FD12" s="443">
        <v>4805566.9130470762</v>
      </c>
      <c r="FE12" s="443">
        <v>4805566.9130470762</v>
      </c>
      <c r="FF12" s="443">
        <v>4805566.9130470762</v>
      </c>
      <c r="FG12" s="443">
        <v>4805566.9130470762</v>
      </c>
      <c r="FH12" s="443">
        <v>4805566.9130470762</v>
      </c>
      <c r="FI12" s="443">
        <v>4805566.9130470762</v>
      </c>
      <c r="FJ12" s="443">
        <v>4805566.9130470762</v>
      </c>
      <c r="FK12" s="443">
        <v>4805566.9130470762</v>
      </c>
      <c r="FL12" s="443">
        <v>4805566.9130470762</v>
      </c>
      <c r="FM12" s="443">
        <v>4805566.9130470762</v>
      </c>
      <c r="FN12" s="443">
        <v>4927199.463847152</v>
      </c>
      <c r="FO12" s="443">
        <v>4927199.463847152</v>
      </c>
      <c r="FP12" s="443">
        <v>4927199.463847152</v>
      </c>
      <c r="FQ12" s="443">
        <v>4927199.463847152</v>
      </c>
      <c r="FR12" s="443">
        <v>4927199.463847152</v>
      </c>
      <c r="FS12" s="443">
        <v>4927199.463847152</v>
      </c>
      <c r="FT12" s="443">
        <v>4927199.463847152</v>
      </c>
      <c r="FU12" s="443">
        <v>4927199.463847152</v>
      </c>
      <c r="FV12" s="443">
        <v>4927199.463847152</v>
      </c>
      <c r="FW12" s="443">
        <v>4927199.463847152</v>
      </c>
      <c r="FX12" s="443">
        <v>4927199.463847152</v>
      </c>
      <c r="FY12" s="443">
        <v>4927199.463847152</v>
      </c>
      <c r="FZ12" s="443">
        <v>0</v>
      </c>
      <c r="GA12" s="443">
        <v>0</v>
      </c>
      <c r="GB12" s="443">
        <v>0</v>
      </c>
      <c r="GC12" s="443">
        <v>0</v>
      </c>
      <c r="GD12" s="443">
        <v>0</v>
      </c>
      <c r="GE12" s="443">
        <v>0</v>
      </c>
      <c r="GF12" s="443">
        <v>0</v>
      </c>
      <c r="GG12" s="443">
        <v>0</v>
      </c>
      <c r="GH12" s="443">
        <v>0</v>
      </c>
      <c r="GI12" s="443">
        <v>0</v>
      </c>
      <c r="GJ12" s="443">
        <v>0</v>
      </c>
      <c r="GK12" s="443">
        <v>0</v>
      </c>
      <c r="GL12" s="442">
        <v>3934599.2821772001</v>
      </c>
      <c r="GM12" s="443">
        <v>3934599.2821772001</v>
      </c>
      <c r="GN12" s="443">
        <v>3934599.2821772001</v>
      </c>
      <c r="GO12" s="443">
        <v>3934599.2821772001</v>
      </c>
      <c r="GP12" s="443">
        <v>3934599.2821772001</v>
      </c>
      <c r="GQ12" s="443">
        <v>3934599.2821772001</v>
      </c>
      <c r="GR12" s="443">
        <v>3934599.2821772001</v>
      </c>
      <c r="GS12" s="443">
        <v>3934599.2821772001</v>
      </c>
      <c r="GT12" s="443">
        <v>3934599.2821772001</v>
      </c>
      <c r="GU12" s="443">
        <v>3934599.2821772001</v>
      </c>
      <c r="GV12" s="443">
        <v>3934599.2821772001</v>
      </c>
      <c r="GW12" s="443">
        <v>3934599.2821772001</v>
      </c>
      <c r="GX12" s="443">
        <v>4034186.9803045592</v>
      </c>
      <c r="GY12" s="443">
        <v>4034186.9803045592</v>
      </c>
      <c r="GZ12" s="443">
        <v>4034186.9803045592</v>
      </c>
      <c r="HA12" s="443">
        <v>4034186.9803045592</v>
      </c>
      <c r="HB12" s="443">
        <v>4034186.9803045592</v>
      </c>
      <c r="HC12" s="443">
        <v>4034186.9803045592</v>
      </c>
      <c r="HD12" s="443">
        <v>4034186.9803045592</v>
      </c>
      <c r="HE12" s="443">
        <v>4034186.9803045592</v>
      </c>
      <c r="HF12" s="443">
        <v>4034186.9803045592</v>
      </c>
      <c r="HG12" s="443">
        <v>4034186.9803045592</v>
      </c>
      <c r="HH12" s="443">
        <v>4034186.9803045592</v>
      </c>
      <c r="HI12" s="443">
        <v>4034186.9803045592</v>
      </c>
      <c r="HJ12" s="443">
        <v>4136295.3187581724</v>
      </c>
      <c r="HK12" s="443">
        <v>4136295.3187581724</v>
      </c>
      <c r="HL12" s="443">
        <v>4136295.3187581724</v>
      </c>
      <c r="HM12" s="443">
        <v>4136295.3187581724</v>
      </c>
      <c r="HN12" s="443">
        <v>4136295.3187581724</v>
      </c>
      <c r="HO12" s="443">
        <v>4136295.3187581724</v>
      </c>
      <c r="HP12" s="443">
        <v>4136295.3187581724</v>
      </c>
      <c r="HQ12" s="443">
        <v>4136295.3187581724</v>
      </c>
      <c r="HR12" s="443">
        <v>4136295.3187581724</v>
      </c>
      <c r="HS12" s="443">
        <v>4136295.3187581724</v>
      </c>
      <c r="HT12" s="443">
        <v>4136295.3187581724</v>
      </c>
      <c r="HU12" s="443">
        <v>4136295.3187581724</v>
      </c>
      <c r="HV12" s="443">
        <v>4240988.0968603836</v>
      </c>
      <c r="HW12" s="443">
        <v>4240988.0968603836</v>
      </c>
      <c r="HX12" s="443">
        <v>4240988.0968603836</v>
      </c>
      <c r="HY12" s="443">
        <v>4240988.0968603836</v>
      </c>
      <c r="HZ12" s="443">
        <v>4240988.0968603836</v>
      </c>
      <c r="IA12" s="443">
        <v>4240988.0968603836</v>
      </c>
      <c r="IB12" s="443">
        <v>4240988.0968603836</v>
      </c>
      <c r="IC12" s="443">
        <v>4240988.0968603836</v>
      </c>
      <c r="ID12" s="443">
        <v>4240988.0968603836</v>
      </c>
      <c r="IE12" s="443">
        <v>4240988.0968603836</v>
      </c>
      <c r="IF12" s="443">
        <v>4240988.0968603836</v>
      </c>
      <c r="IG12" s="443">
        <v>4240988.0968603836</v>
      </c>
      <c r="IH12" s="443">
        <v>4348330.7287428733</v>
      </c>
      <c r="II12" s="443">
        <v>4348330.7287428733</v>
      </c>
      <c r="IJ12" s="443">
        <v>4348330.7287428733</v>
      </c>
      <c r="IK12" s="443">
        <v>4348330.7287428733</v>
      </c>
      <c r="IL12" s="443">
        <v>4348330.7287428733</v>
      </c>
      <c r="IM12" s="443">
        <v>4348330.7287428733</v>
      </c>
      <c r="IN12" s="443">
        <v>4348330.7287428733</v>
      </c>
      <c r="IO12" s="443">
        <v>4348330.7287428733</v>
      </c>
      <c r="IP12" s="443">
        <v>4348330.7287428733</v>
      </c>
      <c r="IQ12" s="443">
        <v>4348330.7287428733</v>
      </c>
      <c r="IR12" s="443">
        <v>4348330.7287428733</v>
      </c>
      <c r="IS12" s="443">
        <v>4348330.7287428733</v>
      </c>
      <c r="IT12" s="443">
        <v>4458390.284218709</v>
      </c>
      <c r="IU12" s="443">
        <v>4458390.284218709</v>
      </c>
      <c r="IV12" s="443">
        <v>4458390.284218709</v>
      </c>
      <c r="IW12" s="443">
        <v>4458390.284218709</v>
      </c>
      <c r="IX12" s="443">
        <v>4458390.284218709</v>
      </c>
      <c r="IY12" s="443">
        <v>4458390.284218709</v>
      </c>
      <c r="IZ12" s="443">
        <v>4458390.284218709</v>
      </c>
      <c r="JA12" s="443">
        <v>4458390.284218709</v>
      </c>
      <c r="JB12" s="443">
        <v>4458390.284218709</v>
      </c>
      <c r="JC12" s="443">
        <v>4458390.284218709</v>
      </c>
      <c r="JD12" s="443">
        <v>4458390.284218709</v>
      </c>
      <c r="JE12" s="443">
        <v>4458390.284218709</v>
      </c>
      <c r="JF12" s="443">
        <v>4571235.5306889005</v>
      </c>
      <c r="JG12" s="443">
        <v>4571235.5306889005</v>
      </c>
      <c r="JH12" s="443">
        <v>4571235.5306889005</v>
      </c>
      <c r="JI12" s="443">
        <v>4571235.5306889005</v>
      </c>
      <c r="JJ12" s="443">
        <v>4571235.5306889005</v>
      </c>
      <c r="JK12" s="443">
        <v>4571235.5306889005</v>
      </c>
      <c r="JL12" s="443">
        <v>4571235.5306889005</v>
      </c>
      <c r="JM12" s="443">
        <v>4571235.5306889005</v>
      </c>
      <c r="JN12" s="443">
        <v>4571235.5306889005</v>
      </c>
      <c r="JO12" s="443">
        <v>4571235.5306889005</v>
      </c>
      <c r="JP12" s="443">
        <v>4571235.5306889005</v>
      </c>
      <c r="JQ12" s="443">
        <v>4571235.5306889005</v>
      </c>
      <c r="JR12" s="443">
        <v>4686936.9761096397</v>
      </c>
      <c r="JS12" s="443">
        <v>4686936.9761096397</v>
      </c>
      <c r="JT12" s="443">
        <v>4686936.9761096397</v>
      </c>
      <c r="JU12" s="443">
        <v>4686936.9761096397</v>
      </c>
      <c r="JV12" s="443">
        <v>4686936.9761096397</v>
      </c>
      <c r="JW12" s="443">
        <v>4686936.9761096397</v>
      </c>
      <c r="JX12" s="443">
        <v>4686936.9761096397</v>
      </c>
      <c r="JY12" s="443">
        <v>4686936.9761096397</v>
      </c>
      <c r="JZ12" s="443">
        <v>4686936.9761096397</v>
      </c>
      <c r="KA12" s="443">
        <v>4686936.9761096397</v>
      </c>
      <c r="KB12" s="443">
        <v>4686936.9761096397</v>
      </c>
      <c r="KC12" s="443">
        <v>4686936.9761096397</v>
      </c>
      <c r="KD12" s="443">
        <v>4805566.9130470762</v>
      </c>
      <c r="KE12" s="443">
        <v>4805566.9130470762</v>
      </c>
      <c r="KF12" s="443">
        <v>4805566.9130470762</v>
      </c>
      <c r="KG12" s="443">
        <v>4805566.9130470762</v>
      </c>
      <c r="KH12" s="443">
        <v>4805566.9130470762</v>
      </c>
      <c r="KI12" s="443">
        <v>4805566.9130470762</v>
      </c>
      <c r="KJ12" s="443">
        <v>4805566.9130470762</v>
      </c>
      <c r="KK12" s="443">
        <v>4805566.9130470762</v>
      </c>
      <c r="KL12" s="443">
        <v>4805566.9130470762</v>
      </c>
      <c r="KM12" s="443">
        <v>4805566.9130470762</v>
      </c>
      <c r="KN12" s="443">
        <v>4805566.9130470762</v>
      </c>
      <c r="KO12" s="443">
        <v>4805566.9130470762</v>
      </c>
      <c r="KP12" s="443">
        <v>4927199.463847152</v>
      </c>
      <c r="KQ12" s="443">
        <v>4927199.463847152</v>
      </c>
      <c r="KR12" s="443">
        <v>4927199.463847152</v>
      </c>
      <c r="KS12" s="443">
        <v>4927199.463847152</v>
      </c>
      <c r="KT12" s="443">
        <v>4927199.463847152</v>
      </c>
      <c r="KU12" s="443">
        <v>4927199.463847152</v>
      </c>
      <c r="KV12" s="443">
        <v>4927199.463847152</v>
      </c>
      <c r="KW12" s="443">
        <v>4927199.463847152</v>
      </c>
      <c r="KX12" s="443">
        <v>4927199.463847152</v>
      </c>
      <c r="KY12" s="443">
        <v>4927199.463847152</v>
      </c>
      <c r="KZ12" s="443">
        <v>4927199.463847152</v>
      </c>
      <c r="LA12" s="33">
        <v>4927199.463847152</v>
      </c>
      <c r="LB12" s="27"/>
    </row>
    <row r="13" spans="1:314">
      <c r="A13" s="459" t="s">
        <v>990</v>
      </c>
      <c r="B13" s="463" t="s">
        <v>1185</v>
      </c>
      <c r="C13" s="463" t="s">
        <v>176</v>
      </c>
      <c r="D13" s="456" t="s">
        <v>1207</v>
      </c>
      <c r="E13" s="463" t="s">
        <v>1208</v>
      </c>
      <c r="F13" s="456"/>
      <c r="G13" s="456"/>
      <c r="H13" s="456"/>
      <c r="I13" s="456"/>
      <c r="J13" s="456" t="s">
        <v>1417</v>
      </c>
      <c r="K13" s="456">
        <v>0</v>
      </c>
      <c r="L13" s="456" t="s">
        <v>899</v>
      </c>
      <c r="M13" s="470">
        <v>1</v>
      </c>
      <c r="N13" s="470">
        <v>1</v>
      </c>
      <c r="O13" s="470">
        <v>1</v>
      </c>
      <c r="P13" s="470">
        <v>1</v>
      </c>
      <c r="Q13" s="470">
        <v>1</v>
      </c>
      <c r="R13" s="470">
        <v>1</v>
      </c>
      <c r="S13" s="470">
        <v>1</v>
      </c>
      <c r="T13" s="470">
        <v>1</v>
      </c>
      <c r="U13" s="470">
        <v>1</v>
      </c>
      <c r="V13" s="470">
        <v>1</v>
      </c>
      <c r="W13" s="470">
        <v>0</v>
      </c>
      <c r="X13" s="457">
        <v>0</v>
      </c>
      <c r="Y13" s="472">
        <v>3005310.9254727201</v>
      </c>
      <c r="Z13" s="472">
        <v>3081377.629032738</v>
      </c>
      <c r="AA13" s="472">
        <v>3159369.6386705549</v>
      </c>
      <c r="AB13" s="472">
        <v>3239335.6853462318</v>
      </c>
      <c r="AC13" s="472">
        <v>3321325.733437466</v>
      </c>
      <c r="AD13" s="472">
        <v>3405391.0119583257</v>
      </c>
      <c r="AE13" s="472">
        <v>3491584.0465681599</v>
      </c>
      <c r="AF13" s="472">
        <v>3579958.6923906752</v>
      </c>
      <c r="AG13" s="472">
        <v>3670570.1676636892</v>
      </c>
      <c r="AH13" s="472">
        <v>3763475.0882405844</v>
      </c>
      <c r="AI13" s="472">
        <v>0</v>
      </c>
      <c r="AJ13" s="457">
        <v>12</v>
      </c>
      <c r="AK13" s="457">
        <v>12</v>
      </c>
      <c r="AL13" s="457">
        <v>12</v>
      </c>
      <c r="AM13" s="457">
        <v>12</v>
      </c>
      <c r="AN13" s="457">
        <v>12</v>
      </c>
      <c r="AO13" s="457">
        <v>12</v>
      </c>
      <c r="AP13" s="457">
        <v>12</v>
      </c>
      <c r="AQ13" s="457">
        <v>12</v>
      </c>
      <c r="AR13" s="457">
        <v>12</v>
      </c>
      <c r="AS13" s="457">
        <v>12</v>
      </c>
      <c r="AT13" s="457"/>
      <c r="AU13" s="458">
        <v>1</v>
      </c>
      <c r="AV13" s="510">
        <v>1.02531076</v>
      </c>
      <c r="AW13" s="456">
        <v>0</v>
      </c>
      <c r="AX13" s="443">
        <v>404612383.42537373</v>
      </c>
      <c r="AY13" s="443">
        <v>36063731.10567265</v>
      </c>
      <c r="AZ13" s="443">
        <v>36976531.548392855</v>
      </c>
      <c r="BA13" s="443">
        <v>37912435.664046668</v>
      </c>
      <c r="BB13" s="443">
        <v>38872028.224154778</v>
      </c>
      <c r="BC13" s="443">
        <v>39855908.801249593</v>
      </c>
      <c r="BD13" s="443">
        <v>40864692.143499911</v>
      </c>
      <c r="BE13" s="443">
        <v>41899008.558817923</v>
      </c>
      <c r="BF13" s="443">
        <v>42959504.308688104</v>
      </c>
      <c r="BG13" s="443">
        <v>44046842.011964262</v>
      </c>
      <c r="BH13" s="443">
        <v>45161701.058887027</v>
      </c>
      <c r="BI13" s="443">
        <v>0</v>
      </c>
      <c r="BJ13" s="442">
        <v>3005310.9254727201</v>
      </c>
      <c r="BK13" s="443">
        <v>3005310.9254727201</v>
      </c>
      <c r="BL13" s="443">
        <v>3005310.9254727201</v>
      </c>
      <c r="BM13" s="443">
        <v>3005310.9254727201</v>
      </c>
      <c r="BN13" s="443">
        <v>3005310.9254727201</v>
      </c>
      <c r="BO13" s="443">
        <v>3005310.9254727201</v>
      </c>
      <c r="BP13" s="443">
        <v>3005310.9254727201</v>
      </c>
      <c r="BQ13" s="443">
        <v>3005310.9254727201</v>
      </c>
      <c r="BR13" s="443">
        <v>3005310.9254727201</v>
      </c>
      <c r="BS13" s="443">
        <v>3005310.9254727201</v>
      </c>
      <c r="BT13" s="443">
        <v>3005310.9254727201</v>
      </c>
      <c r="BU13" s="443">
        <v>3005310.9254727201</v>
      </c>
      <c r="BV13" s="443">
        <v>3081377.629032738</v>
      </c>
      <c r="BW13" s="443">
        <v>3081377.629032738</v>
      </c>
      <c r="BX13" s="443">
        <v>3081377.629032738</v>
      </c>
      <c r="BY13" s="443">
        <v>3081377.629032738</v>
      </c>
      <c r="BZ13" s="443">
        <v>3081377.629032738</v>
      </c>
      <c r="CA13" s="443">
        <v>3081377.629032738</v>
      </c>
      <c r="CB13" s="443">
        <v>3081377.629032738</v>
      </c>
      <c r="CC13" s="443">
        <v>3081377.629032738</v>
      </c>
      <c r="CD13" s="443">
        <v>3081377.629032738</v>
      </c>
      <c r="CE13" s="443">
        <v>3081377.629032738</v>
      </c>
      <c r="CF13" s="443">
        <v>3081377.629032738</v>
      </c>
      <c r="CG13" s="443">
        <v>3081377.629032738</v>
      </c>
      <c r="CH13" s="443">
        <v>3159369.6386705549</v>
      </c>
      <c r="CI13" s="443">
        <v>3159369.6386705549</v>
      </c>
      <c r="CJ13" s="443">
        <v>3159369.6386705549</v>
      </c>
      <c r="CK13" s="443">
        <v>3159369.6386705549</v>
      </c>
      <c r="CL13" s="443">
        <v>3159369.6386705549</v>
      </c>
      <c r="CM13" s="443">
        <v>3159369.6386705549</v>
      </c>
      <c r="CN13" s="443">
        <v>3159369.6386705549</v>
      </c>
      <c r="CO13" s="443">
        <v>3159369.6386705549</v>
      </c>
      <c r="CP13" s="443">
        <v>3159369.6386705549</v>
      </c>
      <c r="CQ13" s="443">
        <v>3159369.6386705549</v>
      </c>
      <c r="CR13" s="443">
        <v>3159369.6386705549</v>
      </c>
      <c r="CS13" s="443">
        <v>3159369.6386705549</v>
      </c>
      <c r="CT13" s="443">
        <v>3239335.6853462318</v>
      </c>
      <c r="CU13" s="443">
        <v>3239335.6853462318</v>
      </c>
      <c r="CV13" s="443">
        <v>3239335.6853462318</v>
      </c>
      <c r="CW13" s="443">
        <v>3239335.6853462318</v>
      </c>
      <c r="CX13" s="443">
        <v>3239335.6853462318</v>
      </c>
      <c r="CY13" s="443">
        <v>3239335.6853462318</v>
      </c>
      <c r="CZ13" s="443">
        <v>3239335.6853462318</v>
      </c>
      <c r="DA13" s="443">
        <v>3239335.6853462318</v>
      </c>
      <c r="DB13" s="443">
        <v>3239335.6853462318</v>
      </c>
      <c r="DC13" s="443">
        <v>3239335.6853462318</v>
      </c>
      <c r="DD13" s="443">
        <v>3239335.6853462318</v>
      </c>
      <c r="DE13" s="443">
        <v>3239335.6853462318</v>
      </c>
      <c r="DF13" s="443">
        <v>3321325.733437466</v>
      </c>
      <c r="DG13" s="443">
        <v>3321325.733437466</v>
      </c>
      <c r="DH13" s="443">
        <v>3321325.733437466</v>
      </c>
      <c r="DI13" s="443">
        <v>3321325.733437466</v>
      </c>
      <c r="DJ13" s="443">
        <v>3321325.733437466</v>
      </c>
      <c r="DK13" s="443">
        <v>3321325.733437466</v>
      </c>
      <c r="DL13" s="443">
        <v>3321325.733437466</v>
      </c>
      <c r="DM13" s="443">
        <v>3321325.733437466</v>
      </c>
      <c r="DN13" s="443">
        <v>3321325.733437466</v>
      </c>
      <c r="DO13" s="443">
        <v>3321325.733437466</v>
      </c>
      <c r="DP13" s="443">
        <v>3321325.733437466</v>
      </c>
      <c r="DQ13" s="443">
        <v>3321325.733437466</v>
      </c>
      <c r="DR13" s="443">
        <v>3405391.0119583257</v>
      </c>
      <c r="DS13" s="443">
        <v>3405391.0119583257</v>
      </c>
      <c r="DT13" s="443">
        <v>3405391.0119583257</v>
      </c>
      <c r="DU13" s="443">
        <v>3405391.0119583257</v>
      </c>
      <c r="DV13" s="443">
        <v>3405391.0119583257</v>
      </c>
      <c r="DW13" s="443">
        <v>3405391.0119583257</v>
      </c>
      <c r="DX13" s="443">
        <v>3405391.0119583257</v>
      </c>
      <c r="DY13" s="443">
        <v>3405391.0119583257</v>
      </c>
      <c r="DZ13" s="443">
        <v>3405391.0119583257</v>
      </c>
      <c r="EA13" s="443">
        <v>3405391.0119583257</v>
      </c>
      <c r="EB13" s="443">
        <v>3405391.0119583257</v>
      </c>
      <c r="EC13" s="443">
        <v>3405391.0119583257</v>
      </c>
      <c r="ED13" s="443">
        <v>3491584.0465681599</v>
      </c>
      <c r="EE13" s="443">
        <v>3491584.0465681599</v>
      </c>
      <c r="EF13" s="443">
        <v>3491584.0465681599</v>
      </c>
      <c r="EG13" s="443">
        <v>3491584.0465681599</v>
      </c>
      <c r="EH13" s="443">
        <v>3491584.0465681599</v>
      </c>
      <c r="EI13" s="443">
        <v>3491584.0465681599</v>
      </c>
      <c r="EJ13" s="443">
        <v>3491584.0465681599</v>
      </c>
      <c r="EK13" s="443">
        <v>3491584.0465681599</v>
      </c>
      <c r="EL13" s="443">
        <v>3491584.0465681599</v>
      </c>
      <c r="EM13" s="443">
        <v>3491584.0465681599</v>
      </c>
      <c r="EN13" s="443">
        <v>3491584.0465681599</v>
      </c>
      <c r="EO13" s="443">
        <v>3491584.0465681599</v>
      </c>
      <c r="EP13" s="443">
        <v>3579958.6923906752</v>
      </c>
      <c r="EQ13" s="443">
        <v>3579958.6923906752</v>
      </c>
      <c r="ER13" s="443">
        <v>3579958.6923906752</v>
      </c>
      <c r="ES13" s="443">
        <v>3579958.6923906752</v>
      </c>
      <c r="ET13" s="443">
        <v>3579958.6923906752</v>
      </c>
      <c r="EU13" s="443">
        <v>3579958.6923906752</v>
      </c>
      <c r="EV13" s="443">
        <v>3579958.6923906752</v>
      </c>
      <c r="EW13" s="443">
        <v>3579958.6923906752</v>
      </c>
      <c r="EX13" s="443">
        <v>3579958.6923906752</v>
      </c>
      <c r="EY13" s="443">
        <v>3579958.6923906752</v>
      </c>
      <c r="EZ13" s="443">
        <v>3579958.6923906752</v>
      </c>
      <c r="FA13" s="443">
        <v>3579958.6923906752</v>
      </c>
      <c r="FB13" s="443">
        <v>3670570.1676636892</v>
      </c>
      <c r="FC13" s="443">
        <v>3670570.1676636892</v>
      </c>
      <c r="FD13" s="443">
        <v>3670570.1676636892</v>
      </c>
      <c r="FE13" s="443">
        <v>3670570.1676636892</v>
      </c>
      <c r="FF13" s="443">
        <v>3670570.1676636892</v>
      </c>
      <c r="FG13" s="443">
        <v>3670570.1676636892</v>
      </c>
      <c r="FH13" s="443">
        <v>3670570.1676636892</v>
      </c>
      <c r="FI13" s="443">
        <v>3670570.1676636892</v>
      </c>
      <c r="FJ13" s="443">
        <v>3670570.1676636892</v>
      </c>
      <c r="FK13" s="443">
        <v>3670570.1676636892</v>
      </c>
      <c r="FL13" s="443">
        <v>3670570.1676636892</v>
      </c>
      <c r="FM13" s="443">
        <v>3670570.1676636892</v>
      </c>
      <c r="FN13" s="443">
        <v>3763475.0882405844</v>
      </c>
      <c r="FO13" s="443">
        <v>3763475.0882405844</v>
      </c>
      <c r="FP13" s="443">
        <v>3763475.0882405844</v>
      </c>
      <c r="FQ13" s="443">
        <v>3763475.0882405844</v>
      </c>
      <c r="FR13" s="443">
        <v>3763475.0882405844</v>
      </c>
      <c r="FS13" s="443">
        <v>3763475.0882405844</v>
      </c>
      <c r="FT13" s="443">
        <v>3763475.0882405844</v>
      </c>
      <c r="FU13" s="443">
        <v>3763475.0882405844</v>
      </c>
      <c r="FV13" s="443">
        <v>3763475.0882405844</v>
      </c>
      <c r="FW13" s="443">
        <v>3763475.0882405844</v>
      </c>
      <c r="FX13" s="443">
        <v>3763475.0882405844</v>
      </c>
      <c r="FY13" s="443">
        <v>3763475.0882405844</v>
      </c>
      <c r="FZ13" s="443">
        <v>0</v>
      </c>
      <c r="GA13" s="443">
        <v>0</v>
      </c>
      <c r="GB13" s="443">
        <v>0</v>
      </c>
      <c r="GC13" s="443">
        <v>0</v>
      </c>
      <c r="GD13" s="443">
        <v>0</v>
      </c>
      <c r="GE13" s="443">
        <v>0</v>
      </c>
      <c r="GF13" s="443">
        <v>0</v>
      </c>
      <c r="GG13" s="443">
        <v>0</v>
      </c>
      <c r="GH13" s="443">
        <v>0</v>
      </c>
      <c r="GI13" s="443">
        <v>0</v>
      </c>
      <c r="GJ13" s="443">
        <v>0</v>
      </c>
      <c r="GK13" s="443">
        <v>0</v>
      </c>
      <c r="GL13" s="442">
        <v>3005310.9254727201</v>
      </c>
      <c r="GM13" s="443">
        <v>3005310.9254727201</v>
      </c>
      <c r="GN13" s="443">
        <v>3005310.9254727201</v>
      </c>
      <c r="GO13" s="443">
        <v>3005310.9254727201</v>
      </c>
      <c r="GP13" s="443">
        <v>3005310.9254727201</v>
      </c>
      <c r="GQ13" s="443">
        <v>3005310.9254727201</v>
      </c>
      <c r="GR13" s="443">
        <v>3005310.9254727201</v>
      </c>
      <c r="GS13" s="443">
        <v>3005310.9254727201</v>
      </c>
      <c r="GT13" s="443">
        <v>3005310.9254727201</v>
      </c>
      <c r="GU13" s="443">
        <v>3005310.9254727201</v>
      </c>
      <c r="GV13" s="443">
        <v>3005310.9254727201</v>
      </c>
      <c r="GW13" s="443">
        <v>3005310.9254727201</v>
      </c>
      <c r="GX13" s="443">
        <v>3081377.629032738</v>
      </c>
      <c r="GY13" s="443">
        <v>3081377.629032738</v>
      </c>
      <c r="GZ13" s="443">
        <v>3081377.629032738</v>
      </c>
      <c r="HA13" s="443">
        <v>3081377.629032738</v>
      </c>
      <c r="HB13" s="443">
        <v>3081377.629032738</v>
      </c>
      <c r="HC13" s="443">
        <v>3081377.629032738</v>
      </c>
      <c r="HD13" s="443">
        <v>3081377.629032738</v>
      </c>
      <c r="HE13" s="443">
        <v>3081377.629032738</v>
      </c>
      <c r="HF13" s="443">
        <v>3081377.629032738</v>
      </c>
      <c r="HG13" s="443">
        <v>3081377.629032738</v>
      </c>
      <c r="HH13" s="443">
        <v>3081377.629032738</v>
      </c>
      <c r="HI13" s="443">
        <v>3081377.629032738</v>
      </c>
      <c r="HJ13" s="443">
        <v>3159369.6386705549</v>
      </c>
      <c r="HK13" s="443">
        <v>3159369.6386705549</v>
      </c>
      <c r="HL13" s="443">
        <v>3159369.6386705549</v>
      </c>
      <c r="HM13" s="443">
        <v>3159369.6386705549</v>
      </c>
      <c r="HN13" s="443">
        <v>3159369.6386705549</v>
      </c>
      <c r="HO13" s="443">
        <v>3159369.6386705549</v>
      </c>
      <c r="HP13" s="443">
        <v>3159369.6386705549</v>
      </c>
      <c r="HQ13" s="443">
        <v>3159369.6386705549</v>
      </c>
      <c r="HR13" s="443">
        <v>3159369.6386705549</v>
      </c>
      <c r="HS13" s="443">
        <v>3159369.6386705549</v>
      </c>
      <c r="HT13" s="443">
        <v>3159369.6386705549</v>
      </c>
      <c r="HU13" s="443">
        <v>3159369.6386705549</v>
      </c>
      <c r="HV13" s="443">
        <v>3239335.6853462318</v>
      </c>
      <c r="HW13" s="443">
        <v>3239335.6853462318</v>
      </c>
      <c r="HX13" s="443">
        <v>3239335.6853462318</v>
      </c>
      <c r="HY13" s="443">
        <v>3239335.6853462318</v>
      </c>
      <c r="HZ13" s="443">
        <v>3239335.6853462318</v>
      </c>
      <c r="IA13" s="443">
        <v>3239335.6853462318</v>
      </c>
      <c r="IB13" s="443">
        <v>3239335.6853462318</v>
      </c>
      <c r="IC13" s="443">
        <v>3239335.6853462318</v>
      </c>
      <c r="ID13" s="443">
        <v>3239335.6853462318</v>
      </c>
      <c r="IE13" s="443">
        <v>3239335.6853462318</v>
      </c>
      <c r="IF13" s="443">
        <v>3239335.6853462318</v>
      </c>
      <c r="IG13" s="443">
        <v>3239335.6853462318</v>
      </c>
      <c r="IH13" s="443">
        <v>3321325.733437466</v>
      </c>
      <c r="II13" s="443">
        <v>3321325.733437466</v>
      </c>
      <c r="IJ13" s="443">
        <v>3321325.733437466</v>
      </c>
      <c r="IK13" s="443">
        <v>3321325.733437466</v>
      </c>
      <c r="IL13" s="443">
        <v>3321325.733437466</v>
      </c>
      <c r="IM13" s="443">
        <v>3321325.733437466</v>
      </c>
      <c r="IN13" s="443">
        <v>3321325.733437466</v>
      </c>
      <c r="IO13" s="443">
        <v>3321325.733437466</v>
      </c>
      <c r="IP13" s="443">
        <v>3321325.733437466</v>
      </c>
      <c r="IQ13" s="443">
        <v>3321325.733437466</v>
      </c>
      <c r="IR13" s="443">
        <v>3321325.733437466</v>
      </c>
      <c r="IS13" s="443">
        <v>3321325.733437466</v>
      </c>
      <c r="IT13" s="443">
        <v>3405391.0119583257</v>
      </c>
      <c r="IU13" s="443">
        <v>3405391.0119583257</v>
      </c>
      <c r="IV13" s="443">
        <v>3405391.0119583257</v>
      </c>
      <c r="IW13" s="443">
        <v>3405391.0119583257</v>
      </c>
      <c r="IX13" s="443">
        <v>3405391.0119583257</v>
      </c>
      <c r="IY13" s="443">
        <v>3405391.0119583257</v>
      </c>
      <c r="IZ13" s="443">
        <v>3405391.0119583257</v>
      </c>
      <c r="JA13" s="443">
        <v>3405391.0119583257</v>
      </c>
      <c r="JB13" s="443">
        <v>3405391.0119583257</v>
      </c>
      <c r="JC13" s="443">
        <v>3405391.0119583257</v>
      </c>
      <c r="JD13" s="443">
        <v>3405391.0119583257</v>
      </c>
      <c r="JE13" s="443">
        <v>3405391.0119583257</v>
      </c>
      <c r="JF13" s="443">
        <v>3491584.0465681599</v>
      </c>
      <c r="JG13" s="443">
        <v>3491584.0465681599</v>
      </c>
      <c r="JH13" s="443">
        <v>3491584.0465681599</v>
      </c>
      <c r="JI13" s="443">
        <v>3491584.0465681599</v>
      </c>
      <c r="JJ13" s="443">
        <v>3491584.0465681599</v>
      </c>
      <c r="JK13" s="443">
        <v>3491584.0465681599</v>
      </c>
      <c r="JL13" s="443">
        <v>3491584.0465681599</v>
      </c>
      <c r="JM13" s="443">
        <v>3491584.0465681599</v>
      </c>
      <c r="JN13" s="443">
        <v>3491584.0465681599</v>
      </c>
      <c r="JO13" s="443">
        <v>3491584.0465681599</v>
      </c>
      <c r="JP13" s="443">
        <v>3491584.0465681599</v>
      </c>
      <c r="JQ13" s="443">
        <v>3491584.0465681599</v>
      </c>
      <c r="JR13" s="443">
        <v>3579958.6923906752</v>
      </c>
      <c r="JS13" s="443">
        <v>3579958.6923906752</v>
      </c>
      <c r="JT13" s="443">
        <v>3579958.6923906752</v>
      </c>
      <c r="JU13" s="443">
        <v>3579958.6923906752</v>
      </c>
      <c r="JV13" s="443">
        <v>3579958.6923906752</v>
      </c>
      <c r="JW13" s="443">
        <v>3579958.6923906752</v>
      </c>
      <c r="JX13" s="443">
        <v>3579958.6923906752</v>
      </c>
      <c r="JY13" s="443">
        <v>3579958.6923906752</v>
      </c>
      <c r="JZ13" s="443">
        <v>3579958.6923906752</v>
      </c>
      <c r="KA13" s="443">
        <v>3579958.6923906752</v>
      </c>
      <c r="KB13" s="443">
        <v>3579958.6923906752</v>
      </c>
      <c r="KC13" s="443">
        <v>3579958.6923906752</v>
      </c>
      <c r="KD13" s="443">
        <v>3670570.1676636892</v>
      </c>
      <c r="KE13" s="443">
        <v>3670570.1676636892</v>
      </c>
      <c r="KF13" s="443">
        <v>3670570.1676636892</v>
      </c>
      <c r="KG13" s="443">
        <v>3670570.1676636892</v>
      </c>
      <c r="KH13" s="443">
        <v>3670570.1676636892</v>
      </c>
      <c r="KI13" s="443">
        <v>3670570.1676636892</v>
      </c>
      <c r="KJ13" s="443">
        <v>3670570.1676636892</v>
      </c>
      <c r="KK13" s="443">
        <v>3670570.1676636892</v>
      </c>
      <c r="KL13" s="443">
        <v>3670570.1676636892</v>
      </c>
      <c r="KM13" s="443">
        <v>3670570.1676636892</v>
      </c>
      <c r="KN13" s="443">
        <v>3670570.1676636892</v>
      </c>
      <c r="KO13" s="443">
        <v>3670570.1676636892</v>
      </c>
      <c r="KP13" s="443">
        <v>3763475.0882405844</v>
      </c>
      <c r="KQ13" s="443">
        <v>3763475.0882405844</v>
      </c>
      <c r="KR13" s="443">
        <v>3763475.0882405844</v>
      </c>
      <c r="KS13" s="443">
        <v>3763475.0882405844</v>
      </c>
      <c r="KT13" s="443">
        <v>3763475.0882405844</v>
      </c>
      <c r="KU13" s="443">
        <v>3763475.0882405844</v>
      </c>
      <c r="KV13" s="443">
        <v>3763475.0882405844</v>
      </c>
      <c r="KW13" s="443">
        <v>3763475.0882405844</v>
      </c>
      <c r="KX13" s="443">
        <v>3763475.0882405844</v>
      </c>
      <c r="KY13" s="443">
        <v>3763475.0882405844</v>
      </c>
      <c r="KZ13" s="443">
        <v>3763475.0882405844</v>
      </c>
      <c r="LA13" s="33">
        <v>3763475.0882405844</v>
      </c>
      <c r="LB13" s="27"/>
    </row>
    <row r="14" spans="1:314">
      <c r="A14" s="459" t="s">
        <v>991</v>
      </c>
      <c r="B14" s="463" t="s">
        <v>1185</v>
      </c>
      <c r="C14" s="463" t="s">
        <v>176</v>
      </c>
      <c r="D14" s="456" t="s">
        <v>1207</v>
      </c>
      <c r="E14" s="463" t="s">
        <v>1209</v>
      </c>
      <c r="F14" s="456"/>
      <c r="G14" s="456"/>
      <c r="H14" s="456"/>
      <c r="I14" s="456"/>
      <c r="J14" s="456" t="s">
        <v>1417</v>
      </c>
      <c r="K14" s="456">
        <v>0</v>
      </c>
      <c r="L14" s="456" t="s">
        <v>899</v>
      </c>
      <c r="M14" s="470">
        <v>3</v>
      </c>
      <c r="N14" s="470">
        <v>3</v>
      </c>
      <c r="O14" s="470">
        <v>3</v>
      </c>
      <c r="P14" s="470">
        <v>3</v>
      </c>
      <c r="Q14" s="470">
        <v>3</v>
      </c>
      <c r="R14" s="470">
        <v>3</v>
      </c>
      <c r="S14" s="470">
        <v>3</v>
      </c>
      <c r="T14" s="470">
        <v>3</v>
      </c>
      <c r="U14" s="470">
        <v>3</v>
      </c>
      <c r="V14" s="470">
        <v>3</v>
      </c>
      <c r="W14" s="470">
        <v>0</v>
      </c>
      <c r="X14" s="457">
        <v>0</v>
      </c>
      <c r="Y14" s="472">
        <v>2822413.9414824001</v>
      </c>
      <c r="Z14" s="472">
        <v>2893851.3833759152</v>
      </c>
      <c r="AA14" s="472">
        <v>2967096.9612162109</v>
      </c>
      <c r="AB14" s="472">
        <v>3042196.4402982835</v>
      </c>
      <c r="AC14" s="472">
        <v>3119196.7442715275</v>
      </c>
      <c r="AD14" s="472">
        <v>3198145.9844585657</v>
      </c>
      <c r="AE14" s="472">
        <v>3279093.4899161602</v>
      </c>
      <c r="AF14" s="472">
        <v>3362089.8382569905</v>
      </c>
      <c r="AG14" s="472">
        <v>3447186.8872515522</v>
      </c>
      <c r="AH14" s="472">
        <v>3534437.8072299231</v>
      </c>
      <c r="AI14" s="472">
        <v>0</v>
      </c>
      <c r="AJ14" s="457">
        <v>12</v>
      </c>
      <c r="AK14" s="457">
        <v>12</v>
      </c>
      <c r="AL14" s="457">
        <v>12</v>
      </c>
      <c r="AM14" s="457">
        <v>12</v>
      </c>
      <c r="AN14" s="457">
        <v>12</v>
      </c>
      <c r="AO14" s="457">
        <v>12</v>
      </c>
      <c r="AP14" s="457">
        <v>12</v>
      </c>
      <c r="AQ14" s="457">
        <v>12</v>
      </c>
      <c r="AR14" s="457">
        <v>12</v>
      </c>
      <c r="AS14" s="457">
        <v>12</v>
      </c>
      <c r="AT14" s="457"/>
      <c r="AU14" s="458">
        <v>1</v>
      </c>
      <c r="AV14" s="510">
        <v>1.02531076</v>
      </c>
      <c r="AW14" s="456">
        <v>0</v>
      </c>
      <c r="AX14" s="443">
        <v>1139965541.199271</v>
      </c>
      <c r="AY14" s="443">
        <v>101606901.8933664</v>
      </c>
      <c r="AZ14" s="443">
        <v>104178649.80153292</v>
      </c>
      <c r="BA14" s="443">
        <v>106815490.60378359</v>
      </c>
      <c r="BB14" s="443">
        <v>109519071.85073821</v>
      </c>
      <c r="BC14" s="443">
        <v>112291082.79377498</v>
      </c>
      <c r="BD14" s="443">
        <v>115133255.44050837</v>
      </c>
      <c r="BE14" s="443">
        <v>118047365.63698177</v>
      </c>
      <c r="BF14" s="443">
        <v>121035234.17725165</v>
      </c>
      <c r="BG14" s="443">
        <v>124098727.94105585</v>
      </c>
      <c r="BH14" s="443">
        <v>127239761.06027721</v>
      </c>
      <c r="BI14" s="443">
        <v>0</v>
      </c>
      <c r="BJ14" s="442">
        <v>8467241.8244471997</v>
      </c>
      <c r="BK14" s="443">
        <v>8467241.8244471997</v>
      </c>
      <c r="BL14" s="443">
        <v>8467241.8244471997</v>
      </c>
      <c r="BM14" s="443">
        <v>8467241.8244471997</v>
      </c>
      <c r="BN14" s="443">
        <v>8467241.8244471997</v>
      </c>
      <c r="BO14" s="443">
        <v>8467241.8244471997</v>
      </c>
      <c r="BP14" s="443">
        <v>8467241.8244471997</v>
      </c>
      <c r="BQ14" s="443">
        <v>8467241.8244471997</v>
      </c>
      <c r="BR14" s="443">
        <v>8467241.8244471997</v>
      </c>
      <c r="BS14" s="443">
        <v>8467241.8244471997</v>
      </c>
      <c r="BT14" s="443">
        <v>8467241.8244471997</v>
      </c>
      <c r="BU14" s="443">
        <v>8467241.8244471997</v>
      </c>
      <c r="BV14" s="443">
        <v>8681554.1501277462</v>
      </c>
      <c r="BW14" s="443">
        <v>8681554.1501277462</v>
      </c>
      <c r="BX14" s="443">
        <v>8681554.1501277462</v>
      </c>
      <c r="BY14" s="443">
        <v>8681554.1501277462</v>
      </c>
      <c r="BZ14" s="443">
        <v>8681554.1501277462</v>
      </c>
      <c r="CA14" s="443">
        <v>8681554.1501277462</v>
      </c>
      <c r="CB14" s="443">
        <v>8681554.1501277462</v>
      </c>
      <c r="CC14" s="443">
        <v>8681554.1501277462</v>
      </c>
      <c r="CD14" s="443">
        <v>8681554.1501277462</v>
      </c>
      <c r="CE14" s="443">
        <v>8681554.1501277462</v>
      </c>
      <c r="CF14" s="443">
        <v>8681554.1501277462</v>
      </c>
      <c r="CG14" s="443">
        <v>8681554.1501277462</v>
      </c>
      <c r="CH14" s="443">
        <v>8901290.8836486321</v>
      </c>
      <c r="CI14" s="443">
        <v>8901290.8836486321</v>
      </c>
      <c r="CJ14" s="443">
        <v>8901290.8836486321</v>
      </c>
      <c r="CK14" s="443">
        <v>8901290.8836486321</v>
      </c>
      <c r="CL14" s="443">
        <v>8901290.8836486321</v>
      </c>
      <c r="CM14" s="443">
        <v>8901290.8836486321</v>
      </c>
      <c r="CN14" s="443">
        <v>8901290.8836486321</v>
      </c>
      <c r="CO14" s="443">
        <v>8901290.8836486321</v>
      </c>
      <c r="CP14" s="443">
        <v>8901290.8836486321</v>
      </c>
      <c r="CQ14" s="443">
        <v>8901290.8836486321</v>
      </c>
      <c r="CR14" s="443">
        <v>8901290.8836486321</v>
      </c>
      <c r="CS14" s="443">
        <v>8901290.8836486321</v>
      </c>
      <c r="CT14" s="443">
        <v>9126589.3208948504</v>
      </c>
      <c r="CU14" s="443">
        <v>9126589.3208948504</v>
      </c>
      <c r="CV14" s="443">
        <v>9126589.3208948504</v>
      </c>
      <c r="CW14" s="443">
        <v>9126589.3208948504</v>
      </c>
      <c r="CX14" s="443">
        <v>9126589.3208948504</v>
      </c>
      <c r="CY14" s="443">
        <v>9126589.3208948504</v>
      </c>
      <c r="CZ14" s="443">
        <v>9126589.3208948504</v>
      </c>
      <c r="DA14" s="443">
        <v>9126589.3208948504</v>
      </c>
      <c r="DB14" s="443">
        <v>9126589.3208948504</v>
      </c>
      <c r="DC14" s="443">
        <v>9126589.3208948504</v>
      </c>
      <c r="DD14" s="443">
        <v>9126589.3208948504</v>
      </c>
      <c r="DE14" s="443">
        <v>9126589.3208948504</v>
      </c>
      <c r="DF14" s="443">
        <v>9357590.2328145821</v>
      </c>
      <c r="DG14" s="443">
        <v>9357590.2328145821</v>
      </c>
      <c r="DH14" s="443">
        <v>9357590.2328145821</v>
      </c>
      <c r="DI14" s="443">
        <v>9357590.2328145821</v>
      </c>
      <c r="DJ14" s="443">
        <v>9357590.2328145821</v>
      </c>
      <c r="DK14" s="443">
        <v>9357590.2328145821</v>
      </c>
      <c r="DL14" s="443">
        <v>9357590.2328145821</v>
      </c>
      <c r="DM14" s="443">
        <v>9357590.2328145821</v>
      </c>
      <c r="DN14" s="443">
        <v>9357590.2328145821</v>
      </c>
      <c r="DO14" s="443">
        <v>9357590.2328145821</v>
      </c>
      <c r="DP14" s="443">
        <v>9357590.2328145821</v>
      </c>
      <c r="DQ14" s="443">
        <v>9357590.2328145821</v>
      </c>
      <c r="DR14" s="443">
        <v>9594437.9533756971</v>
      </c>
      <c r="DS14" s="443">
        <v>9594437.9533756971</v>
      </c>
      <c r="DT14" s="443">
        <v>9594437.9533756971</v>
      </c>
      <c r="DU14" s="443">
        <v>9594437.9533756971</v>
      </c>
      <c r="DV14" s="443">
        <v>9594437.9533756971</v>
      </c>
      <c r="DW14" s="443">
        <v>9594437.9533756971</v>
      </c>
      <c r="DX14" s="443">
        <v>9594437.9533756971</v>
      </c>
      <c r="DY14" s="443">
        <v>9594437.9533756971</v>
      </c>
      <c r="DZ14" s="443">
        <v>9594437.9533756971</v>
      </c>
      <c r="EA14" s="443">
        <v>9594437.9533756971</v>
      </c>
      <c r="EB14" s="443">
        <v>9594437.9533756971</v>
      </c>
      <c r="EC14" s="443">
        <v>9594437.9533756971</v>
      </c>
      <c r="ED14" s="443">
        <v>9837280.4697484802</v>
      </c>
      <c r="EE14" s="443">
        <v>9837280.4697484802</v>
      </c>
      <c r="EF14" s="443">
        <v>9837280.4697484802</v>
      </c>
      <c r="EG14" s="443">
        <v>9837280.4697484802</v>
      </c>
      <c r="EH14" s="443">
        <v>9837280.4697484802</v>
      </c>
      <c r="EI14" s="443">
        <v>9837280.4697484802</v>
      </c>
      <c r="EJ14" s="443">
        <v>9837280.4697484802</v>
      </c>
      <c r="EK14" s="443">
        <v>9837280.4697484802</v>
      </c>
      <c r="EL14" s="443">
        <v>9837280.4697484802</v>
      </c>
      <c r="EM14" s="443">
        <v>9837280.4697484802</v>
      </c>
      <c r="EN14" s="443">
        <v>9837280.4697484802</v>
      </c>
      <c r="EO14" s="443">
        <v>9837280.4697484802</v>
      </c>
      <c r="EP14" s="443">
        <v>10086269.514770972</v>
      </c>
      <c r="EQ14" s="443">
        <v>10086269.514770972</v>
      </c>
      <c r="ER14" s="443">
        <v>10086269.514770972</v>
      </c>
      <c r="ES14" s="443">
        <v>10086269.514770972</v>
      </c>
      <c r="ET14" s="443">
        <v>10086269.514770972</v>
      </c>
      <c r="EU14" s="443">
        <v>10086269.514770972</v>
      </c>
      <c r="EV14" s="443">
        <v>10086269.514770972</v>
      </c>
      <c r="EW14" s="443">
        <v>10086269.514770972</v>
      </c>
      <c r="EX14" s="443">
        <v>10086269.514770972</v>
      </c>
      <c r="EY14" s="443">
        <v>10086269.514770972</v>
      </c>
      <c r="EZ14" s="443">
        <v>10086269.514770972</v>
      </c>
      <c r="FA14" s="443">
        <v>10086269.514770972</v>
      </c>
      <c r="FB14" s="443">
        <v>10341560.661754657</v>
      </c>
      <c r="FC14" s="443">
        <v>10341560.661754657</v>
      </c>
      <c r="FD14" s="443">
        <v>10341560.661754657</v>
      </c>
      <c r="FE14" s="443">
        <v>10341560.661754657</v>
      </c>
      <c r="FF14" s="443">
        <v>10341560.661754657</v>
      </c>
      <c r="FG14" s="443">
        <v>10341560.661754657</v>
      </c>
      <c r="FH14" s="443">
        <v>10341560.661754657</v>
      </c>
      <c r="FI14" s="443">
        <v>10341560.661754657</v>
      </c>
      <c r="FJ14" s="443">
        <v>10341560.661754657</v>
      </c>
      <c r="FK14" s="443">
        <v>10341560.661754657</v>
      </c>
      <c r="FL14" s="443">
        <v>10341560.661754657</v>
      </c>
      <c r="FM14" s="443">
        <v>10341560.661754657</v>
      </c>
      <c r="FN14" s="443">
        <v>10603313.421689769</v>
      </c>
      <c r="FO14" s="443">
        <v>10603313.421689769</v>
      </c>
      <c r="FP14" s="443">
        <v>10603313.421689769</v>
      </c>
      <c r="FQ14" s="443">
        <v>10603313.421689769</v>
      </c>
      <c r="FR14" s="443">
        <v>10603313.421689769</v>
      </c>
      <c r="FS14" s="443">
        <v>10603313.421689769</v>
      </c>
      <c r="FT14" s="443">
        <v>10603313.421689769</v>
      </c>
      <c r="FU14" s="443">
        <v>10603313.421689769</v>
      </c>
      <c r="FV14" s="443">
        <v>10603313.421689769</v>
      </c>
      <c r="FW14" s="443">
        <v>10603313.421689769</v>
      </c>
      <c r="FX14" s="443">
        <v>10603313.421689769</v>
      </c>
      <c r="FY14" s="443">
        <v>10603313.421689769</v>
      </c>
      <c r="FZ14" s="443">
        <v>0</v>
      </c>
      <c r="GA14" s="443">
        <v>0</v>
      </c>
      <c r="GB14" s="443">
        <v>0</v>
      </c>
      <c r="GC14" s="443">
        <v>0</v>
      </c>
      <c r="GD14" s="443">
        <v>0</v>
      </c>
      <c r="GE14" s="443">
        <v>0</v>
      </c>
      <c r="GF14" s="443">
        <v>0</v>
      </c>
      <c r="GG14" s="443">
        <v>0</v>
      </c>
      <c r="GH14" s="443">
        <v>0</v>
      </c>
      <c r="GI14" s="443">
        <v>0</v>
      </c>
      <c r="GJ14" s="443">
        <v>0</v>
      </c>
      <c r="GK14" s="443">
        <v>0</v>
      </c>
      <c r="GL14" s="442">
        <v>8467241.8244471997</v>
      </c>
      <c r="GM14" s="443">
        <v>8467241.8244471997</v>
      </c>
      <c r="GN14" s="443">
        <v>8467241.8244471997</v>
      </c>
      <c r="GO14" s="443">
        <v>8467241.8244471997</v>
      </c>
      <c r="GP14" s="443">
        <v>8467241.8244471997</v>
      </c>
      <c r="GQ14" s="443">
        <v>8467241.8244471997</v>
      </c>
      <c r="GR14" s="443">
        <v>8467241.8244471997</v>
      </c>
      <c r="GS14" s="443">
        <v>8467241.8244471997</v>
      </c>
      <c r="GT14" s="443">
        <v>8467241.8244471997</v>
      </c>
      <c r="GU14" s="443">
        <v>8467241.8244471997</v>
      </c>
      <c r="GV14" s="443">
        <v>8467241.8244471997</v>
      </c>
      <c r="GW14" s="443">
        <v>8467241.8244471997</v>
      </c>
      <c r="GX14" s="443">
        <v>8681554.1501277462</v>
      </c>
      <c r="GY14" s="443">
        <v>8681554.1501277462</v>
      </c>
      <c r="GZ14" s="443">
        <v>8681554.1501277462</v>
      </c>
      <c r="HA14" s="443">
        <v>8681554.1501277462</v>
      </c>
      <c r="HB14" s="443">
        <v>8681554.1501277462</v>
      </c>
      <c r="HC14" s="443">
        <v>8681554.1501277462</v>
      </c>
      <c r="HD14" s="443">
        <v>8681554.1501277462</v>
      </c>
      <c r="HE14" s="443">
        <v>8681554.1501277462</v>
      </c>
      <c r="HF14" s="443">
        <v>8681554.1501277462</v>
      </c>
      <c r="HG14" s="443">
        <v>8681554.1501277462</v>
      </c>
      <c r="HH14" s="443">
        <v>8681554.1501277462</v>
      </c>
      <c r="HI14" s="443">
        <v>8681554.1501277462</v>
      </c>
      <c r="HJ14" s="443">
        <v>8901290.8836486321</v>
      </c>
      <c r="HK14" s="443">
        <v>8901290.8836486321</v>
      </c>
      <c r="HL14" s="443">
        <v>8901290.8836486321</v>
      </c>
      <c r="HM14" s="443">
        <v>8901290.8836486321</v>
      </c>
      <c r="HN14" s="443">
        <v>8901290.8836486321</v>
      </c>
      <c r="HO14" s="443">
        <v>8901290.8836486321</v>
      </c>
      <c r="HP14" s="443">
        <v>8901290.8836486321</v>
      </c>
      <c r="HQ14" s="443">
        <v>8901290.8836486321</v>
      </c>
      <c r="HR14" s="443">
        <v>8901290.8836486321</v>
      </c>
      <c r="HS14" s="443">
        <v>8901290.8836486321</v>
      </c>
      <c r="HT14" s="443">
        <v>8901290.8836486321</v>
      </c>
      <c r="HU14" s="443">
        <v>8901290.8836486321</v>
      </c>
      <c r="HV14" s="443">
        <v>9126589.3208948504</v>
      </c>
      <c r="HW14" s="443">
        <v>9126589.3208948504</v>
      </c>
      <c r="HX14" s="443">
        <v>9126589.3208948504</v>
      </c>
      <c r="HY14" s="443">
        <v>9126589.3208948504</v>
      </c>
      <c r="HZ14" s="443">
        <v>9126589.3208948504</v>
      </c>
      <c r="IA14" s="443">
        <v>9126589.3208948504</v>
      </c>
      <c r="IB14" s="443">
        <v>9126589.3208948504</v>
      </c>
      <c r="IC14" s="443">
        <v>9126589.3208948504</v>
      </c>
      <c r="ID14" s="443">
        <v>9126589.3208948504</v>
      </c>
      <c r="IE14" s="443">
        <v>9126589.3208948504</v>
      </c>
      <c r="IF14" s="443">
        <v>9126589.3208948504</v>
      </c>
      <c r="IG14" s="443">
        <v>9126589.3208948504</v>
      </c>
      <c r="IH14" s="443">
        <v>9357590.2328145821</v>
      </c>
      <c r="II14" s="443">
        <v>9357590.2328145821</v>
      </c>
      <c r="IJ14" s="443">
        <v>9357590.2328145821</v>
      </c>
      <c r="IK14" s="443">
        <v>9357590.2328145821</v>
      </c>
      <c r="IL14" s="443">
        <v>9357590.2328145821</v>
      </c>
      <c r="IM14" s="443">
        <v>9357590.2328145821</v>
      </c>
      <c r="IN14" s="443">
        <v>9357590.2328145821</v>
      </c>
      <c r="IO14" s="443">
        <v>9357590.2328145821</v>
      </c>
      <c r="IP14" s="443">
        <v>9357590.2328145821</v>
      </c>
      <c r="IQ14" s="443">
        <v>9357590.2328145821</v>
      </c>
      <c r="IR14" s="443">
        <v>9357590.2328145821</v>
      </c>
      <c r="IS14" s="443">
        <v>9357590.2328145821</v>
      </c>
      <c r="IT14" s="443">
        <v>9594437.9533756971</v>
      </c>
      <c r="IU14" s="443">
        <v>9594437.9533756971</v>
      </c>
      <c r="IV14" s="443">
        <v>9594437.9533756971</v>
      </c>
      <c r="IW14" s="443">
        <v>9594437.9533756971</v>
      </c>
      <c r="IX14" s="443">
        <v>9594437.9533756971</v>
      </c>
      <c r="IY14" s="443">
        <v>9594437.9533756971</v>
      </c>
      <c r="IZ14" s="443">
        <v>9594437.9533756971</v>
      </c>
      <c r="JA14" s="443">
        <v>9594437.9533756971</v>
      </c>
      <c r="JB14" s="443">
        <v>9594437.9533756971</v>
      </c>
      <c r="JC14" s="443">
        <v>9594437.9533756971</v>
      </c>
      <c r="JD14" s="443">
        <v>9594437.9533756971</v>
      </c>
      <c r="JE14" s="443">
        <v>9594437.9533756971</v>
      </c>
      <c r="JF14" s="443">
        <v>9837280.4697484802</v>
      </c>
      <c r="JG14" s="443">
        <v>9837280.4697484802</v>
      </c>
      <c r="JH14" s="443">
        <v>9837280.4697484802</v>
      </c>
      <c r="JI14" s="443">
        <v>9837280.4697484802</v>
      </c>
      <c r="JJ14" s="443">
        <v>9837280.4697484802</v>
      </c>
      <c r="JK14" s="443">
        <v>9837280.4697484802</v>
      </c>
      <c r="JL14" s="443">
        <v>9837280.4697484802</v>
      </c>
      <c r="JM14" s="443">
        <v>9837280.4697484802</v>
      </c>
      <c r="JN14" s="443">
        <v>9837280.4697484802</v>
      </c>
      <c r="JO14" s="443">
        <v>9837280.4697484802</v>
      </c>
      <c r="JP14" s="443">
        <v>9837280.4697484802</v>
      </c>
      <c r="JQ14" s="443">
        <v>9837280.4697484802</v>
      </c>
      <c r="JR14" s="443">
        <v>10086269.514770972</v>
      </c>
      <c r="JS14" s="443">
        <v>10086269.514770972</v>
      </c>
      <c r="JT14" s="443">
        <v>10086269.514770972</v>
      </c>
      <c r="JU14" s="443">
        <v>10086269.514770972</v>
      </c>
      <c r="JV14" s="443">
        <v>10086269.514770972</v>
      </c>
      <c r="JW14" s="443">
        <v>10086269.514770972</v>
      </c>
      <c r="JX14" s="443">
        <v>10086269.514770972</v>
      </c>
      <c r="JY14" s="443">
        <v>10086269.514770972</v>
      </c>
      <c r="JZ14" s="443">
        <v>10086269.514770972</v>
      </c>
      <c r="KA14" s="443">
        <v>10086269.514770972</v>
      </c>
      <c r="KB14" s="443">
        <v>10086269.514770972</v>
      </c>
      <c r="KC14" s="443">
        <v>10086269.514770972</v>
      </c>
      <c r="KD14" s="443">
        <v>10341560.661754657</v>
      </c>
      <c r="KE14" s="443">
        <v>10341560.661754657</v>
      </c>
      <c r="KF14" s="443">
        <v>10341560.661754657</v>
      </c>
      <c r="KG14" s="443">
        <v>10341560.661754657</v>
      </c>
      <c r="KH14" s="443">
        <v>10341560.661754657</v>
      </c>
      <c r="KI14" s="443">
        <v>10341560.661754657</v>
      </c>
      <c r="KJ14" s="443">
        <v>10341560.661754657</v>
      </c>
      <c r="KK14" s="443">
        <v>10341560.661754657</v>
      </c>
      <c r="KL14" s="443">
        <v>10341560.661754657</v>
      </c>
      <c r="KM14" s="443">
        <v>10341560.661754657</v>
      </c>
      <c r="KN14" s="443">
        <v>10341560.661754657</v>
      </c>
      <c r="KO14" s="443">
        <v>10341560.661754657</v>
      </c>
      <c r="KP14" s="443">
        <v>10603313.421689769</v>
      </c>
      <c r="KQ14" s="443">
        <v>10603313.421689769</v>
      </c>
      <c r="KR14" s="443">
        <v>10603313.421689769</v>
      </c>
      <c r="KS14" s="443">
        <v>10603313.421689769</v>
      </c>
      <c r="KT14" s="443">
        <v>10603313.421689769</v>
      </c>
      <c r="KU14" s="443">
        <v>10603313.421689769</v>
      </c>
      <c r="KV14" s="443">
        <v>10603313.421689769</v>
      </c>
      <c r="KW14" s="443">
        <v>10603313.421689769</v>
      </c>
      <c r="KX14" s="443">
        <v>10603313.421689769</v>
      </c>
      <c r="KY14" s="443">
        <v>10603313.421689769</v>
      </c>
      <c r="KZ14" s="443">
        <v>10603313.421689769</v>
      </c>
      <c r="LA14" s="33">
        <v>10603313.421689769</v>
      </c>
      <c r="LB14" s="27"/>
    </row>
    <row r="15" spans="1:314">
      <c r="A15" s="459" t="s">
        <v>992</v>
      </c>
      <c r="B15" s="463" t="s">
        <v>1185</v>
      </c>
      <c r="C15" s="463" t="s">
        <v>176</v>
      </c>
      <c r="D15" s="456" t="s">
        <v>1200</v>
      </c>
      <c r="E15" s="463" t="s">
        <v>1210</v>
      </c>
      <c r="F15" s="456"/>
      <c r="G15" s="456"/>
      <c r="H15" s="456"/>
      <c r="I15" s="456"/>
      <c r="J15" s="456" t="s">
        <v>1417</v>
      </c>
      <c r="K15" s="456">
        <v>0</v>
      </c>
      <c r="L15" s="456" t="s">
        <v>899</v>
      </c>
      <c r="M15" s="470">
        <v>1</v>
      </c>
      <c r="N15" s="470">
        <v>1</v>
      </c>
      <c r="O15" s="470">
        <v>1</v>
      </c>
      <c r="P15" s="470">
        <v>1</v>
      </c>
      <c r="Q15" s="470">
        <v>1</v>
      </c>
      <c r="R15" s="470">
        <v>1</v>
      </c>
      <c r="S15" s="470">
        <v>1</v>
      </c>
      <c r="T15" s="470">
        <v>1</v>
      </c>
      <c r="U15" s="470">
        <v>1</v>
      </c>
      <c r="V15" s="470">
        <v>1</v>
      </c>
      <c r="W15" s="470">
        <v>0</v>
      </c>
      <c r="X15" s="457">
        <v>0</v>
      </c>
      <c r="Y15" s="472">
        <v>2822413.9414824001</v>
      </c>
      <c r="Z15" s="472">
        <v>2893851.3833759152</v>
      </c>
      <c r="AA15" s="472">
        <v>2967096.9612162109</v>
      </c>
      <c r="AB15" s="472">
        <v>3042196.4402982835</v>
      </c>
      <c r="AC15" s="472">
        <v>3119196.7442715275</v>
      </c>
      <c r="AD15" s="472">
        <v>3198145.9844585657</v>
      </c>
      <c r="AE15" s="472">
        <v>3279093.4899161602</v>
      </c>
      <c r="AF15" s="472">
        <v>3362089.8382569905</v>
      </c>
      <c r="AG15" s="472">
        <v>3447186.8872515522</v>
      </c>
      <c r="AH15" s="472">
        <v>3534437.8072299231</v>
      </c>
      <c r="AI15" s="472">
        <v>0</v>
      </c>
      <c r="AJ15" s="457">
        <v>12</v>
      </c>
      <c r="AK15" s="457">
        <v>12</v>
      </c>
      <c r="AL15" s="457">
        <v>12</v>
      </c>
      <c r="AM15" s="457">
        <v>12</v>
      </c>
      <c r="AN15" s="457">
        <v>12</v>
      </c>
      <c r="AO15" s="457">
        <v>12</v>
      </c>
      <c r="AP15" s="457">
        <v>12</v>
      </c>
      <c r="AQ15" s="457">
        <v>12</v>
      </c>
      <c r="AR15" s="457">
        <v>12</v>
      </c>
      <c r="AS15" s="457">
        <v>12</v>
      </c>
      <c r="AT15" s="457"/>
      <c r="AU15" s="458">
        <v>1</v>
      </c>
      <c r="AV15" s="510">
        <v>1.02531076</v>
      </c>
      <c r="AW15" s="456">
        <v>0</v>
      </c>
      <c r="AX15" s="443">
        <v>379988513.73309028</v>
      </c>
      <c r="AY15" s="443">
        <v>33868967.297788791</v>
      </c>
      <c r="AZ15" s="443">
        <v>34726216.600510992</v>
      </c>
      <c r="BA15" s="443">
        <v>35605163.534594528</v>
      </c>
      <c r="BB15" s="443">
        <v>36506357.283579394</v>
      </c>
      <c r="BC15" s="443">
        <v>37430360.931258328</v>
      </c>
      <c r="BD15" s="443">
        <v>38377751.813502789</v>
      </c>
      <c r="BE15" s="443">
        <v>39349121.878993921</v>
      </c>
      <c r="BF15" s="443">
        <v>40345078.059083901</v>
      </c>
      <c r="BG15" s="443">
        <v>41366242.647018626</v>
      </c>
      <c r="BH15" s="443">
        <v>42413253.686759062</v>
      </c>
      <c r="BI15" s="443">
        <v>0</v>
      </c>
      <c r="BJ15" s="442">
        <v>2822413.9414824001</v>
      </c>
      <c r="BK15" s="443">
        <v>2822413.9414824001</v>
      </c>
      <c r="BL15" s="443">
        <v>2822413.9414824001</v>
      </c>
      <c r="BM15" s="443">
        <v>2822413.9414824001</v>
      </c>
      <c r="BN15" s="443">
        <v>2822413.9414824001</v>
      </c>
      <c r="BO15" s="443">
        <v>2822413.9414824001</v>
      </c>
      <c r="BP15" s="443">
        <v>2822413.9414824001</v>
      </c>
      <c r="BQ15" s="443">
        <v>2822413.9414824001</v>
      </c>
      <c r="BR15" s="443">
        <v>2822413.9414824001</v>
      </c>
      <c r="BS15" s="443">
        <v>2822413.9414824001</v>
      </c>
      <c r="BT15" s="443">
        <v>2822413.9414824001</v>
      </c>
      <c r="BU15" s="443">
        <v>2822413.9414824001</v>
      </c>
      <c r="BV15" s="443">
        <v>2893851.3833759152</v>
      </c>
      <c r="BW15" s="443">
        <v>2893851.3833759152</v>
      </c>
      <c r="BX15" s="443">
        <v>2893851.3833759152</v>
      </c>
      <c r="BY15" s="443">
        <v>2893851.3833759152</v>
      </c>
      <c r="BZ15" s="443">
        <v>2893851.3833759152</v>
      </c>
      <c r="CA15" s="443">
        <v>2893851.3833759152</v>
      </c>
      <c r="CB15" s="443">
        <v>2893851.3833759152</v>
      </c>
      <c r="CC15" s="443">
        <v>2893851.3833759152</v>
      </c>
      <c r="CD15" s="443">
        <v>2893851.3833759152</v>
      </c>
      <c r="CE15" s="443">
        <v>2893851.3833759152</v>
      </c>
      <c r="CF15" s="443">
        <v>2893851.3833759152</v>
      </c>
      <c r="CG15" s="443">
        <v>2893851.3833759152</v>
      </c>
      <c r="CH15" s="443">
        <v>2967096.9612162109</v>
      </c>
      <c r="CI15" s="443">
        <v>2967096.9612162109</v>
      </c>
      <c r="CJ15" s="443">
        <v>2967096.9612162109</v>
      </c>
      <c r="CK15" s="443">
        <v>2967096.9612162109</v>
      </c>
      <c r="CL15" s="443">
        <v>2967096.9612162109</v>
      </c>
      <c r="CM15" s="443">
        <v>2967096.9612162109</v>
      </c>
      <c r="CN15" s="443">
        <v>2967096.9612162109</v>
      </c>
      <c r="CO15" s="443">
        <v>2967096.9612162109</v>
      </c>
      <c r="CP15" s="443">
        <v>2967096.9612162109</v>
      </c>
      <c r="CQ15" s="443">
        <v>2967096.9612162109</v>
      </c>
      <c r="CR15" s="443">
        <v>2967096.9612162109</v>
      </c>
      <c r="CS15" s="443">
        <v>2967096.9612162109</v>
      </c>
      <c r="CT15" s="443">
        <v>3042196.4402982835</v>
      </c>
      <c r="CU15" s="443">
        <v>3042196.4402982835</v>
      </c>
      <c r="CV15" s="443">
        <v>3042196.4402982835</v>
      </c>
      <c r="CW15" s="443">
        <v>3042196.4402982835</v>
      </c>
      <c r="CX15" s="443">
        <v>3042196.4402982835</v>
      </c>
      <c r="CY15" s="443">
        <v>3042196.4402982835</v>
      </c>
      <c r="CZ15" s="443">
        <v>3042196.4402982835</v>
      </c>
      <c r="DA15" s="443">
        <v>3042196.4402982835</v>
      </c>
      <c r="DB15" s="443">
        <v>3042196.4402982835</v>
      </c>
      <c r="DC15" s="443">
        <v>3042196.4402982835</v>
      </c>
      <c r="DD15" s="443">
        <v>3042196.4402982835</v>
      </c>
      <c r="DE15" s="443">
        <v>3042196.4402982835</v>
      </c>
      <c r="DF15" s="443">
        <v>3119196.7442715275</v>
      </c>
      <c r="DG15" s="443">
        <v>3119196.7442715275</v>
      </c>
      <c r="DH15" s="443">
        <v>3119196.7442715275</v>
      </c>
      <c r="DI15" s="443">
        <v>3119196.7442715275</v>
      </c>
      <c r="DJ15" s="443">
        <v>3119196.7442715275</v>
      </c>
      <c r="DK15" s="443">
        <v>3119196.7442715275</v>
      </c>
      <c r="DL15" s="443">
        <v>3119196.7442715275</v>
      </c>
      <c r="DM15" s="443">
        <v>3119196.7442715275</v>
      </c>
      <c r="DN15" s="443">
        <v>3119196.7442715275</v>
      </c>
      <c r="DO15" s="443">
        <v>3119196.7442715275</v>
      </c>
      <c r="DP15" s="443">
        <v>3119196.7442715275</v>
      </c>
      <c r="DQ15" s="443">
        <v>3119196.7442715275</v>
      </c>
      <c r="DR15" s="443">
        <v>3198145.9844585657</v>
      </c>
      <c r="DS15" s="443">
        <v>3198145.9844585657</v>
      </c>
      <c r="DT15" s="443">
        <v>3198145.9844585657</v>
      </c>
      <c r="DU15" s="443">
        <v>3198145.9844585657</v>
      </c>
      <c r="DV15" s="443">
        <v>3198145.9844585657</v>
      </c>
      <c r="DW15" s="443">
        <v>3198145.9844585657</v>
      </c>
      <c r="DX15" s="443">
        <v>3198145.9844585657</v>
      </c>
      <c r="DY15" s="443">
        <v>3198145.9844585657</v>
      </c>
      <c r="DZ15" s="443">
        <v>3198145.9844585657</v>
      </c>
      <c r="EA15" s="443">
        <v>3198145.9844585657</v>
      </c>
      <c r="EB15" s="443">
        <v>3198145.9844585657</v>
      </c>
      <c r="EC15" s="443">
        <v>3198145.9844585657</v>
      </c>
      <c r="ED15" s="443">
        <v>3279093.4899161602</v>
      </c>
      <c r="EE15" s="443">
        <v>3279093.4899161602</v>
      </c>
      <c r="EF15" s="443">
        <v>3279093.4899161602</v>
      </c>
      <c r="EG15" s="443">
        <v>3279093.4899161602</v>
      </c>
      <c r="EH15" s="443">
        <v>3279093.4899161602</v>
      </c>
      <c r="EI15" s="443">
        <v>3279093.4899161602</v>
      </c>
      <c r="EJ15" s="443">
        <v>3279093.4899161602</v>
      </c>
      <c r="EK15" s="443">
        <v>3279093.4899161602</v>
      </c>
      <c r="EL15" s="443">
        <v>3279093.4899161602</v>
      </c>
      <c r="EM15" s="443">
        <v>3279093.4899161602</v>
      </c>
      <c r="EN15" s="443">
        <v>3279093.4899161602</v>
      </c>
      <c r="EO15" s="443">
        <v>3279093.4899161602</v>
      </c>
      <c r="EP15" s="443">
        <v>3362089.8382569905</v>
      </c>
      <c r="EQ15" s="443">
        <v>3362089.8382569905</v>
      </c>
      <c r="ER15" s="443">
        <v>3362089.8382569905</v>
      </c>
      <c r="ES15" s="443">
        <v>3362089.8382569905</v>
      </c>
      <c r="ET15" s="443">
        <v>3362089.8382569905</v>
      </c>
      <c r="EU15" s="443">
        <v>3362089.8382569905</v>
      </c>
      <c r="EV15" s="443">
        <v>3362089.8382569905</v>
      </c>
      <c r="EW15" s="443">
        <v>3362089.8382569905</v>
      </c>
      <c r="EX15" s="443">
        <v>3362089.8382569905</v>
      </c>
      <c r="EY15" s="443">
        <v>3362089.8382569905</v>
      </c>
      <c r="EZ15" s="443">
        <v>3362089.8382569905</v>
      </c>
      <c r="FA15" s="443">
        <v>3362089.8382569905</v>
      </c>
      <c r="FB15" s="443">
        <v>3447186.8872515522</v>
      </c>
      <c r="FC15" s="443">
        <v>3447186.8872515522</v>
      </c>
      <c r="FD15" s="443">
        <v>3447186.8872515522</v>
      </c>
      <c r="FE15" s="443">
        <v>3447186.8872515522</v>
      </c>
      <c r="FF15" s="443">
        <v>3447186.8872515522</v>
      </c>
      <c r="FG15" s="443">
        <v>3447186.8872515522</v>
      </c>
      <c r="FH15" s="443">
        <v>3447186.8872515522</v>
      </c>
      <c r="FI15" s="443">
        <v>3447186.8872515522</v>
      </c>
      <c r="FJ15" s="443">
        <v>3447186.8872515522</v>
      </c>
      <c r="FK15" s="443">
        <v>3447186.8872515522</v>
      </c>
      <c r="FL15" s="443">
        <v>3447186.8872515522</v>
      </c>
      <c r="FM15" s="443">
        <v>3447186.8872515522</v>
      </c>
      <c r="FN15" s="443">
        <v>3534437.8072299231</v>
      </c>
      <c r="FO15" s="443">
        <v>3534437.8072299231</v>
      </c>
      <c r="FP15" s="443">
        <v>3534437.8072299231</v>
      </c>
      <c r="FQ15" s="443">
        <v>3534437.8072299231</v>
      </c>
      <c r="FR15" s="443">
        <v>3534437.8072299231</v>
      </c>
      <c r="FS15" s="443">
        <v>3534437.8072299231</v>
      </c>
      <c r="FT15" s="443">
        <v>3534437.8072299231</v>
      </c>
      <c r="FU15" s="443">
        <v>3534437.8072299231</v>
      </c>
      <c r="FV15" s="443">
        <v>3534437.8072299231</v>
      </c>
      <c r="FW15" s="443">
        <v>3534437.8072299231</v>
      </c>
      <c r="FX15" s="443">
        <v>3534437.8072299231</v>
      </c>
      <c r="FY15" s="443">
        <v>3534437.8072299231</v>
      </c>
      <c r="FZ15" s="443">
        <v>0</v>
      </c>
      <c r="GA15" s="443">
        <v>0</v>
      </c>
      <c r="GB15" s="443">
        <v>0</v>
      </c>
      <c r="GC15" s="443">
        <v>0</v>
      </c>
      <c r="GD15" s="443">
        <v>0</v>
      </c>
      <c r="GE15" s="443">
        <v>0</v>
      </c>
      <c r="GF15" s="443">
        <v>0</v>
      </c>
      <c r="GG15" s="443">
        <v>0</v>
      </c>
      <c r="GH15" s="443">
        <v>0</v>
      </c>
      <c r="GI15" s="443">
        <v>0</v>
      </c>
      <c r="GJ15" s="443">
        <v>0</v>
      </c>
      <c r="GK15" s="443">
        <v>0</v>
      </c>
      <c r="GL15" s="442">
        <v>2822413.9414824001</v>
      </c>
      <c r="GM15" s="443">
        <v>2822413.9414824001</v>
      </c>
      <c r="GN15" s="443">
        <v>2822413.9414824001</v>
      </c>
      <c r="GO15" s="443">
        <v>2822413.9414824001</v>
      </c>
      <c r="GP15" s="443">
        <v>2822413.9414824001</v>
      </c>
      <c r="GQ15" s="443">
        <v>2822413.9414824001</v>
      </c>
      <c r="GR15" s="443">
        <v>2822413.9414824001</v>
      </c>
      <c r="GS15" s="443">
        <v>2822413.9414824001</v>
      </c>
      <c r="GT15" s="443">
        <v>2822413.9414824001</v>
      </c>
      <c r="GU15" s="443">
        <v>2822413.9414824001</v>
      </c>
      <c r="GV15" s="443">
        <v>2822413.9414824001</v>
      </c>
      <c r="GW15" s="443">
        <v>2822413.9414824001</v>
      </c>
      <c r="GX15" s="443">
        <v>2893851.3833759152</v>
      </c>
      <c r="GY15" s="443">
        <v>2893851.3833759152</v>
      </c>
      <c r="GZ15" s="443">
        <v>2893851.3833759152</v>
      </c>
      <c r="HA15" s="443">
        <v>2893851.3833759152</v>
      </c>
      <c r="HB15" s="443">
        <v>2893851.3833759152</v>
      </c>
      <c r="HC15" s="443">
        <v>2893851.3833759152</v>
      </c>
      <c r="HD15" s="443">
        <v>2893851.3833759152</v>
      </c>
      <c r="HE15" s="443">
        <v>2893851.3833759152</v>
      </c>
      <c r="HF15" s="443">
        <v>2893851.3833759152</v>
      </c>
      <c r="HG15" s="443">
        <v>2893851.3833759152</v>
      </c>
      <c r="HH15" s="443">
        <v>2893851.3833759152</v>
      </c>
      <c r="HI15" s="443">
        <v>2893851.3833759152</v>
      </c>
      <c r="HJ15" s="443">
        <v>2967096.9612162109</v>
      </c>
      <c r="HK15" s="443">
        <v>2967096.9612162109</v>
      </c>
      <c r="HL15" s="443">
        <v>2967096.9612162109</v>
      </c>
      <c r="HM15" s="443">
        <v>2967096.9612162109</v>
      </c>
      <c r="HN15" s="443">
        <v>2967096.9612162109</v>
      </c>
      <c r="HO15" s="443">
        <v>2967096.9612162109</v>
      </c>
      <c r="HP15" s="443">
        <v>2967096.9612162109</v>
      </c>
      <c r="HQ15" s="443">
        <v>2967096.9612162109</v>
      </c>
      <c r="HR15" s="443">
        <v>2967096.9612162109</v>
      </c>
      <c r="HS15" s="443">
        <v>2967096.9612162109</v>
      </c>
      <c r="HT15" s="443">
        <v>2967096.9612162109</v>
      </c>
      <c r="HU15" s="443">
        <v>2967096.9612162109</v>
      </c>
      <c r="HV15" s="443">
        <v>3042196.4402982835</v>
      </c>
      <c r="HW15" s="443">
        <v>3042196.4402982835</v>
      </c>
      <c r="HX15" s="443">
        <v>3042196.4402982835</v>
      </c>
      <c r="HY15" s="443">
        <v>3042196.4402982835</v>
      </c>
      <c r="HZ15" s="443">
        <v>3042196.4402982835</v>
      </c>
      <c r="IA15" s="443">
        <v>3042196.4402982835</v>
      </c>
      <c r="IB15" s="443">
        <v>3042196.4402982835</v>
      </c>
      <c r="IC15" s="443">
        <v>3042196.4402982835</v>
      </c>
      <c r="ID15" s="443">
        <v>3042196.4402982835</v>
      </c>
      <c r="IE15" s="443">
        <v>3042196.4402982835</v>
      </c>
      <c r="IF15" s="443">
        <v>3042196.4402982835</v>
      </c>
      <c r="IG15" s="443">
        <v>3042196.4402982835</v>
      </c>
      <c r="IH15" s="443">
        <v>3119196.7442715275</v>
      </c>
      <c r="II15" s="443">
        <v>3119196.7442715275</v>
      </c>
      <c r="IJ15" s="443">
        <v>3119196.7442715275</v>
      </c>
      <c r="IK15" s="443">
        <v>3119196.7442715275</v>
      </c>
      <c r="IL15" s="443">
        <v>3119196.7442715275</v>
      </c>
      <c r="IM15" s="443">
        <v>3119196.7442715275</v>
      </c>
      <c r="IN15" s="443">
        <v>3119196.7442715275</v>
      </c>
      <c r="IO15" s="443">
        <v>3119196.7442715275</v>
      </c>
      <c r="IP15" s="443">
        <v>3119196.7442715275</v>
      </c>
      <c r="IQ15" s="443">
        <v>3119196.7442715275</v>
      </c>
      <c r="IR15" s="443">
        <v>3119196.7442715275</v>
      </c>
      <c r="IS15" s="443">
        <v>3119196.7442715275</v>
      </c>
      <c r="IT15" s="443">
        <v>3198145.9844585657</v>
      </c>
      <c r="IU15" s="443">
        <v>3198145.9844585657</v>
      </c>
      <c r="IV15" s="443">
        <v>3198145.9844585657</v>
      </c>
      <c r="IW15" s="443">
        <v>3198145.9844585657</v>
      </c>
      <c r="IX15" s="443">
        <v>3198145.9844585657</v>
      </c>
      <c r="IY15" s="443">
        <v>3198145.9844585657</v>
      </c>
      <c r="IZ15" s="443">
        <v>3198145.9844585657</v>
      </c>
      <c r="JA15" s="443">
        <v>3198145.9844585657</v>
      </c>
      <c r="JB15" s="443">
        <v>3198145.9844585657</v>
      </c>
      <c r="JC15" s="443">
        <v>3198145.9844585657</v>
      </c>
      <c r="JD15" s="443">
        <v>3198145.9844585657</v>
      </c>
      <c r="JE15" s="443">
        <v>3198145.9844585657</v>
      </c>
      <c r="JF15" s="443">
        <v>3279093.4899161602</v>
      </c>
      <c r="JG15" s="443">
        <v>3279093.4899161602</v>
      </c>
      <c r="JH15" s="443">
        <v>3279093.4899161602</v>
      </c>
      <c r="JI15" s="443">
        <v>3279093.4899161602</v>
      </c>
      <c r="JJ15" s="443">
        <v>3279093.4899161602</v>
      </c>
      <c r="JK15" s="443">
        <v>3279093.4899161602</v>
      </c>
      <c r="JL15" s="443">
        <v>3279093.4899161602</v>
      </c>
      <c r="JM15" s="443">
        <v>3279093.4899161602</v>
      </c>
      <c r="JN15" s="443">
        <v>3279093.4899161602</v>
      </c>
      <c r="JO15" s="443">
        <v>3279093.4899161602</v>
      </c>
      <c r="JP15" s="443">
        <v>3279093.4899161602</v>
      </c>
      <c r="JQ15" s="443">
        <v>3279093.4899161602</v>
      </c>
      <c r="JR15" s="443">
        <v>3362089.8382569905</v>
      </c>
      <c r="JS15" s="443">
        <v>3362089.8382569905</v>
      </c>
      <c r="JT15" s="443">
        <v>3362089.8382569905</v>
      </c>
      <c r="JU15" s="443">
        <v>3362089.8382569905</v>
      </c>
      <c r="JV15" s="443">
        <v>3362089.8382569905</v>
      </c>
      <c r="JW15" s="443">
        <v>3362089.8382569905</v>
      </c>
      <c r="JX15" s="443">
        <v>3362089.8382569905</v>
      </c>
      <c r="JY15" s="443">
        <v>3362089.8382569905</v>
      </c>
      <c r="JZ15" s="443">
        <v>3362089.8382569905</v>
      </c>
      <c r="KA15" s="443">
        <v>3362089.8382569905</v>
      </c>
      <c r="KB15" s="443">
        <v>3362089.8382569905</v>
      </c>
      <c r="KC15" s="443">
        <v>3362089.8382569905</v>
      </c>
      <c r="KD15" s="443">
        <v>3447186.8872515522</v>
      </c>
      <c r="KE15" s="443">
        <v>3447186.8872515522</v>
      </c>
      <c r="KF15" s="443">
        <v>3447186.8872515522</v>
      </c>
      <c r="KG15" s="443">
        <v>3447186.8872515522</v>
      </c>
      <c r="KH15" s="443">
        <v>3447186.8872515522</v>
      </c>
      <c r="KI15" s="443">
        <v>3447186.8872515522</v>
      </c>
      <c r="KJ15" s="443">
        <v>3447186.8872515522</v>
      </c>
      <c r="KK15" s="443">
        <v>3447186.8872515522</v>
      </c>
      <c r="KL15" s="443">
        <v>3447186.8872515522</v>
      </c>
      <c r="KM15" s="443">
        <v>3447186.8872515522</v>
      </c>
      <c r="KN15" s="443">
        <v>3447186.8872515522</v>
      </c>
      <c r="KO15" s="443">
        <v>3447186.8872515522</v>
      </c>
      <c r="KP15" s="443">
        <v>3534437.8072299231</v>
      </c>
      <c r="KQ15" s="443">
        <v>3534437.8072299231</v>
      </c>
      <c r="KR15" s="443">
        <v>3534437.8072299231</v>
      </c>
      <c r="KS15" s="443">
        <v>3534437.8072299231</v>
      </c>
      <c r="KT15" s="443">
        <v>3534437.8072299231</v>
      </c>
      <c r="KU15" s="443">
        <v>3534437.8072299231</v>
      </c>
      <c r="KV15" s="443">
        <v>3534437.8072299231</v>
      </c>
      <c r="KW15" s="443">
        <v>3534437.8072299231</v>
      </c>
      <c r="KX15" s="443">
        <v>3534437.8072299231</v>
      </c>
      <c r="KY15" s="443">
        <v>3534437.8072299231</v>
      </c>
      <c r="KZ15" s="443">
        <v>3534437.8072299231</v>
      </c>
      <c r="LA15" s="33">
        <v>3534437.8072299231</v>
      </c>
      <c r="LB15" s="27"/>
    </row>
    <row r="16" spans="1:314">
      <c r="A16" s="459" t="s">
        <v>993</v>
      </c>
      <c r="B16" s="463" t="s">
        <v>1185</v>
      </c>
      <c r="C16" s="463" t="s">
        <v>176</v>
      </c>
      <c r="D16" s="456" t="s">
        <v>1202</v>
      </c>
      <c r="E16" s="463" t="s">
        <v>1210</v>
      </c>
      <c r="F16" s="456"/>
      <c r="G16" s="456"/>
      <c r="H16" s="456"/>
      <c r="I16" s="456"/>
      <c r="J16" s="456" t="s">
        <v>1417</v>
      </c>
      <c r="K16" s="456">
        <v>0</v>
      </c>
      <c r="L16" s="456" t="s">
        <v>899</v>
      </c>
      <c r="M16" s="470">
        <v>1</v>
      </c>
      <c r="N16" s="470">
        <v>1</v>
      </c>
      <c r="O16" s="470">
        <v>1</v>
      </c>
      <c r="P16" s="470">
        <v>1</v>
      </c>
      <c r="Q16" s="470">
        <v>1</v>
      </c>
      <c r="R16" s="470">
        <v>1</v>
      </c>
      <c r="S16" s="470">
        <v>1</v>
      </c>
      <c r="T16" s="470">
        <v>1</v>
      </c>
      <c r="U16" s="470">
        <v>1</v>
      </c>
      <c r="V16" s="470">
        <v>1</v>
      </c>
      <c r="W16" s="470">
        <v>0</v>
      </c>
      <c r="X16" s="457">
        <v>0</v>
      </c>
      <c r="Y16" s="472">
        <v>2822413.9414824001</v>
      </c>
      <c r="Z16" s="472">
        <v>2893851.3833759152</v>
      </c>
      <c r="AA16" s="472">
        <v>2967096.9612162109</v>
      </c>
      <c r="AB16" s="472">
        <v>3042196.4402982835</v>
      </c>
      <c r="AC16" s="472">
        <v>3119196.7442715275</v>
      </c>
      <c r="AD16" s="472">
        <v>3198145.9844585657</v>
      </c>
      <c r="AE16" s="472">
        <v>3279093.4899161602</v>
      </c>
      <c r="AF16" s="472">
        <v>3362089.8382569905</v>
      </c>
      <c r="AG16" s="472">
        <v>3447186.8872515522</v>
      </c>
      <c r="AH16" s="472">
        <v>3534437.8072299231</v>
      </c>
      <c r="AI16" s="472">
        <v>0</v>
      </c>
      <c r="AJ16" s="457">
        <v>12</v>
      </c>
      <c r="AK16" s="457">
        <v>12</v>
      </c>
      <c r="AL16" s="457">
        <v>12</v>
      </c>
      <c r="AM16" s="457">
        <v>12</v>
      </c>
      <c r="AN16" s="457">
        <v>12</v>
      </c>
      <c r="AO16" s="457">
        <v>12</v>
      </c>
      <c r="AP16" s="457">
        <v>12</v>
      </c>
      <c r="AQ16" s="457">
        <v>12</v>
      </c>
      <c r="AR16" s="457">
        <v>12</v>
      </c>
      <c r="AS16" s="457">
        <v>12</v>
      </c>
      <c r="AT16" s="457"/>
      <c r="AU16" s="458">
        <v>1</v>
      </c>
      <c r="AV16" s="510">
        <v>1.02531076</v>
      </c>
      <c r="AW16" s="456">
        <v>0</v>
      </c>
      <c r="AX16" s="443">
        <v>379988513.73309028</v>
      </c>
      <c r="AY16" s="443">
        <v>33868967.297788791</v>
      </c>
      <c r="AZ16" s="443">
        <v>34726216.600510992</v>
      </c>
      <c r="BA16" s="443">
        <v>35605163.534594528</v>
      </c>
      <c r="BB16" s="443">
        <v>36506357.283579394</v>
      </c>
      <c r="BC16" s="443">
        <v>37430360.931258328</v>
      </c>
      <c r="BD16" s="443">
        <v>38377751.813502789</v>
      </c>
      <c r="BE16" s="443">
        <v>39349121.878993921</v>
      </c>
      <c r="BF16" s="443">
        <v>40345078.059083901</v>
      </c>
      <c r="BG16" s="443">
        <v>41366242.647018626</v>
      </c>
      <c r="BH16" s="443">
        <v>42413253.686759062</v>
      </c>
      <c r="BI16" s="443">
        <v>0</v>
      </c>
      <c r="BJ16" s="442">
        <v>2822413.9414824001</v>
      </c>
      <c r="BK16" s="443">
        <v>2822413.9414824001</v>
      </c>
      <c r="BL16" s="443">
        <v>2822413.9414824001</v>
      </c>
      <c r="BM16" s="443">
        <v>2822413.9414824001</v>
      </c>
      <c r="BN16" s="443">
        <v>2822413.9414824001</v>
      </c>
      <c r="BO16" s="443">
        <v>2822413.9414824001</v>
      </c>
      <c r="BP16" s="443">
        <v>2822413.9414824001</v>
      </c>
      <c r="BQ16" s="443">
        <v>2822413.9414824001</v>
      </c>
      <c r="BR16" s="443">
        <v>2822413.9414824001</v>
      </c>
      <c r="BS16" s="443">
        <v>2822413.9414824001</v>
      </c>
      <c r="BT16" s="443">
        <v>2822413.9414824001</v>
      </c>
      <c r="BU16" s="443">
        <v>2822413.9414824001</v>
      </c>
      <c r="BV16" s="443">
        <v>2893851.3833759152</v>
      </c>
      <c r="BW16" s="443">
        <v>2893851.3833759152</v>
      </c>
      <c r="BX16" s="443">
        <v>2893851.3833759152</v>
      </c>
      <c r="BY16" s="443">
        <v>2893851.3833759152</v>
      </c>
      <c r="BZ16" s="443">
        <v>2893851.3833759152</v>
      </c>
      <c r="CA16" s="443">
        <v>2893851.3833759152</v>
      </c>
      <c r="CB16" s="443">
        <v>2893851.3833759152</v>
      </c>
      <c r="CC16" s="443">
        <v>2893851.3833759152</v>
      </c>
      <c r="CD16" s="443">
        <v>2893851.3833759152</v>
      </c>
      <c r="CE16" s="443">
        <v>2893851.3833759152</v>
      </c>
      <c r="CF16" s="443">
        <v>2893851.3833759152</v>
      </c>
      <c r="CG16" s="443">
        <v>2893851.3833759152</v>
      </c>
      <c r="CH16" s="443">
        <v>2967096.9612162109</v>
      </c>
      <c r="CI16" s="443">
        <v>2967096.9612162109</v>
      </c>
      <c r="CJ16" s="443">
        <v>2967096.9612162109</v>
      </c>
      <c r="CK16" s="443">
        <v>2967096.9612162109</v>
      </c>
      <c r="CL16" s="443">
        <v>2967096.9612162109</v>
      </c>
      <c r="CM16" s="443">
        <v>2967096.9612162109</v>
      </c>
      <c r="CN16" s="443">
        <v>2967096.9612162109</v>
      </c>
      <c r="CO16" s="443">
        <v>2967096.9612162109</v>
      </c>
      <c r="CP16" s="443">
        <v>2967096.9612162109</v>
      </c>
      <c r="CQ16" s="443">
        <v>2967096.9612162109</v>
      </c>
      <c r="CR16" s="443">
        <v>2967096.9612162109</v>
      </c>
      <c r="CS16" s="443">
        <v>2967096.9612162109</v>
      </c>
      <c r="CT16" s="443">
        <v>3042196.4402982835</v>
      </c>
      <c r="CU16" s="443">
        <v>3042196.4402982835</v>
      </c>
      <c r="CV16" s="443">
        <v>3042196.4402982835</v>
      </c>
      <c r="CW16" s="443">
        <v>3042196.4402982835</v>
      </c>
      <c r="CX16" s="443">
        <v>3042196.4402982835</v>
      </c>
      <c r="CY16" s="443">
        <v>3042196.4402982835</v>
      </c>
      <c r="CZ16" s="443">
        <v>3042196.4402982835</v>
      </c>
      <c r="DA16" s="443">
        <v>3042196.4402982835</v>
      </c>
      <c r="DB16" s="443">
        <v>3042196.4402982835</v>
      </c>
      <c r="DC16" s="443">
        <v>3042196.4402982835</v>
      </c>
      <c r="DD16" s="443">
        <v>3042196.4402982835</v>
      </c>
      <c r="DE16" s="443">
        <v>3042196.4402982835</v>
      </c>
      <c r="DF16" s="443">
        <v>3119196.7442715275</v>
      </c>
      <c r="DG16" s="443">
        <v>3119196.7442715275</v>
      </c>
      <c r="DH16" s="443">
        <v>3119196.7442715275</v>
      </c>
      <c r="DI16" s="443">
        <v>3119196.7442715275</v>
      </c>
      <c r="DJ16" s="443">
        <v>3119196.7442715275</v>
      </c>
      <c r="DK16" s="443">
        <v>3119196.7442715275</v>
      </c>
      <c r="DL16" s="443">
        <v>3119196.7442715275</v>
      </c>
      <c r="DM16" s="443">
        <v>3119196.7442715275</v>
      </c>
      <c r="DN16" s="443">
        <v>3119196.7442715275</v>
      </c>
      <c r="DO16" s="443">
        <v>3119196.7442715275</v>
      </c>
      <c r="DP16" s="443">
        <v>3119196.7442715275</v>
      </c>
      <c r="DQ16" s="443">
        <v>3119196.7442715275</v>
      </c>
      <c r="DR16" s="443">
        <v>3198145.9844585657</v>
      </c>
      <c r="DS16" s="443">
        <v>3198145.9844585657</v>
      </c>
      <c r="DT16" s="443">
        <v>3198145.9844585657</v>
      </c>
      <c r="DU16" s="443">
        <v>3198145.9844585657</v>
      </c>
      <c r="DV16" s="443">
        <v>3198145.9844585657</v>
      </c>
      <c r="DW16" s="443">
        <v>3198145.9844585657</v>
      </c>
      <c r="DX16" s="443">
        <v>3198145.9844585657</v>
      </c>
      <c r="DY16" s="443">
        <v>3198145.9844585657</v>
      </c>
      <c r="DZ16" s="443">
        <v>3198145.9844585657</v>
      </c>
      <c r="EA16" s="443">
        <v>3198145.9844585657</v>
      </c>
      <c r="EB16" s="443">
        <v>3198145.9844585657</v>
      </c>
      <c r="EC16" s="443">
        <v>3198145.9844585657</v>
      </c>
      <c r="ED16" s="443">
        <v>3279093.4899161602</v>
      </c>
      <c r="EE16" s="443">
        <v>3279093.4899161602</v>
      </c>
      <c r="EF16" s="443">
        <v>3279093.4899161602</v>
      </c>
      <c r="EG16" s="443">
        <v>3279093.4899161602</v>
      </c>
      <c r="EH16" s="443">
        <v>3279093.4899161602</v>
      </c>
      <c r="EI16" s="443">
        <v>3279093.4899161602</v>
      </c>
      <c r="EJ16" s="443">
        <v>3279093.4899161602</v>
      </c>
      <c r="EK16" s="443">
        <v>3279093.4899161602</v>
      </c>
      <c r="EL16" s="443">
        <v>3279093.4899161602</v>
      </c>
      <c r="EM16" s="443">
        <v>3279093.4899161602</v>
      </c>
      <c r="EN16" s="443">
        <v>3279093.4899161602</v>
      </c>
      <c r="EO16" s="443">
        <v>3279093.4899161602</v>
      </c>
      <c r="EP16" s="443">
        <v>3362089.8382569905</v>
      </c>
      <c r="EQ16" s="443">
        <v>3362089.8382569905</v>
      </c>
      <c r="ER16" s="443">
        <v>3362089.8382569905</v>
      </c>
      <c r="ES16" s="443">
        <v>3362089.8382569905</v>
      </c>
      <c r="ET16" s="443">
        <v>3362089.8382569905</v>
      </c>
      <c r="EU16" s="443">
        <v>3362089.8382569905</v>
      </c>
      <c r="EV16" s="443">
        <v>3362089.8382569905</v>
      </c>
      <c r="EW16" s="443">
        <v>3362089.8382569905</v>
      </c>
      <c r="EX16" s="443">
        <v>3362089.8382569905</v>
      </c>
      <c r="EY16" s="443">
        <v>3362089.8382569905</v>
      </c>
      <c r="EZ16" s="443">
        <v>3362089.8382569905</v>
      </c>
      <c r="FA16" s="443">
        <v>3362089.8382569905</v>
      </c>
      <c r="FB16" s="443">
        <v>3447186.8872515522</v>
      </c>
      <c r="FC16" s="443">
        <v>3447186.8872515522</v>
      </c>
      <c r="FD16" s="443">
        <v>3447186.8872515522</v>
      </c>
      <c r="FE16" s="443">
        <v>3447186.8872515522</v>
      </c>
      <c r="FF16" s="443">
        <v>3447186.8872515522</v>
      </c>
      <c r="FG16" s="443">
        <v>3447186.8872515522</v>
      </c>
      <c r="FH16" s="443">
        <v>3447186.8872515522</v>
      </c>
      <c r="FI16" s="443">
        <v>3447186.8872515522</v>
      </c>
      <c r="FJ16" s="443">
        <v>3447186.8872515522</v>
      </c>
      <c r="FK16" s="443">
        <v>3447186.8872515522</v>
      </c>
      <c r="FL16" s="443">
        <v>3447186.8872515522</v>
      </c>
      <c r="FM16" s="443">
        <v>3447186.8872515522</v>
      </c>
      <c r="FN16" s="443">
        <v>3534437.8072299231</v>
      </c>
      <c r="FO16" s="443">
        <v>3534437.8072299231</v>
      </c>
      <c r="FP16" s="443">
        <v>3534437.8072299231</v>
      </c>
      <c r="FQ16" s="443">
        <v>3534437.8072299231</v>
      </c>
      <c r="FR16" s="443">
        <v>3534437.8072299231</v>
      </c>
      <c r="FS16" s="443">
        <v>3534437.8072299231</v>
      </c>
      <c r="FT16" s="443">
        <v>3534437.8072299231</v>
      </c>
      <c r="FU16" s="443">
        <v>3534437.8072299231</v>
      </c>
      <c r="FV16" s="443">
        <v>3534437.8072299231</v>
      </c>
      <c r="FW16" s="443">
        <v>3534437.8072299231</v>
      </c>
      <c r="FX16" s="443">
        <v>3534437.8072299231</v>
      </c>
      <c r="FY16" s="443">
        <v>3534437.8072299231</v>
      </c>
      <c r="FZ16" s="443">
        <v>0</v>
      </c>
      <c r="GA16" s="443">
        <v>0</v>
      </c>
      <c r="GB16" s="443">
        <v>0</v>
      </c>
      <c r="GC16" s="443">
        <v>0</v>
      </c>
      <c r="GD16" s="443">
        <v>0</v>
      </c>
      <c r="GE16" s="443">
        <v>0</v>
      </c>
      <c r="GF16" s="443">
        <v>0</v>
      </c>
      <c r="GG16" s="443">
        <v>0</v>
      </c>
      <c r="GH16" s="443">
        <v>0</v>
      </c>
      <c r="GI16" s="443">
        <v>0</v>
      </c>
      <c r="GJ16" s="443">
        <v>0</v>
      </c>
      <c r="GK16" s="443">
        <v>0</v>
      </c>
      <c r="GL16" s="442">
        <v>2822413.9414824001</v>
      </c>
      <c r="GM16" s="443">
        <v>2822413.9414824001</v>
      </c>
      <c r="GN16" s="443">
        <v>2822413.9414824001</v>
      </c>
      <c r="GO16" s="443">
        <v>2822413.9414824001</v>
      </c>
      <c r="GP16" s="443">
        <v>2822413.9414824001</v>
      </c>
      <c r="GQ16" s="443">
        <v>2822413.9414824001</v>
      </c>
      <c r="GR16" s="443">
        <v>2822413.9414824001</v>
      </c>
      <c r="GS16" s="443">
        <v>2822413.9414824001</v>
      </c>
      <c r="GT16" s="443">
        <v>2822413.9414824001</v>
      </c>
      <c r="GU16" s="443">
        <v>2822413.9414824001</v>
      </c>
      <c r="GV16" s="443">
        <v>2822413.9414824001</v>
      </c>
      <c r="GW16" s="443">
        <v>2822413.9414824001</v>
      </c>
      <c r="GX16" s="443">
        <v>2893851.3833759152</v>
      </c>
      <c r="GY16" s="443">
        <v>2893851.3833759152</v>
      </c>
      <c r="GZ16" s="443">
        <v>2893851.3833759152</v>
      </c>
      <c r="HA16" s="443">
        <v>2893851.3833759152</v>
      </c>
      <c r="HB16" s="443">
        <v>2893851.3833759152</v>
      </c>
      <c r="HC16" s="443">
        <v>2893851.3833759152</v>
      </c>
      <c r="HD16" s="443">
        <v>2893851.3833759152</v>
      </c>
      <c r="HE16" s="443">
        <v>2893851.3833759152</v>
      </c>
      <c r="HF16" s="443">
        <v>2893851.3833759152</v>
      </c>
      <c r="HG16" s="443">
        <v>2893851.3833759152</v>
      </c>
      <c r="HH16" s="443">
        <v>2893851.3833759152</v>
      </c>
      <c r="HI16" s="443">
        <v>2893851.3833759152</v>
      </c>
      <c r="HJ16" s="443">
        <v>2967096.9612162109</v>
      </c>
      <c r="HK16" s="443">
        <v>2967096.9612162109</v>
      </c>
      <c r="HL16" s="443">
        <v>2967096.9612162109</v>
      </c>
      <c r="HM16" s="443">
        <v>2967096.9612162109</v>
      </c>
      <c r="HN16" s="443">
        <v>2967096.9612162109</v>
      </c>
      <c r="HO16" s="443">
        <v>2967096.9612162109</v>
      </c>
      <c r="HP16" s="443">
        <v>2967096.9612162109</v>
      </c>
      <c r="HQ16" s="443">
        <v>2967096.9612162109</v>
      </c>
      <c r="HR16" s="443">
        <v>2967096.9612162109</v>
      </c>
      <c r="HS16" s="443">
        <v>2967096.9612162109</v>
      </c>
      <c r="HT16" s="443">
        <v>2967096.9612162109</v>
      </c>
      <c r="HU16" s="443">
        <v>2967096.9612162109</v>
      </c>
      <c r="HV16" s="443">
        <v>3042196.4402982835</v>
      </c>
      <c r="HW16" s="443">
        <v>3042196.4402982835</v>
      </c>
      <c r="HX16" s="443">
        <v>3042196.4402982835</v>
      </c>
      <c r="HY16" s="443">
        <v>3042196.4402982835</v>
      </c>
      <c r="HZ16" s="443">
        <v>3042196.4402982835</v>
      </c>
      <c r="IA16" s="443">
        <v>3042196.4402982835</v>
      </c>
      <c r="IB16" s="443">
        <v>3042196.4402982835</v>
      </c>
      <c r="IC16" s="443">
        <v>3042196.4402982835</v>
      </c>
      <c r="ID16" s="443">
        <v>3042196.4402982835</v>
      </c>
      <c r="IE16" s="443">
        <v>3042196.4402982835</v>
      </c>
      <c r="IF16" s="443">
        <v>3042196.4402982835</v>
      </c>
      <c r="IG16" s="443">
        <v>3042196.4402982835</v>
      </c>
      <c r="IH16" s="443">
        <v>3119196.7442715275</v>
      </c>
      <c r="II16" s="443">
        <v>3119196.7442715275</v>
      </c>
      <c r="IJ16" s="443">
        <v>3119196.7442715275</v>
      </c>
      <c r="IK16" s="443">
        <v>3119196.7442715275</v>
      </c>
      <c r="IL16" s="443">
        <v>3119196.7442715275</v>
      </c>
      <c r="IM16" s="443">
        <v>3119196.7442715275</v>
      </c>
      <c r="IN16" s="443">
        <v>3119196.7442715275</v>
      </c>
      <c r="IO16" s="443">
        <v>3119196.7442715275</v>
      </c>
      <c r="IP16" s="443">
        <v>3119196.7442715275</v>
      </c>
      <c r="IQ16" s="443">
        <v>3119196.7442715275</v>
      </c>
      <c r="IR16" s="443">
        <v>3119196.7442715275</v>
      </c>
      <c r="IS16" s="443">
        <v>3119196.7442715275</v>
      </c>
      <c r="IT16" s="443">
        <v>3198145.9844585657</v>
      </c>
      <c r="IU16" s="443">
        <v>3198145.9844585657</v>
      </c>
      <c r="IV16" s="443">
        <v>3198145.9844585657</v>
      </c>
      <c r="IW16" s="443">
        <v>3198145.9844585657</v>
      </c>
      <c r="IX16" s="443">
        <v>3198145.9844585657</v>
      </c>
      <c r="IY16" s="443">
        <v>3198145.9844585657</v>
      </c>
      <c r="IZ16" s="443">
        <v>3198145.9844585657</v>
      </c>
      <c r="JA16" s="443">
        <v>3198145.9844585657</v>
      </c>
      <c r="JB16" s="443">
        <v>3198145.9844585657</v>
      </c>
      <c r="JC16" s="443">
        <v>3198145.9844585657</v>
      </c>
      <c r="JD16" s="443">
        <v>3198145.9844585657</v>
      </c>
      <c r="JE16" s="443">
        <v>3198145.9844585657</v>
      </c>
      <c r="JF16" s="443">
        <v>3279093.4899161602</v>
      </c>
      <c r="JG16" s="443">
        <v>3279093.4899161602</v>
      </c>
      <c r="JH16" s="443">
        <v>3279093.4899161602</v>
      </c>
      <c r="JI16" s="443">
        <v>3279093.4899161602</v>
      </c>
      <c r="JJ16" s="443">
        <v>3279093.4899161602</v>
      </c>
      <c r="JK16" s="443">
        <v>3279093.4899161602</v>
      </c>
      <c r="JL16" s="443">
        <v>3279093.4899161602</v>
      </c>
      <c r="JM16" s="443">
        <v>3279093.4899161602</v>
      </c>
      <c r="JN16" s="443">
        <v>3279093.4899161602</v>
      </c>
      <c r="JO16" s="443">
        <v>3279093.4899161602</v>
      </c>
      <c r="JP16" s="443">
        <v>3279093.4899161602</v>
      </c>
      <c r="JQ16" s="443">
        <v>3279093.4899161602</v>
      </c>
      <c r="JR16" s="443">
        <v>3362089.8382569905</v>
      </c>
      <c r="JS16" s="443">
        <v>3362089.8382569905</v>
      </c>
      <c r="JT16" s="443">
        <v>3362089.8382569905</v>
      </c>
      <c r="JU16" s="443">
        <v>3362089.8382569905</v>
      </c>
      <c r="JV16" s="443">
        <v>3362089.8382569905</v>
      </c>
      <c r="JW16" s="443">
        <v>3362089.8382569905</v>
      </c>
      <c r="JX16" s="443">
        <v>3362089.8382569905</v>
      </c>
      <c r="JY16" s="443">
        <v>3362089.8382569905</v>
      </c>
      <c r="JZ16" s="443">
        <v>3362089.8382569905</v>
      </c>
      <c r="KA16" s="443">
        <v>3362089.8382569905</v>
      </c>
      <c r="KB16" s="443">
        <v>3362089.8382569905</v>
      </c>
      <c r="KC16" s="443">
        <v>3362089.8382569905</v>
      </c>
      <c r="KD16" s="443">
        <v>3447186.8872515522</v>
      </c>
      <c r="KE16" s="443">
        <v>3447186.8872515522</v>
      </c>
      <c r="KF16" s="443">
        <v>3447186.8872515522</v>
      </c>
      <c r="KG16" s="443">
        <v>3447186.8872515522</v>
      </c>
      <c r="KH16" s="443">
        <v>3447186.8872515522</v>
      </c>
      <c r="KI16" s="443">
        <v>3447186.8872515522</v>
      </c>
      <c r="KJ16" s="443">
        <v>3447186.8872515522</v>
      </c>
      <c r="KK16" s="443">
        <v>3447186.8872515522</v>
      </c>
      <c r="KL16" s="443">
        <v>3447186.8872515522</v>
      </c>
      <c r="KM16" s="443">
        <v>3447186.8872515522</v>
      </c>
      <c r="KN16" s="443">
        <v>3447186.8872515522</v>
      </c>
      <c r="KO16" s="443">
        <v>3447186.8872515522</v>
      </c>
      <c r="KP16" s="443">
        <v>3534437.8072299231</v>
      </c>
      <c r="KQ16" s="443">
        <v>3534437.8072299231</v>
      </c>
      <c r="KR16" s="443">
        <v>3534437.8072299231</v>
      </c>
      <c r="KS16" s="443">
        <v>3534437.8072299231</v>
      </c>
      <c r="KT16" s="443">
        <v>3534437.8072299231</v>
      </c>
      <c r="KU16" s="443">
        <v>3534437.8072299231</v>
      </c>
      <c r="KV16" s="443">
        <v>3534437.8072299231</v>
      </c>
      <c r="KW16" s="443">
        <v>3534437.8072299231</v>
      </c>
      <c r="KX16" s="443">
        <v>3534437.8072299231</v>
      </c>
      <c r="KY16" s="443">
        <v>3534437.8072299231</v>
      </c>
      <c r="KZ16" s="443">
        <v>3534437.8072299231</v>
      </c>
      <c r="LA16" s="33">
        <v>3534437.8072299231</v>
      </c>
      <c r="LB16" s="27"/>
    </row>
    <row r="17" spans="1:314">
      <c r="A17" s="459" t="s">
        <v>994</v>
      </c>
      <c r="B17" s="463" t="s">
        <v>1185</v>
      </c>
      <c r="C17" s="463" t="s">
        <v>176</v>
      </c>
      <c r="D17" s="456" t="s">
        <v>1203</v>
      </c>
      <c r="E17" s="463" t="s">
        <v>1210</v>
      </c>
      <c r="F17" s="456"/>
      <c r="G17" s="456"/>
      <c r="H17" s="456"/>
      <c r="I17" s="456"/>
      <c r="J17" s="456" t="s">
        <v>1417</v>
      </c>
      <c r="K17" s="456">
        <v>0</v>
      </c>
      <c r="L17" s="456" t="s">
        <v>899</v>
      </c>
      <c r="M17" s="470">
        <v>2</v>
      </c>
      <c r="N17" s="470">
        <v>2</v>
      </c>
      <c r="O17" s="470">
        <v>2</v>
      </c>
      <c r="P17" s="470">
        <v>2</v>
      </c>
      <c r="Q17" s="470">
        <v>2</v>
      </c>
      <c r="R17" s="470">
        <v>2</v>
      </c>
      <c r="S17" s="470">
        <v>2</v>
      </c>
      <c r="T17" s="470">
        <v>2</v>
      </c>
      <c r="U17" s="470">
        <v>2</v>
      </c>
      <c r="V17" s="470">
        <v>2</v>
      </c>
      <c r="W17" s="470">
        <v>0</v>
      </c>
      <c r="X17" s="457">
        <v>0</v>
      </c>
      <c r="Y17" s="472">
        <v>2822413.9414824001</v>
      </c>
      <c r="Z17" s="472">
        <v>2893851.3833759152</v>
      </c>
      <c r="AA17" s="472">
        <v>2967096.9612162109</v>
      </c>
      <c r="AB17" s="472">
        <v>3042196.4402982835</v>
      </c>
      <c r="AC17" s="472">
        <v>3119196.7442715275</v>
      </c>
      <c r="AD17" s="472">
        <v>3198145.9844585657</v>
      </c>
      <c r="AE17" s="472">
        <v>3279093.4899161602</v>
      </c>
      <c r="AF17" s="472">
        <v>3362089.8382569905</v>
      </c>
      <c r="AG17" s="472">
        <v>3447186.8872515522</v>
      </c>
      <c r="AH17" s="472">
        <v>3534437.8072299231</v>
      </c>
      <c r="AI17" s="472">
        <v>0</v>
      </c>
      <c r="AJ17" s="457">
        <v>12</v>
      </c>
      <c r="AK17" s="457">
        <v>12</v>
      </c>
      <c r="AL17" s="457">
        <v>12</v>
      </c>
      <c r="AM17" s="457">
        <v>12</v>
      </c>
      <c r="AN17" s="457">
        <v>12</v>
      </c>
      <c r="AO17" s="457">
        <v>12</v>
      </c>
      <c r="AP17" s="457">
        <v>12</v>
      </c>
      <c r="AQ17" s="457">
        <v>12</v>
      </c>
      <c r="AR17" s="457">
        <v>12</v>
      </c>
      <c r="AS17" s="457">
        <v>12</v>
      </c>
      <c r="AT17" s="457"/>
      <c r="AU17" s="458">
        <v>1</v>
      </c>
      <c r="AV17" s="510">
        <v>1.02531076</v>
      </c>
      <c r="AW17" s="456">
        <v>0</v>
      </c>
      <c r="AX17" s="443">
        <v>759977027.46618056</v>
      </c>
      <c r="AY17" s="443">
        <v>67737934.595577583</v>
      </c>
      <c r="AZ17" s="443">
        <v>69452433.201021984</v>
      </c>
      <c r="BA17" s="443">
        <v>71210327.069189057</v>
      </c>
      <c r="BB17" s="443">
        <v>73012714.567158788</v>
      </c>
      <c r="BC17" s="443">
        <v>74860721.862516657</v>
      </c>
      <c r="BD17" s="443">
        <v>76755503.627005577</v>
      </c>
      <c r="BE17" s="443">
        <v>78698243.757987842</v>
      </c>
      <c r="BF17" s="443">
        <v>80690156.118167803</v>
      </c>
      <c r="BG17" s="443">
        <v>82732485.294037253</v>
      </c>
      <c r="BH17" s="443">
        <v>84826507.373518124</v>
      </c>
      <c r="BI17" s="443">
        <v>0</v>
      </c>
      <c r="BJ17" s="442">
        <v>5644827.8829648001</v>
      </c>
      <c r="BK17" s="443">
        <v>5644827.8829648001</v>
      </c>
      <c r="BL17" s="443">
        <v>5644827.8829648001</v>
      </c>
      <c r="BM17" s="443">
        <v>5644827.8829648001</v>
      </c>
      <c r="BN17" s="443">
        <v>5644827.8829648001</v>
      </c>
      <c r="BO17" s="443">
        <v>5644827.8829648001</v>
      </c>
      <c r="BP17" s="443">
        <v>5644827.8829648001</v>
      </c>
      <c r="BQ17" s="443">
        <v>5644827.8829648001</v>
      </c>
      <c r="BR17" s="443">
        <v>5644827.8829648001</v>
      </c>
      <c r="BS17" s="443">
        <v>5644827.8829648001</v>
      </c>
      <c r="BT17" s="443">
        <v>5644827.8829648001</v>
      </c>
      <c r="BU17" s="443">
        <v>5644827.8829648001</v>
      </c>
      <c r="BV17" s="443">
        <v>5787702.7667518305</v>
      </c>
      <c r="BW17" s="443">
        <v>5787702.7667518305</v>
      </c>
      <c r="BX17" s="443">
        <v>5787702.7667518305</v>
      </c>
      <c r="BY17" s="443">
        <v>5787702.7667518305</v>
      </c>
      <c r="BZ17" s="443">
        <v>5787702.7667518305</v>
      </c>
      <c r="CA17" s="443">
        <v>5787702.7667518305</v>
      </c>
      <c r="CB17" s="443">
        <v>5787702.7667518305</v>
      </c>
      <c r="CC17" s="443">
        <v>5787702.7667518305</v>
      </c>
      <c r="CD17" s="443">
        <v>5787702.7667518305</v>
      </c>
      <c r="CE17" s="443">
        <v>5787702.7667518305</v>
      </c>
      <c r="CF17" s="443">
        <v>5787702.7667518305</v>
      </c>
      <c r="CG17" s="443">
        <v>5787702.7667518305</v>
      </c>
      <c r="CH17" s="443">
        <v>5934193.9224324217</v>
      </c>
      <c r="CI17" s="443">
        <v>5934193.9224324217</v>
      </c>
      <c r="CJ17" s="443">
        <v>5934193.9224324217</v>
      </c>
      <c r="CK17" s="443">
        <v>5934193.9224324217</v>
      </c>
      <c r="CL17" s="443">
        <v>5934193.9224324217</v>
      </c>
      <c r="CM17" s="443">
        <v>5934193.9224324217</v>
      </c>
      <c r="CN17" s="443">
        <v>5934193.9224324217</v>
      </c>
      <c r="CO17" s="443">
        <v>5934193.9224324217</v>
      </c>
      <c r="CP17" s="443">
        <v>5934193.9224324217</v>
      </c>
      <c r="CQ17" s="443">
        <v>5934193.9224324217</v>
      </c>
      <c r="CR17" s="443">
        <v>5934193.9224324217</v>
      </c>
      <c r="CS17" s="443">
        <v>5934193.9224324217</v>
      </c>
      <c r="CT17" s="443">
        <v>6084392.8805965669</v>
      </c>
      <c r="CU17" s="443">
        <v>6084392.8805965669</v>
      </c>
      <c r="CV17" s="443">
        <v>6084392.8805965669</v>
      </c>
      <c r="CW17" s="443">
        <v>6084392.8805965669</v>
      </c>
      <c r="CX17" s="443">
        <v>6084392.8805965669</v>
      </c>
      <c r="CY17" s="443">
        <v>6084392.8805965669</v>
      </c>
      <c r="CZ17" s="443">
        <v>6084392.8805965669</v>
      </c>
      <c r="DA17" s="443">
        <v>6084392.8805965669</v>
      </c>
      <c r="DB17" s="443">
        <v>6084392.8805965669</v>
      </c>
      <c r="DC17" s="443">
        <v>6084392.8805965669</v>
      </c>
      <c r="DD17" s="443">
        <v>6084392.8805965669</v>
      </c>
      <c r="DE17" s="443">
        <v>6084392.8805965669</v>
      </c>
      <c r="DF17" s="443">
        <v>6238393.488543055</v>
      </c>
      <c r="DG17" s="443">
        <v>6238393.488543055</v>
      </c>
      <c r="DH17" s="443">
        <v>6238393.488543055</v>
      </c>
      <c r="DI17" s="443">
        <v>6238393.488543055</v>
      </c>
      <c r="DJ17" s="443">
        <v>6238393.488543055</v>
      </c>
      <c r="DK17" s="443">
        <v>6238393.488543055</v>
      </c>
      <c r="DL17" s="443">
        <v>6238393.488543055</v>
      </c>
      <c r="DM17" s="443">
        <v>6238393.488543055</v>
      </c>
      <c r="DN17" s="443">
        <v>6238393.488543055</v>
      </c>
      <c r="DO17" s="443">
        <v>6238393.488543055</v>
      </c>
      <c r="DP17" s="443">
        <v>6238393.488543055</v>
      </c>
      <c r="DQ17" s="443">
        <v>6238393.488543055</v>
      </c>
      <c r="DR17" s="443">
        <v>6396291.9689171314</v>
      </c>
      <c r="DS17" s="443">
        <v>6396291.9689171314</v>
      </c>
      <c r="DT17" s="443">
        <v>6396291.9689171314</v>
      </c>
      <c r="DU17" s="443">
        <v>6396291.9689171314</v>
      </c>
      <c r="DV17" s="443">
        <v>6396291.9689171314</v>
      </c>
      <c r="DW17" s="443">
        <v>6396291.9689171314</v>
      </c>
      <c r="DX17" s="443">
        <v>6396291.9689171314</v>
      </c>
      <c r="DY17" s="443">
        <v>6396291.9689171314</v>
      </c>
      <c r="DZ17" s="443">
        <v>6396291.9689171314</v>
      </c>
      <c r="EA17" s="443">
        <v>6396291.9689171314</v>
      </c>
      <c r="EB17" s="443">
        <v>6396291.9689171314</v>
      </c>
      <c r="EC17" s="443">
        <v>6396291.9689171314</v>
      </c>
      <c r="ED17" s="443">
        <v>6558186.9798323205</v>
      </c>
      <c r="EE17" s="443">
        <v>6558186.9798323205</v>
      </c>
      <c r="EF17" s="443">
        <v>6558186.9798323205</v>
      </c>
      <c r="EG17" s="443">
        <v>6558186.9798323205</v>
      </c>
      <c r="EH17" s="443">
        <v>6558186.9798323205</v>
      </c>
      <c r="EI17" s="443">
        <v>6558186.9798323205</v>
      </c>
      <c r="EJ17" s="443">
        <v>6558186.9798323205</v>
      </c>
      <c r="EK17" s="443">
        <v>6558186.9798323205</v>
      </c>
      <c r="EL17" s="443">
        <v>6558186.9798323205</v>
      </c>
      <c r="EM17" s="443">
        <v>6558186.9798323205</v>
      </c>
      <c r="EN17" s="443">
        <v>6558186.9798323205</v>
      </c>
      <c r="EO17" s="443">
        <v>6558186.9798323205</v>
      </c>
      <c r="EP17" s="443">
        <v>6724179.6765139811</v>
      </c>
      <c r="EQ17" s="443">
        <v>6724179.6765139811</v>
      </c>
      <c r="ER17" s="443">
        <v>6724179.6765139811</v>
      </c>
      <c r="ES17" s="443">
        <v>6724179.6765139811</v>
      </c>
      <c r="ET17" s="443">
        <v>6724179.6765139811</v>
      </c>
      <c r="EU17" s="443">
        <v>6724179.6765139811</v>
      </c>
      <c r="EV17" s="443">
        <v>6724179.6765139811</v>
      </c>
      <c r="EW17" s="443">
        <v>6724179.6765139811</v>
      </c>
      <c r="EX17" s="443">
        <v>6724179.6765139811</v>
      </c>
      <c r="EY17" s="443">
        <v>6724179.6765139811</v>
      </c>
      <c r="EZ17" s="443">
        <v>6724179.6765139811</v>
      </c>
      <c r="FA17" s="443">
        <v>6724179.6765139811</v>
      </c>
      <c r="FB17" s="443">
        <v>6894373.7745031044</v>
      </c>
      <c r="FC17" s="443">
        <v>6894373.7745031044</v>
      </c>
      <c r="FD17" s="443">
        <v>6894373.7745031044</v>
      </c>
      <c r="FE17" s="443">
        <v>6894373.7745031044</v>
      </c>
      <c r="FF17" s="443">
        <v>6894373.7745031044</v>
      </c>
      <c r="FG17" s="443">
        <v>6894373.7745031044</v>
      </c>
      <c r="FH17" s="443">
        <v>6894373.7745031044</v>
      </c>
      <c r="FI17" s="443">
        <v>6894373.7745031044</v>
      </c>
      <c r="FJ17" s="443">
        <v>6894373.7745031044</v>
      </c>
      <c r="FK17" s="443">
        <v>6894373.7745031044</v>
      </c>
      <c r="FL17" s="443">
        <v>6894373.7745031044</v>
      </c>
      <c r="FM17" s="443">
        <v>6894373.7745031044</v>
      </c>
      <c r="FN17" s="443">
        <v>7068875.6144598462</v>
      </c>
      <c r="FO17" s="443">
        <v>7068875.6144598462</v>
      </c>
      <c r="FP17" s="443">
        <v>7068875.6144598462</v>
      </c>
      <c r="FQ17" s="443">
        <v>7068875.6144598462</v>
      </c>
      <c r="FR17" s="443">
        <v>7068875.6144598462</v>
      </c>
      <c r="FS17" s="443">
        <v>7068875.6144598462</v>
      </c>
      <c r="FT17" s="443">
        <v>7068875.6144598462</v>
      </c>
      <c r="FU17" s="443">
        <v>7068875.6144598462</v>
      </c>
      <c r="FV17" s="443">
        <v>7068875.6144598462</v>
      </c>
      <c r="FW17" s="443">
        <v>7068875.6144598462</v>
      </c>
      <c r="FX17" s="443">
        <v>7068875.6144598462</v>
      </c>
      <c r="FY17" s="443">
        <v>7068875.6144598462</v>
      </c>
      <c r="FZ17" s="443">
        <v>0</v>
      </c>
      <c r="GA17" s="443">
        <v>0</v>
      </c>
      <c r="GB17" s="443">
        <v>0</v>
      </c>
      <c r="GC17" s="443">
        <v>0</v>
      </c>
      <c r="GD17" s="443">
        <v>0</v>
      </c>
      <c r="GE17" s="443">
        <v>0</v>
      </c>
      <c r="GF17" s="443">
        <v>0</v>
      </c>
      <c r="GG17" s="443">
        <v>0</v>
      </c>
      <c r="GH17" s="443">
        <v>0</v>
      </c>
      <c r="GI17" s="443">
        <v>0</v>
      </c>
      <c r="GJ17" s="443">
        <v>0</v>
      </c>
      <c r="GK17" s="443">
        <v>0</v>
      </c>
      <c r="GL17" s="442">
        <v>5644827.8829648001</v>
      </c>
      <c r="GM17" s="443">
        <v>5644827.8829648001</v>
      </c>
      <c r="GN17" s="443">
        <v>5644827.8829648001</v>
      </c>
      <c r="GO17" s="443">
        <v>5644827.8829648001</v>
      </c>
      <c r="GP17" s="443">
        <v>5644827.8829648001</v>
      </c>
      <c r="GQ17" s="443">
        <v>5644827.8829648001</v>
      </c>
      <c r="GR17" s="443">
        <v>5644827.8829648001</v>
      </c>
      <c r="GS17" s="443">
        <v>5644827.8829648001</v>
      </c>
      <c r="GT17" s="443">
        <v>5644827.8829648001</v>
      </c>
      <c r="GU17" s="443">
        <v>5644827.8829648001</v>
      </c>
      <c r="GV17" s="443">
        <v>5644827.8829648001</v>
      </c>
      <c r="GW17" s="443">
        <v>5644827.8829648001</v>
      </c>
      <c r="GX17" s="443">
        <v>5787702.7667518305</v>
      </c>
      <c r="GY17" s="443">
        <v>5787702.7667518305</v>
      </c>
      <c r="GZ17" s="443">
        <v>5787702.7667518305</v>
      </c>
      <c r="HA17" s="443">
        <v>5787702.7667518305</v>
      </c>
      <c r="HB17" s="443">
        <v>5787702.7667518305</v>
      </c>
      <c r="HC17" s="443">
        <v>5787702.7667518305</v>
      </c>
      <c r="HD17" s="443">
        <v>5787702.7667518305</v>
      </c>
      <c r="HE17" s="443">
        <v>5787702.7667518305</v>
      </c>
      <c r="HF17" s="443">
        <v>5787702.7667518305</v>
      </c>
      <c r="HG17" s="443">
        <v>5787702.7667518305</v>
      </c>
      <c r="HH17" s="443">
        <v>5787702.7667518305</v>
      </c>
      <c r="HI17" s="443">
        <v>5787702.7667518305</v>
      </c>
      <c r="HJ17" s="443">
        <v>5934193.9224324217</v>
      </c>
      <c r="HK17" s="443">
        <v>5934193.9224324217</v>
      </c>
      <c r="HL17" s="443">
        <v>5934193.9224324217</v>
      </c>
      <c r="HM17" s="443">
        <v>5934193.9224324217</v>
      </c>
      <c r="HN17" s="443">
        <v>5934193.9224324217</v>
      </c>
      <c r="HO17" s="443">
        <v>5934193.9224324217</v>
      </c>
      <c r="HP17" s="443">
        <v>5934193.9224324217</v>
      </c>
      <c r="HQ17" s="443">
        <v>5934193.9224324217</v>
      </c>
      <c r="HR17" s="443">
        <v>5934193.9224324217</v>
      </c>
      <c r="HS17" s="443">
        <v>5934193.9224324217</v>
      </c>
      <c r="HT17" s="443">
        <v>5934193.9224324217</v>
      </c>
      <c r="HU17" s="443">
        <v>5934193.9224324217</v>
      </c>
      <c r="HV17" s="443">
        <v>6084392.8805965669</v>
      </c>
      <c r="HW17" s="443">
        <v>6084392.8805965669</v>
      </c>
      <c r="HX17" s="443">
        <v>6084392.8805965669</v>
      </c>
      <c r="HY17" s="443">
        <v>6084392.8805965669</v>
      </c>
      <c r="HZ17" s="443">
        <v>6084392.8805965669</v>
      </c>
      <c r="IA17" s="443">
        <v>6084392.8805965669</v>
      </c>
      <c r="IB17" s="443">
        <v>6084392.8805965669</v>
      </c>
      <c r="IC17" s="443">
        <v>6084392.8805965669</v>
      </c>
      <c r="ID17" s="443">
        <v>6084392.8805965669</v>
      </c>
      <c r="IE17" s="443">
        <v>6084392.8805965669</v>
      </c>
      <c r="IF17" s="443">
        <v>6084392.8805965669</v>
      </c>
      <c r="IG17" s="443">
        <v>6084392.8805965669</v>
      </c>
      <c r="IH17" s="443">
        <v>6238393.488543055</v>
      </c>
      <c r="II17" s="443">
        <v>6238393.488543055</v>
      </c>
      <c r="IJ17" s="443">
        <v>6238393.488543055</v>
      </c>
      <c r="IK17" s="443">
        <v>6238393.488543055</v>
      </c>
      <c r="IL17" s="443">
        <v>6238393.488543055</v>
      </c>
      <c r="IM17" s="443">
        <v>6238393.488543055</v>
      </c>
      <c r="IN17" s="443">
        <v>6238393.488543055</v>
      </c>
      <c r="IO17" s="443">
        <v>6238393.488543055</v>
      </c>
      <c r="IP17" s="443">
        <v>6238393.488543055</v>
      </c>
      <c r="IQ17" s="443">
        <v>6238393.488543055</v>
      </c>
      <c r="IR17" s="443">
        <v>6238393.488543055</v>
      </c>
      <c r="IS17" s="443">
        <v>6238393.488543055</v>
      </c>
      <c r="IT17" s="443">
        <v>6396291.9689171314</v>
      </c>
      <c r="IU17" s="443">
        <v>6396291.9689171314</v>
      </c>
      <c r="IV17" s="443">
        <v>6396291.9689171314</v>
      </c>
      <c r="IW17" s="443">
        <v>6396291.9689171314</v>
      </c>
      <c r="IX17" s="443">
        <v>6396291.9689171314</v>
      </c>
      <c r="IY17" s="443">
        <v>6396291.9689171314</v>
      </c>
      <c r="IZ17" s="443">
        <v>6396291.9689171314</v>
      </c>
      <c r="JA17" s="443">
        <v>6396291.9689171314</v>
      </c>
      <c r="JB17" s="443">
        <v>6396291.9689171314</v>
      </c>
      <c r="JC17" s="443">
        <v>6396291.9689171314</v>
      </c>
      <c r="JD17" s="443">
        <v>6396291.9689171314</v>
      </c>
      <c r="JE17" s="443">
        <v>6396291.9689171314</v>
      </c>
      <c r="JF17" s="443">
        <v>6558186.9798323205</v>
      </c>
      <c r="JG17" s="443">
        <v>6558186.9798323205</v>
      </c>
      <c r="JH17" s="443">
        <v>6558186.9798323205</v>
      </c>
      <c r="JI17" s="443">
        <v>6558186.9798323205</v>
      </c>
      <c r="JJ17" s="443">
        <v>6558186.9798323205</v>
      </c>
      <c r="JK17" s="443">
        <v>6558186.9798323205</v>
      </c>
      <c r="JL17" s="443">
        <v>6558186.9798323205</v>
      </c>
      <c r="JM17" s="443">
        <v>6558186.9798323205</v>
      </c>
      <c r="JN17" s="443">
        <v>6558186.9798323205</v>
      </c>
      <c r="JO17" s="443">
        <v>6558186.9798323205</v>
      </c>
      <c r="JP17" s="443">
        <v>6558186.9798323205</v>
      </c>
      <c r="JQ17" s="443">
        <v>6558186.9798323205</v>
      </c>
      <c r="JR17" s="443">
        <v>6724179.6765139811</v>
      </c>
      <c r="JS17" s="443">
        <v>6724179.6765139811</v>
      </c>
      <c r="JT17" s="443">
        <v>6724179.6765139811</v>
      </c>
      <c r="JU17" s="443">
        <v>6724179.6765139811</v>
      </c>
      <c r="JV17" s="443">
        <v>6724179.6765139811</v>
      </c>
      <c r="JW17" s="443">
        <v>6724179.6765139811</v>
      </c>
      <c r="JX17" s="443">
        <v>6724179.6765139811</v>
      </c>
      <c r="JY17" s="443">
        <v>6724179.6765139811</v>
      </c>
      <c r="JZ17" s="443">
        <v>6724179.6765139811</v>
      </c>
      <c r="KA17" s="443">
        <v>6724179.6765139811</v>
      </c>
      <c r="KB17" s="443">
        <v>6724179.6765139811</v>
      </c>
      <c r="KC17" s="443">
        <v>6724179.6765139811</v>
      </c>
      <c r="KD17" s="443">
        <v>6894373.7745031044</v>
      </c>
      <c r="KE17" s="443">
        <v>6894373.7745031044</v>
      </c>
      <c r="KF17" s="443">
        <v>6894373.7745031044</v>
      </c>
      <c r="KG17" s="443">
        <v>6894373.7745031044</v>
      </c>
      <c r="KH17" s="443">
        <v>6894373.7745031044</v>
      </c>
      <c r="KI17" s="443">
        <v>6894373.7745031044</v>
      </c>
      <c r="KJ17" s="443">
        <v>6894373.7745031044</v>
      </c>
      <c r="KK17" s="443">
        <v>6894373.7745031044</v>
      </c>
      <c r="KL17" s="443">
        <v>6894373.7745031044</v>
      </c>
      <c r="KM17" s="443">
        <v>6894373.7745031044</v>
      </c>
      <c r="KN17" s="443">
        <v>6894373.7745031044</v>
      </c>
      <c r="KO17" s="443">
        <v>6894373.7745031044</v>
      </c>
      <c r="KP17" s="443">
        <v>7068875.6144598462</v>
      </c>
      <c r="KQ17" s="443">
        <v>7068875.6144598462</v>
      </c>
      <c r="KR17" s="443">
        <v>7068875.6144598462</v>
      </c>
      <c r="KS17" s="443">
        <v>7068875.6144598462</v>
      </c>
      <c r="KT17" s="443">
        <v>7068875.6144598462</v>
      </c>
      <c r="KU17" s="443">
        <v>7068875.6144598462</v>
      </c>
      <c r="KV17" s="443">
        <v>7068875.6144598462</v>
      </c>
      <c r="KW17" s="443">
        <v>7068875.6144598462</v>
      </c>
      <c r="KX17" s="443">
        <v>7068875.6144598462</v>
      </c>
      <c r="KY17" s="443">
        <v>7068875.6144598462</v>
      </c>
      <c r="KZ17" s="443">
        <v>7068875.6144598462</v>
      </c>
      <c r="LA17" s="33">
        <v>7068875.6144598462</v>
      </c>
      <c r="LB17" s="27"/>
    </row>
    <row r="18" spans="1:314">
      <c r="A18" s="459" t="s">
        <v>995</v>
      </c>
      <c r="B18" s="463" t="s">
        <v>1185</v>
      </c>
      <c r="C18" s="463" t="s">
        <v>176</v>
      </c>
      <c r="D18" s="456" t="s">
        <v>1203</v>
      </c>
      <c r="E18" s="463" t="s">
        <v>1211</v>
      </c>
      <c r="F18" s="456"/>
      <c r="G18" s="456"/>
      <c r="H18" s="456"/>
      <c r="I18" s="456"/>
      <c r="J18" s="456" t="s">
        <v>1417</v>
      </c>
      <c r="K18" s="456">
        <v>0</v>
      </c>
      <c r="L18" s="456" t="s">
        <v>899</v>
      </c>
      <c r="M18" s="470">
        <v>2</v>
      </c>
      <c r="N18" s="470">
        <v>2</v>
      </c>
      <c r="O18" s="470">
        <v>2</v>
      </c>
      <c r="P18" s="470">
        <v>2</v>
      </c>
      <c r="Q18" s="470">
        <v>2</v>
      </c>
      <c r="R18" s="470">
        <v>2</v>
      </c>
      <c r="S18" s="470">
        <v>2</v>
      </c>
      <c r="T18" s="470">
        <v>2</v>
      </c>
      <c r="U18" s="470">
        <v>2</v>
      </c>
      <c r="V18" s="470">
        <v>2</v>
      </c>
      <c r="W18" s="470">
        <v>0</v>
      </c>
      <c r="X18" s="457">
        <v>0</v>
      </c>
      <c r="Y18" s="472">
        <v>2577095.0131125199</v>
      </c>
      <c r="Z18" s="472">
        <v>2642323.2464866075</v>
      </c>
      <c r="AA18" s="472">
        <v>2709202.4560208507</v>
      </c>
      <c r="AB18" s="472">
        <v>2777774.4291766048</v>
      </c>
      <c r="AC18" s="472">
        <v>2848082.0110876309</v>
      </c>
      <c r="AD18" s="472">
        <v>2920169.1313305874</v>
      </c>
      <c r="AE18" s="472">
        <v>2994080.8313731044</v>
      </c>
      <c r="AF18" s="472">
        <v>3069863.2927165893</v>
      </c>
      <c r="AG18" s="472">
        <v>3147563.8657513484</v>
      </c>
      <c r="AH18" s="472">
        <v>3227231.0993420528</v>
      </c>
      <c r="AI18" s="472">
        <v>0</v>
      </c>
      <c r="AJ18" s="457">
        <v>12</v>
      </c>
      <c r="AK18" s="457">
        <v>12</v>
      </c>
      <c r="AL18" s="457">
        <v>12</v>
      </c>
      <c r="AM18" s="457">
        <v>12</v>
      </c>
      <c r="AN18" s="457">
        <v>12</v>
      </c>
      <c r="AO18" s="457">
        <v>12</v>
      </c>
      <c r="AP18" s="457">
        <v>12</v>
      </c>
      <c r="AQ18" s="457">
        <v>12</v>
      </c>
      <c r="AR18" s="457">
        <v>12</v>
      </c>
      <c r="AS18" s="457">
        <v>12</v>
      </c>
      <c r="AT18" s="457"/>
      <c r="AU18" s="458">
        <v>1</v>
      </c>
      <c r="AV18" s="510">
        <v>1.02531076</v>
      </c>
      <c r="AW18" s="456">
        <v>0</v>
      </c>
      <c r="AX18" s="443">
        <v>693921249.03354943</v>
      </c>
      <c r="AY18" s="443">
        <v>61850280.314700462</v>
      </c>
      <c r="AZ18" s="443">
        <v>63415757.915678583</v>
      </c>
      <c r="BA18" s="443">
        <v>65020858.944500417</v>
      </c>
      <c r="BB18" s="443">
        <v>66666586.300238527</v>
      </c>
      <c r="BC18" s="443">
        <v>68353968.266103134</v>
      </c>
      <c r="BD18" s="443">
        <v>70084059.151934102</v>
      </c>
      <c r="BE18" s="443">
        <v>71857939.952954486</v>
      </c>
      <c r="BF18" s="443">
        <v>73676719.025198147</v>
      </c>
      <c r="BG18" s="443">
        <v>75541532.778032362</v>
      </c>
      <c r="BH18" s="443">
        <v>77453546.38420926</v>
      </c>
      <c r="BI18" s="443">
        <v>0</v>
      </c>
      <c r="BJ18" s="442">
        <v>5154190.0262250397</v>
      </c>
      <c r="BK18" s="443">
        <v>5154190.0262250397</v>
      </c>
      <c r="BL18" s="443">
        <v>5154190.0262250397</v>
      </c>
      <c r="BM18" s="443">
        <v>5154190.0262250397</v>
      </c>
      <c r="BN18" s="443">
        <v>5154190.0262250397</v>
      </c>
      <c r="BO18" s="443">
        <v>5154190.0262250397</v>
      </c>
      <c r="BP18" s="443">
        <v>5154190.0262250397</v>
      </c>
      <c r="BQ18" s="443">
        <v>5154190.0262250397</v>
      </c>
      <c r="BR18" s="443">
        <v>5154190.0262250397</v>
      </c>
      <c r="BS18" s="443">
        <v>5154190.0262250397</v>
      </c>
      <c r="BT18" s="443">
        <v>5154190.0262250397</v>
      </c>
      <c r="BU18" s="443">
        <v>5154190.0262250397</v>
      </c>
      <c r="BV18" s="443">
        <v>5284646.4929732149</v>
      </c>
      <c r="BW18" s="443">
        <v>5284646.4929732149</v>
      </c>
      <c r="BX18" s="443">
        <v>5284646.4929732149</v>
      </c>
      <c r="BY18" s="443">
        <v>5284646.4929732149</v>
      </c>
      <c r="BZ18" s="443">
        <v>5284646.4929732149</v>
      </c>
      <c r="CA18" s="443">
        <v>5284646.4929732149</v>
      </c>
      <c r="CB18" s="443">
        <v>5284646.4929732149</v>
      </c>
      <c r="CC18" s="443">
        <v>5284646.4929732149</v>
      </c>
      <c r="CD18" s="443">
        <v>5284646.4929732149</v>
      </c>
      <c r="CE18" s="443">
        <v>5284646.4929732149</v>
      </c>
      <c r="CF18" s="443">
        <v>5284646.4929732149</v>
      </c>
      <c r="CG18" s="443">
        <v>5284646.4929732149</v>
      </c>
      <c r="CH18" s="443">
        <v>5418404.9120417014</v>
      </c>
      <c r="CI18" s="443">
        <v>5418404.9120417014</v>
      </c>
      <c r="CJ18" s="443">
        <v>5418404.9120417014</v>
      </c>
      <c r="CK18" s="443">
        <v>5418404.9120417014</v>
      </c>
      <c r="CL18" s="443">
        <v>5418404.9120417014</v>
      </c>
      <c r="CM18" s="443">
        <v>5418404.9120417014</v>
      </c>
      <c r="CN18" s="443">
        <v>5418404.9120417014</v>
      </c>
      <c r="CO18" s="443">
        <v>5418404.9120417014</v>
      </c>
      <c r="CP18" s="443">
        <v>5418404.9120417014</v>
      </c>
      <c r="CQ18" s="443">
        <v>5418404.9120417014</v>
      </c>
      <c r="CR18" s="443">
        <v>5418404.9120417014</v>
      </c>
      <c r="CS18" s="443">
        <v>5418404.9120417014</v>
      </c>
      <c r="CT18" s="443">
        <v>5555548.8583532097</v>
      </c>
      <c r="CU18" s="443">
        <v>5555548.8583532097</v>
      </c>
      <c r="CV18" s="443">
        <v>5555548.8583532097</v>
      </c>
      <c r="CW18" s="443">
        <v>5555548.8583532097</v>
      </c>
      <c r="CX18" s="443">
        <v>5555548.8583532097</v>
      </c>
      <c r="CY18" s="443">
        <v>5555548.8583532097</v>
      </c>
      <c r="CZ18" s="443">
        <v>5555548.8583532097</v>
      </c>
      <c r="DA18" s="443">
        <v>5555548.8583532097</v>
      </c>
      <c r="DB18" s="443">
        <v>5555548.8583532097</v>
      </c>
      <c r="DC18" s="443">
        <v>5555548.8583532097</v>
      </c>
      <c r="DD18" s="443">
        <v>5555548.8583532097</v>
      </c>
      <c r="DE18" s="443">
        <v>5555548.8583532097</v>
      </c>
      <c r="DF18" s="443">
        <v>5696164.0221752618</v>
      </c>
      <c r="DG18" s="443">
        <v>5696164.0221752618</v>
      </c>
      <c r="DH18" s="443">
        <v>5696164.0221752618</v>
      </c>
      <c r="DI18" s="443">
        <v>5696164.0221752618</v>
      </c>
      <c r="DJ18" s="443">
        <v>5696164.0221752618</v>
      </c>
      <c r="DK18" s="443">
        <v>5696164.0221752618</v>
      </c>
      <c r="DL18" s="443">
        <v>5696164.0221752618</v>
      </c>
      <c r="DM18" s="443">
        <v>5696164.0221752618</v>
      </c>
      <c r="DN18" s="443">
        <v>5696164.0221752618</v>
      </c>
      <c r="DO18" s="443">
        <v>5696164.0221752618</v>
      </c>
      <c r="DP18" s="443">
        <v>5696164.0221752618</v>
      </c>
      <c r="DQ18" s="443">
        <v>5696164.0221752618</v>
      </c>
      <c r="DR18" s="443">
        <v>5840338.2626611749</v>
      </c>
      <c r="DS18" s="443">
        <v>5840338.2626611749</v>
      </c>
      <c r="DT18" s="443">
        <v>5840338.2626611749</v>
      </c>
      <c r="DU18" s="443">
        <v>5840338.2626611749</v>
      </c>
      <c r="DV18" s="443">
        <v>5840338.2626611749</v>
      </c>
      <c r="DW18" s="443">
        <v>5840338.2626611749</v>
      </c>
      <c r="DX18" s="443">
        <v>5840338.2626611749</v>
      </c>
      <c r="DY18" s="443">
        <v>5840338.2626611749</v>
      </c>
      <c r="DZ18" s="443">
        <v>5840338.2626611749</v>
      </c>
      <c r="EA18" s="443">
        <v>5840338.2626611749</v>
      </c>
      <c r="EB18" s="443">
        <v>5840338.2626611749</v>
      </c>
      <c r="EC18" s="443">
        <v>5840338.2626611749</v>
      </c>
      <c r="ED18" s="443">
        <v>5988161.6627462087</v>
      </c>
      <c r="EE18" s="443">
        <v>5988161.6627462087</v>
      </c>
      <c r="EF18" s="443">
        <v>5988161.6627462087</v>
      </c>
      <c r="EG18" s="443">
        <v>5988161.6627462087</v>
      </c>
      <c r="EH18" s="443">
        <v>5988161.6627462087</v>
      </c>
      <c r="EI18" s="443">
        <v>5988161.6627462087</v>
      </c>
      <c r="EJ18" s="443">
        <v>5988161.6627462087</v>
      </c>
      <c r="EK18" s="443">
        <v>5988161.6627462087</v>
      </c>
      <c r="EL18" s="443">
        <v>5988161.6627462087</v>
      </c>
      <c r="EM18" s="443">
        <v>5988161.6627462087</v>
      </c>
      <c r="EN18" s="443">
        <v>5988161.6627462087</v>
      </c>
      <c r="EO18" s="443">
        <v>5988161.6627462087</v>
      </c>
      <c r="EP18" s="443">
        <v>6139726.5854331786</v>
      </c>
      <c r="EQ18" s="443">
        <v>6139726.5854331786</v>
      </c>
      <c r="ER18" s="443">
        <v>6139726.5854331786</v>
      </c>
      <c r="ES18" s="443">
        <v>6139726.5854331786</v>
      </c>
      <c r="ET18" s="443">
        <v>6139726.5854331786</v>
      </c>
      <c r="EU18" s="443">
        <v>6139726.5854331786</v>
      </c>
      <c r="EV18" s="443">
        <v>6139726.5854331786</v>
      </c>
      <c r="EW18" s="443">
        <v>6139726.5854331786</v>
      </c>
      <c r="EX18" s="443">
        <v>6139726.5854331786</v>
      </c>
      <c r="EY18" s="443">
        <v>6139726.5854331786</v>
      </c>
      <c r="EZ18" s="443">
        <v>6139726.5854331786</v>
      </c>
      <c r="FA18" s="443">
        <v>6139726.5854331786</v>
      </c>
      <c r="FB18" s="443">
        <v>6295127.7315026969</v>
      </c>
      <c r="FC18" s="443">
        <v>6295127.7315026969</v>
      </c>
      <c r="FD18" s="443">
        <v>6295127.7315026969</v>
      </c>
      <c r="FE18" s="443">
        <v>6295127.7315026969</v>
      </c>
      <c r="FF18" s="443">
        <v>6295127.7315026969</v>
      </c>
      <c r="FG18" s="443">
        <v>6295127.7315026969</v>
      </c>
      <c r="FH18" s="443">
        <v>6295127.7315026969</v>
      </c>
      <c r="FI18" s="443">
        <v>6295127.7315026969</v>
      </c>
      <c r="FJ18" s="443">
        <v>6295127.7315026969</v>
      </c>
      <c r="FK18" s="443">
        <v>6295127.7315026969</v>
      </c>
      <c r="FL18" s="443">
        <v>6295127.7315026969</v>
      </c>
      <c r="FM18" s="443">
        <v>6295127.7315026969</v>
      </c>
      <c r="FN18" s="443">
        <v>6454462.1986841056</v>
      </c>
      <c r="FO18" s="443">
        <v>6454462.1986841056</v>
      </c>
      <c r="FP18" s="443">
        <v>6454462.1986841056</v>
      </c>
      <c r="FQ18" s="443">
        <v>6454462.1986841056</v>
      </c>
      <c r="FR18" s="443">
        <v>6454462.1986841056</v>
      </c>
      <c r="FS18" s="443">
        <v>6454462.1986841056</v>
      </c>
      <c r="FT18" s="443">
        <v>6454462.1986841056</v>
      </c>
      <c r="FU18" s="443">
        <v>6454462.1986841056</v>
      </c>
      <c r="FV18" s="443">
        <v>6454462.1986841056</v>
      </c>
      <c r="FW18" s="443">
        <v>6454462.1986841056</v>
      </c>
      <c r="FX18" s="443">
        <v>6454462.1986841056</v>
      </c>
      <c r="FY18" s="443">
        <v>6454462.1986841056</v>
      </c>
      <c r="FZ18" s="443">
        <v>0</v>
      </c>
      <c r="GA18" s="443">
        <v>0</v>
      </c>
      <c r="GB18" s="443">
        <v>0</v>
      </c>
      <c r="GC18" s="443">
        <v>0</v>
      </c>
      <c r="GD18" s="443">
        <v>0</v>
      </c>
      <c r="GE18" s="443">
        <v>0</v>
      </c>
      <c r="GF18" s="443">
        <v>0</v>
      </c>
      <c r="GG18" s="443">
        <v>0</v>
      </c>
      <c r="GH18" s="443">
        <v>0</v>
      </c>
      <c r="GI18" s="443">
        <v>0</v>
      </c>
      <c r="GJ18" s="443">
        <v>0</v>
      </c>
      <c r="GK18" s="443">
        <v>0</v>
      </c>
      <c r="GL18" s="442">
        <v>5154190.0262250397</v>
      </c>
      <c r="GM18" s="443">
        <v>5154190.0262250397</v>
      </c>
      <c r="GN18" s="443">
        <v>5154190.0262250397</v>
      </c>
      <c r="GO18" s="443">
        <v>5154190.0262250397</v>
      </c>
      <c r="GP18" s="443">
        <v>5154190.0262250397</v>
      </c>
      <c r="GQ18" s="443">
        <v>5154190.0262250397</v>
      </c>
      <c r="GR18" s="443">
        <v>5154190.0262250397</v>
      </c>
      <c r="GS18" s="443">
        <v>5154190.0262250397</v>
      </c>
      <c r="GT18" s="443">
        <v>5154190.0262250397</v>
      </c>
      <c r="GU18" s="443">
        <v>5154190.0262250397</v>
      </c>
      <c r="GV18" s="443">
        <v>5154190.0262250397</v>
      </c>
      <c r="GW18" s="443">
        <v>5154190.0262250397</v>
      </c>
      <c r="GX18" s="443">
        <v>5284646.4929732149</v>
      </c>
      <c r="GY18" s="443">
        <v>5284646.4929732149</v>
      </c>
      <c r="GZ18" s="443">
        <v>5284646.4929732149</v>
      </c>
      <c r="HA18" s="443">
        <v>5284646.4929732149</v>
      </c>
      <c r="HB18" s="443">
        <v>5284646.4929732149</v>
      </c>
      <c r="HC18" s="443">
        <v>5284646.4929732149</v>
      </c>
      <c r="HD18" s="443">
        <v>5284646.4929732149</v>
      </c>
      <c r="HE18" s="443">
        <v>5284646.4929732149</v>
      </c>
      <c r="HF18" s="443">
        <v>5284646.4929732149</v>
      </c>
      <c r="HG18" s="443">
        <v>5284646.4929732149</v>
      </c>
      <c r="HH18" s="443">
        <v>5284646.4929732149</v>
      </c>
      <c r="HI18" s="443">
        <v>5284646.4929732149</v>
      </c>
      <c r="HJ18" s="443">
        <v>5418404.9120417014</v>
      </c>
      <c r="HK18" s="443">
        <v>5418404.9120417014</v>
      </c>
      <c r="HL18" s="443">
        <v>5418404.9120417014</v>
      </c>
      <c r="HM18" s="443">
        <v>5418404.9120417014</v>
      </c>
      <c r="HN18" s="443">
        <v>5418404.9120417014</v>
      </c>
      <c r="HO18" s="443">
        <v>5418404.9120417014</v>
      </c>
      <c r="HP18" s="443">
        <v>5418404.9120417014</v>
      </c>
      <c r="HQ18" s="443">
        <v>5418404.9120417014</v>
      </c>
      <c r="HR18" s="443">
        <v>5418404.9120417014</v>
      </c>
      <c r="HS18" s="443">
        <v>5418404.9120417014</v>
      </c>
      <c r="HT18" s="443">
        <v>5418404.9120417014</v>
      </c>
      <c r="HU18" s="443">
        <v>5418404.9120417014</v>
      </c>
      <c r="HV18" s="443">
        <v>5555548.8583532097</v>
      </c>
      <c r="HW18" s="443">
        <v>5555548.8583532097</v>
      </c>
      <c r="HX18" s="443">
        <v>5555548.8583532097</v>
      </c>
      <c r="HY18" s="443">
        <v>5555548.8583532097</v>
      </c>
      <c r="HZ18" s="443">
        <v>5555548.8583532097</v>
      </c>
      <c r="IA18" s="443">
        <v>5555548.8583532097</v>
      </c>
      <c r="IB18" s="443">
        <v>5555548.8583532097</v>
      </c>
      <c r="IC18" s="443">
        <v>5555548.8583532097</v>
      </c>
      <c r="ID18" s="443">
        <v>5555548.8583532097</v>
      </c>
      <c r="IE18" s="443">
        <v>5555548.8583532097</v>
      </c>
      <c r="IF18" s="443">
        <v>5555548.8583532097</v>
      </c>
      <c r="IG18" s="443">
        <v>5555548.8583532097</v>
      </c>
      <c r="IH18" s="443">
        <v>5696164.0221752618</v>
      </c>
      <c r="II18" s="443">
        <v>5696164.0221752618</v>
      </c>
      <c r="IJ18" s="443">
        <v>5696164.0221752618</v>
      </c>
      <c r="IK18" s="443">
        <v>5696164.0221752618</v>
      </c>
      <c r="IL18" s="443">
        <v>5696164.0221752618</v>
      </c>
      <c r="IM18" s="443">
        <v>5696164.0221752618</v>
      </c>
      <c r="IN18" s="443">
        <v>5696164.0221752618</v>
      </c>
      <c r="IO18" s="443">
        <v>5696164.0221752618</v>
      </c>
      <c r="IP18" s="443">
        <v>5696164.0221752618</v>
      </c>
      <c r="IQ18" s="443">
        <v>5696164.0221752618</v>
      </c>
      <c r="IR18" s="443">
        <v>5696164.0221752618</v>
      </c>
      <c r="IS18" s="443">
        <v>5696164.0221752618</v>
      </c>
      <c r="IT18" s="443">
        <v>5840338.2626611749</v>
      </c>
      <c r="IU18" s="443">
        <v>5840338.2626611749</v>
      </c>
      <c r="IV18" s="443">
        <v>5840338.2626611749</v>
      </c>
      <c r="IW18" s="443">
        <v>5840338.2626611749</v>
      </c>
      <c r="IX18" s="443">
        <v>5840338.2626611749</v>
      </c>
      <c r="IY18" s="443">
        <v>5840338.2626611749</v>
      </c>
      <c r="IZ18" s="443">
        <v>5840338.2626611749</v>
      </c>
      <c r="JA18" s="443">
        <v>5840338.2626611749</v>
      </c>
      <c r="JB18" s="443">
        <v>5840338.2626611749</v>
      </c>
      <c r="JC18" s="443">
        <v>5840338.2626611749</v>
      </c>
      <c r="JD18" s="443">
        <v>5840338.2626611749</v>
      </c>
      <c r="JE18" s="443">
        <v>5840338.2626611749</v>
      </c>
      <c r="JF18" s="443">
        <v>5988161.6627462087</v>
      </c>
      <c r="JG18" s="443">
        <v>5988161.6627462087</v>
      </c>
      <c r="JH18" s="443">
        <v>5988161.6627462087</v>
      </c>
      <c r="JI18" s="443">
        <v>5988161.6627462087</v>
      </c>
      <c r="JJ18" s="443">
        <v>5988161.6627462087</v>
      </c>
      <c r="JK18" s="443">
        <v>5988161.6627462087</v>
      </c>
      <c r="JL18" s="443">
        <v>5988161.6627462087</v>
      </c>
      <c r="JM18" s="443">
        <v>5988161.6627462087</v>
      </c>
      <c r="JN18" s="443">
        <v>5988161.6627462087</v>
      </c>
      <c r="JO18" s="443">
        <v>5988161.6627462087</v>
      </c>
      <c r="JP18" s="443">
        <v>5988161.6627462087</v>
      </c>
      <c r="JQ18" s="443">
        <v>5988161.6627462087</v>
      </c>
      <c r="JR18" s="443">
        <v>6139726.5854331786</v>
      </c>
      <c r="JS18" s="443">
        <v>6139726.5854331786</v>
      </c>
      <c r="JT18" s="443">
        <v>6139726.5854331786</v>
      </c>
      <c r="JU18" s="443">
        <v>6139726.5854331786</v>
      </c>
      <c r="JV18" s="443">
        <v>6139726.5854331786</v>
      </c>
      <c r="JW18" s="443">
        <v>6139726.5854331786</v>
      </c>
      <c r="JX18" s="443">
        <v>6139726.5854331786</v>
      </c>
      <c r="JY18" s="443">
        <v>6139726.5854331786</v>
      </c>
      <c r="JZ18" s="443">
        <v>6139726.5854331786</v>
      </c>
      <c r="KA18" s="443">
        <v>6139726.5854331786</v>
      </c>
      <c r="KB18" s="443">
        <v>6139726.5854331786</v>
      </c>
      <c r="KC18" s="443">
        <v>6139726.5854331786</v>
      </c>
      <c r="KD18" s="443">
        <v>6295127.7315026969</v>
      </c>
      <c r="KE18" s="443">
        <v>6295127.7315026969</v>
      </c>
      <c r="KF18" s="443">
        <v>6295127.7315026969</v>
      </c>
      <c r="KG18" s="443">
        <v>6295127.7315026969</v>
      </c>
      <c r="KH18" s="443">
        <v>6295127.7315026969</v>
      </c>
      <c r="KI18" s="443">
        <v>6295127.7315026969</v>
      </c>
      <c r="KJ18" s="443">
        <v>6295127.7315026969</v>
      </c>
      <c r="KK18" s="443">
        <v>6295127.7315026969</v>
      </c>
      <c r="KL18" s="443">
        <v>6295127.7315026969</v>
      </c>
      <c r="KM18" s="443">
        <v>6295127.7315026969</v>
      </c>
      <c r="KN18" s="443">
        <v>6295127.7315026969</v>
      </c>
      <c r="KO18" s="443">
        <v>6295127.7315026969</v>
      </c>
      <c r="KP18" s="443">
        <v>6454462.1986841056</v>
      </c>
      <c r="KQ18" s="443">
        <v>6454462.1986841056</v>
      </c>
      <c r="KR18" s="443">
        <v>6454462.1986841056</v>
      </c>
      <c r="KS18" s="443">
        <v>6454462.1986841056</v>
      </c>
      <c r="KT18" s="443">
        <v>6454462.1986841056</v>
      </c>
      <c r="KU18" s="443">
        <v>6454462.1986841056</v>
      </c>
      <c r="KV18" s="443">
        <v>6454462.1986841056</v>
      </c>
      <c r="KW18" s="443">
        <v>6454462.1986841056</v>
      </c>
      <c r="KX18" s="443">
        <v>6454462.1986841056</v>
      </c>
      <c r="KY18" s="443">
        <v>6454462.1986841056</v>
      </c>
      <c r="KZ18" s="443">
        <v>6454462.1986841056</v>
      </c>
      <c r="LA18" s="33">
        <v>6454462.1986841056</v>
      </c>
      <c r="LB18" s="27"/>
    </row>
    <row r="19" spans="1:314">
      <c r="A19" s="459" t="s">
        <v>996</v>
      </c>
      <c r="B19" s="463" t="s">
        <v>1185</v>
      </c>
      <c r="C19" s="463" t="s">
        <v>176</v>
      </c>
      <c r="D19" s="456" t="s">
        <v>1206</v>
      </c>
      <c r="E19" s="463" t="s">
        <v>1210</v>
      </c>
      <c r="F19" s="456"/>
      <c r="G19" s="456"/>
      <c r="H19" s="456"/>
      <c r="I19" s="456"/>
      <c r="J19" s="456" t="s">
        <v>1417</v>
      </c>
      <c r="K19" s="456">
        <v>0</v>
      </c>
      <c r="L19" s="456" t="s">
        <v>899</v>
      </c>
      <c r="M19" s="470">
        <v>1</v>
      </c>
      <c r="N19" s="470">
        <v>1</v>
      </c>
      <c r="O19" s="470">
        <v>1</v>
      </c>
      <c r="P19" s="470">
        <v>1</v>
      </c>
      <c r="Q19" s="470">
        <v>1</v>
      </c>
      <c r="R19" s="470">
        <v>1</v>
      </c>
      <c r="S19" s="470">
        <v>1</v>
      </c>
      <c r="T19" s="470">
        <v>1</v>
      </c>
      <c r="U19" s="470">
        <v>1</v>
      </c>
      <c r="V19" s="470">
        <v>1</v>
      </c>
      <c r="W19" s="470">
        <v>0</v>
      </c>
      <c r="X19" s="457">
        <v>0</v>
      </c>
      <c r="Y19" s="472">
        <v>2822413.9414824001</v>
      </c>
      <c r="Z19" s="472">
        <v>2893851.3833759152</v>
      </c>
      <c r="AA19" s="472">
        <v>2967096.9612162109</v>
      </c>
      <c r="AB19" s="472">
        <v>3042196.4402982835</v>
      </c>
      <c r="AC19" s="472">
        <v>3119196.7442715275</v>
      </c>
      <c r="AD19" s="472">
        <v>3198145.9844585657</v>
      </c>
      <c r="AE19" s="472">
        <v>3279093.4899161602</v>
      </c>
      <c r="AF19" s="472">
        <v>3362089.8382569905</v>
      </c>
      <c r="AG19" s="472">
        <v>3447186.8872515522</v>
      </c>
      <c r="AH19" s="472">
        <v>3534437.8072299231</v>
      </c>
      <c r="AI19" s="472">
        <v>0</v>
      </c>
      <c r="AJ19" s="457">
        <v>12</v>
      </c>
      <c r="AK19" s="457">
        <v>12</v>
      </c>
      <c r="AL19" s="457">
        <v>12</v>
      </c>
      <c r="AM19" s="457">
        <v>12</v>
      </c>
      <c r="AN19" s="457">
        <v>12</v>
      </c>
      <c r="AO19" s="457">
        <v>12</v>
      </c>
      <c r="AP19" s="457">
        <v>12</v>
      </c>
      <c r="AQ19" s="457">
        <v>12</v>
      </c>
      <c r="AR19" s="457">
        <v>12</v>
      </c>
      <c r="AS19" s="457">
        <v>12</v>
      </c>
      <c r="AT19" s="457"/>
      <c r="AU19" s="458">
        <v>1</v>
      </c>
      <c r="AV19" s="510">
        <v>1.02531076</v>
      </c>
      <c r="AW19" s="456">
        <v>0</v>
      </c>
      <c r="AX19" s="443">
        <v>379988513.73309028</v>
      </c>
      <c r="AY19" s="443">
        <v>33868967.297788791</v>
      </c>
      <c r="AZ19" s="443">
        <v>34726216.600510992</v>
      </c>
      <c r="BA19" s="443">
        <v>35605163.534594528</v>
      </c>
      <c r="BB19" s="443">
        <v>36506357.283579394</v>
      </c>
      <c r="BC19" s="443">
        <v>37430360.931258328</v>
      </c>
      <c r="BD19" s="443">
        <v>38377751.813502789</v>
      </c>
      <c r="BE19" s="443">
        <v>39349121.878993921</v>
      </c>
      <c r="BF19" s="443">
        <v>40345078.059083901</v>
      </c>
      <c r="BG19" s="443">
        <v>41366242.647018626</v>
      </c>
      <c r="BH19" s="443">
        <v>42413253.686759062</v>
      </c>
      <c r="BI19" s="443">
        <v>0</v>
      </c>
      <c r="BJ19" s="442">
        <v>2822413.9414824001</v>
      </c>
      <c r="BK19" s="443">
        <v>2822413.9414824001</v>
      </c>
      <c r="BL19" s="443">
        <v>2822413.9414824001</v>
      </c>
      <c r="BM19" s="443">
        <v>2822413.9414824001</v>
      </c>
      <c r="BN19" s="443">
        <v>2822413.9414824001</v>
      </c>
      <c r="BO19" s="443">
        <v>2822413.9414824001</v>
      </c>
      <c r="BP19" s="443">
        <v>2822413.9414824001</v>
      </c>
      <c r="BQ19" s="443">
        <v>2822413.9414824001</v>
      </c>
      <c r="BR19" s="443">
        <v>2822413.9414824001</v>
      </c>
      <c r="BS19" s="443">
        <v>2822413.9414824001</v>
      </c>
      <c r="BT19" s="443">
        <v>2822413.9414824001</v>
      </c>
      <c r="BU19" s="443">
        <v>2822413.9414824001</v>
      </c>
      <c r="BV19" s="443">
        <v>2893851.3833759152</v>
      </c>
      <c r="BW19" s="443">
        <v>2893851.3833759152</v>
      </c>
      <c r="BX19" s="443">
        <v>2893851.3833759152</v>
      </c>
      <c r="BY19" s="443">
        <v>2893851.3833759152</v>
      </c>
      <c r="BZ19" s="443">
        <v>2893851.3833759152</v>
      </c>
      <c r="CA19" s="443">
        <v>2893851.3833759152</v>
      </c>
      <c r="CB19" s="443">
        <v>2893851.3833759152</v>
      </c>
      <c r="CC19" s="443">
        <v>2893851.3833759152</v>
      </c>
      <c r="CD19" s="443">
        <v>2893851.3833759152</v>
      </c>
      <c r="CE19" s="443">
        <v>2893851.3833759152</v>
      </c>
      <c r="CF19" s="443">
        <v>2893851.3833759152</v>
      </c>
      <c r="CG19" s="443">
        <v>2893851.3833759152</v>
      </c>
      <c r="CH19" s="443">
        <v>2967096.9612162109</v>
      </c>
      <c r="CI19" s="443">
        <v>2967096.9612162109</v>
      </c>
      <c r="CJ19" s="443">
        <v>2967096.9612162109</v>
      </c>
      <c r="CK19" s="443">
        <v>2967096.9612162109</v>
      </c>
      <c r="CL19" s="443">
        <v>2967096.9612162109</v>
      </c>
      <c r="CM19" s="443">
        <v>2967096.9612162109</v>
      </c>
      <c r="CN19" s="443">
        <v>2967096.9612162109</v>
      </c>
      <c r="CO19" s="443">
        <v>2967096.9612162109</v>
      </c>
      <c r="CP19" s="443">
        <v>2967096.9612162109</v>
      </c>
      <c r="CQ19" s="443">
        <v>2967096.9612162109</v>
      </c>
      <c r="CR19" s="443">
        <v>2967096.9612162109</v>
      </c>
      <c r="CS19" s="443">
        <v>2967096.9612162109</v>
      </c>
      <c r="CT19" s="443">
        <v>3042196.4402982835</v>
      </c>
      <c r="CU19" s="443">
        <v>3042196.4402982835</v>
      </c>
      <c r="CV19" s="443">
        <v>3042196.4402982835</v>
      </c>
      <c r="CW19" s="443">
        <v>3042196.4402982835</v>
      </c>
      <c r="CX19" s="443">
        <v>3042196.4402982835</v>
      </c>
      <c r="CY19" s="443">
        <v>3042196.4402982835</v>
      </c>
      <c r="CZ19" s="443">
        <v>3042196.4402982835</v>
      </c>
      <c r="DA19" s="443">
        <v>3042196.4402982835</v>
      </c>
      <c r="DB19" s="443">
        <v>3042196.4402982835</v>
      </c>
      <c r="DC19" s="443">
        <v>3042196.4402982835</v>
      </c>
      <c r="DD19" s="443">
        <v>3042196.4402982835</v>
      </c>
      <c r="DE19" s="443">
        <v>3042196.4402982835</v>
      </c>
      <c r="DF19" s="443">
        <v>3119196.7442715275</v>
      </c>
      <c r="DG19" s="443">
        <v>3119196.7442715275</v>
      </c>
      <c r="DH19" s="443">
        <v>3119196.7442715275</v>
      </c>
      <c r="DI19" s="443">
        <v>3119196.7442715275</v>
      </c>
      <c r="DJ19" s="443">
        <v>3119196.7442715275</v>
      </c>
      <c r="DK19" s="443">
        <v>3119196.7442715275</v>
      </c>
      <c r="DL19" s="443">
        <v>3119196.7442715275</v>
      </c>
      <c r="DM19" s="443">
        <v>3119196.7442715275</v>
      </c>
      <c r="DN19" s="443">
        <v>3119196.7442715275</v>
      </c>
      <c r="DO19" s="443">
        <v>3119196.7442715275</v>
      </c>
      <c r="DP19" s="443">
        <v>3119196.7442715275</v>
      </c>
      <c r="DQ19" s="443">
        <v>3119196.7442715275</v>
      </c>
      <c r="DR19" s="443">
        <v>3198145.9844585657</v>
      </c>
      <c r="DS19" s="443">
        <v>3198145.9844585657</v>
      </c>
      <c r="DT19" s="443">
        <v>3198145.9844585657</v>
      </c>
      <c r="DU19" s="443">
        <v>3198145.9844585657</v>
      </c>
      <c r="DV19" s="443">
        <v>3198145.9844585657</v>
      </c>
      <c r="DW19" s="443">
        <v>3198145.9844585657</v>
      </c>
      <c r="DX19" s="443">
        <v>3198145.9844585657</v>
      </c>
      <c r="DY19" s="443">
        <v>3198145.9844585657</v>
      </c>
      <c r="DZ19" s="443">
        <v>3198145.9844585657</v>
      </c>
      <c r="EA19" s="443">
        <v>3198145.9844585657</v>
      </c>
      <c r="EB19" s="443">
        <v>3198145.9844585657</v>
      </c>
      <c r="EC19" s="443">
        <v>3198145.9844585657</v>
      </c>
      <c r="ED19" s="443">
        <v>3279093.4899161602</v>
      </c>
      <c r="EE19" s="443">
        <v>3279093.4899161602</v>
      </c>
      <c r="EF19" s="443">
        <v>3279093.4899161602</v>
      </c>
      <c r="EG19" s="443">
        <v>3279093.4899161602</v>
      </c>
      <c r="EH19" s="443">
        <v>3279093.4899161602</v>
      </c>
      <c r="EI19" s="443">
        <v>3279093.4899161602</v>
      </c>
      <c r="EJ19" s="443">
        <v>3279093.4899161602</v>
      </c>
      <c r="EK19" s="443">
        <v>3279093.4899161602</v>
      </c>
      <c r="EL19" s="443">
        <v>3279093.4899161602</v>
      </c>
      <c r="EM19" s="443">
        <v>3279093.4899161602</v>
      </c>
      <c r="EN19" s="443">
        <v>3279093.4899161602</v>
      </c>
      <c r="EO19" s="443">
        <v>3279093.4899161602</v>
      </c>
      <c r="EP19" s="443">
        <v>3362089.8382569905</v>
      </c>
      <c r="EQ19" s="443">
        <v>3362089.8382569905</v>
      </c>
      <c r="ER19" s="443">
        <v>3362089.8382569905</v>
      </c>
      <c r="ES19" s="443">
        <v>3362089.8382569905</v>
      </c>
      <c r="ET19" s="443">
        <v>3362089.8382569905</v>
      </c>
      <c r="EU19" s="443">
        <v>3362089.8382569905</v>
      </c>
      <c r="EV19" s="443">
        <v>3362089.8382569905</v>
      </c>
      <c r="EW19" s="443">
        <v>3362089.8382569905</v>
      </c>
      <c r="EX19" s="443">
        <v>3362089.8382569905</v>
      </c>
      <c r="EY19" s="443">
        <v>3362089.8382569905</v>
      </c>
      <c r="EZ19" s="443">
        <v>3362089.8382569905</v>
      </c>
      <c r="FA19" s="443">
        <v>3362089.8382569905</v>
      </c>
      <c r="FB19" s="443">
        <v>3447186.8872515522</v>
      </c>
      <c r="FC19" s="443">
        <v>3447186.8872515522</v>
      </c>
      <c r="FD19" s="443">
        <v>3447186.8872515522</v>
      </c>
      <c r="FE19" s="443">
        <v>3447186.8872515522</v>
      </c>
      <c r="FF19" s="443">
        <v>3447186.8872515522</v>
      </c>
      <c r="FG19" s="443">
        <v>3447186.8872515522</v>
      </c>
      <c r="FH19" s="443">
        <v>3447186.8872515522</v>
      </c>
      <c r="FI19" s="443">
        <v>3447186.8872515522</v>
      </c>
      <c r="FJ19" s="443">
        <v>3447186.8872515522</v>
      </c>
      <c r="FK19" s="443">
        <v>3447186.8872515522</v>
      </c>
      <c r="FL19" s="443">
        <v>3447186.8872515522</v>
      </c>
      <c r="FM19" s="443">
        <v>3447186.8872515522</v>
      </c>
      <c r="FN19" s="443">
        <v>3534437.8072299231</v>
      </c>
      <c r="FO19" s="443">
        <v>3534437.8072299231</v>
      </c>
      <c r="FP19" s="443">
        <v>3534437.8072299231</v>
      </c>
      <c r="FQ19" s="443">
        <v>3534437.8072299231</v>
      </c>
      <c r="FR19" s="443">
        <v>3534437.8072299231</v>
      </c>
      <c r="FS19" s="443">
        <v>3534437.8072299231</v>
      </c>
      <c r="FT19" s="443">
        <v>3534437.8072299231</v>
      </c>
      <c r="FU19" s="443">
        <v>3534437.8072299231</v>
      </c>
      <c r="FV19" s="443">
        <v>3534437.8072299231</v>
      </c>
      <c r="FW19" s="443">
        <v>3534437.8072299231</v>
      </c>
      <c r="FX19" s="443">
        <v>3534437.8072299231</v>
      </c>
      <c r="FY19" s="443">
        <v>3534437.8072299231</v>
      </c>
      <c r="FZ19" s="443">
        <v>0</v>
      </c>
      <c r="GA19" s="443">
        <v>0</v>
      </c>
      <c r="GB19" s="443">
        <v>0</v>
      </c>
      <c r="GC19" s="443">
        <v>0</v>
      </c>
      <c r="GD19" s="443">
        <v>0</v>
      </c>
      <c r="GE19" s="443">
        <v>0</v>
      </c>
      <c r="GF19" s="443">
        <v>0</v>
      </c>
      <c r="GG19" s="443">
        <v>0</v>
      </c>
      <c r="GH19" s="443">
        <v>0</v>
      </c>
      <c r="GI19" s="443">
        <v>0</v>
      </c>
      <c r="GJ19" s="443">
        <v>0</v>
      </c>
      <c r="GK19" s="443">
        <v>0</v>
      </c>
      <c r="GL19" s="442">
        <v>2822413.9414824001</v>
      </c>
      <c r="GM19" s="443">
        <v>2822413.9414824001</v>
      </c>
      <c r="GN19" s="443">
        <v>2822413.9414824001</v>
      </c>
      <c r="GO19" s="443">
        <v>2822413.9414824001</v>
      </c>
      <c r="GP19" s="443">
        <v>2822413.9414824001</v>
      </c>
      <c r="GQ19" s="443">
        <v>2822413.9414824001</v>
      </c>
      <c r="GR19" s="443">
        <v>2822413.9414824001</v>
      </c>
      <c r="GS19" s="443">
        <v>2822413.9414824001</v>
      </c>
      <c r="GT19" s="443">
        <v>2822413.9414824001</v>
      </c>
      <c r="GU19" s="443">
        <v>2822413.9414824001</v>
      </c>
      <c r="GV19" s="443">
        <v>2822413.9414824001</v>
      </c>
      <c r="GW19" s="443">
        <v>2822413.9414824001</v>
      </c>
      <c r="GX19" s="443">
        <v>2893851.3833759152</v>
      </c>
      <c r="GY19" s="443">
        <v>2893851.3833759152</v>
      </c>
      <c r="GZ19" s="443">
        <v>2893851.3833759152</v>
      </c>
      <c r="HA19" s="443">
        <v>2893851.3833759152</v>
      </c>
      <c r="HB19" s="443">
        <v>2893851.3833759152</v>
      </c>
      <c r="HC19" s="443">
        <v>2893851.3833759152</v>
      </c>
      <c r="HD19" s="443">
        <v>2893851.3833759152</v>
      </c>
      <c r="HE19" s="443">
        <v>2893851.3833759152</v>
      </c>
      <c r="HF19" s="443">
        <v>2893851.3833759152</v>
      </c>
      <c r="HG19" s="443">
        <v>2893851.3833759152</v>
      </c>
      <c r="HH19" s="443">
        <v>2893851.3833759152</v>
      </c>
      <c r="HI19" s="443">
        <v>2893851.3833759152</v>
      </c>
      <c r="HJ19" s="443">
        <v>2967096.9612162109</v>
      </c>
      <c r="HK19" s="443">
        <v>2967096.9612162109</v>
      </c>
      <c r="HL19" s="443">
        <v>2967096.9612162109</v>
      </c>
      <c r="HM19" s="443">
        <v>2967096.9612162109</v>
      </c>
      <c r="HN19" s="443">
        <v>2967096.9612162109</v>
      </c>
      <c r="HO19" s="443">
        <v>2967096.9612162109</v>
      </c>
      <c r="HP19" s="443">
        <v>2967096.9612162109</v>
      </c>
      <c r="HQ19" s="443">
        <v>2967096.9612162109</v>
      </c>
      <c r="HR19" s="443">
        <v>2967096.9612162109</v>
      </c>
      <c r="HS19" s="443">
        <v>2967096.9612162109</v>
      </c>
      <c r="HT19" s="443">
        <v>2967096.9612162109</v>
      </c>
      <c r="HU19" s="443">
        <v>2967096.9612162109</v>
      </c>
      <c r="HV19" s="443">
        <v>3042196.4402982835</v>
      </c>
      <c r="HW19" s="443">
        <v>3042196.4402982835</v>
      </c>
      <c r="HX19" s="443">
        <v>3042196.4402982835</v>
      </c>
      <c r="HY19" s="443">
        <v>3042196.4402982835</v>
      </c>
      <c r="HZ19" s="443">
        <v>3042196.4402982835</v>
      </c>
      <c r="IA19" s="443">
        <v>3042196.4402982835</v>
      </c>
      <c r="IB19" s="443">
        <v>3042196.4402982835</v>
      </c>
      <c r="IC19" s="443">
        <v>3042196.4402982835</v>
      </c>
      <c r="ID19" s="443">
        <v>3042196.4402982835</v>
      </c>
      <c r="IE19" s="443">
        <v>3042196.4402982835</v>
      </c>
      <c r="IF19" s="443">
        <v>3042196.4402982835</v>
      </c>
      <c r="IG19" s="443">
        <v>3042196.4402982835</v>
      </c>
      <c r="IH19" s="443">
        <v>3119196.7442715275</v>
      </c>
      <c r="II19" s="443">
        <v>3119196.7442715275</v>
      </c>
      <c r="IJ19" s="443">
        <v>3119196.7442715275</v>
      </c>
      <c r="IK19" s="443">
        <v>3119196.7442715275</v>
      </c>
      <c r="IL19" s="443">
        <v>3119196.7442715275</v>
      </c>
      <c r="IM19" s="443">
        <v>3119196.7442715275</v>
      </c>
      <c r="IN19" s="443">
        <v>3119196.7442715275</v>
      </c>
      <c r="IO19" s="443">
        <v>3119196.7442715275</v>
      </c>
      <c r="IP19" s="443">
        <v>3119196.7442715275</v>
      </c>
      <c r="IQ19" s="443">
        <v>3119196.7442715275</v>
      </c>
      <c r="IR19" s="443">
        <v>3119196.7442715275</v>
      </c>
      <c r="IS19" s="443">
        <v>3119196.7442715275</v>
      </c>
      <c r="IT19" s="443">
        <v>3198145.9844585657</v>
      </c>
      <c r="IU19" s="443">
        <v>3198145.9844585657</v>
      </c>
      <c r="IV19" s="443">
        <v>3198145.9844585657</v>
      </c>
      <c r="IW19" s="443">
        <v>3198145.9844585657</v>
      </c>
      <c r="IX19" s="443">
        <v>3198145.9844585657</v>
      </c>
      <c r="IY19" s="443">
        <v>3198145.9844585657</v>
      </c>
      <c r="IZ19" s="443">
        <v>3198145.9844585657</v>
      </c>
      <c r="JA19" s="443">
        <v>3198145.9844585657</v>
      </c>
      <c r="JB19" s="443">
        <v>3198145.9844585657</v>
      </c>
      <c r="JC19" s="443">
        <v>3198145.9844585657</v>
      </c>
      <c r="JD19" s="443">
        <v>3198145.9844585657</v>
      </c>
      <c r="JE19" s="443">
        <v>3198145.9844585657</v>
      </c>
      <c r="JF19" s="443">
        <v>3279093.4899161602</v>
      </c>
      <c r="JG19" s="443">
        <v>3279093.4899161602</v>
      </c>
      <c r="JH19" s="443">
        <v>3279093.4899161602</v>
      </c>
      <c r="JI19" s="443">
        <v>3279093.4899161602</v>
      </c>
      <c r="JJ19" s="443">
        <v>3279093.4899161602</v>
      </c>
      <c r="JK19" s="443">
        <v>3279093.4899161602</v>
      </c>
      <c r="JL19" s="443">
        <v>3279093.4899161602</v>
      </c>
      <c r="JM19" s="443">
        <v>3279093.4899161602</v>
      </c>
      <c r="JN19" s="443">
        <v>3279093.4899161602</v>
      </c>
      <c r="JO19" s="443">
        <v>3279093.4899161602</v>
      </c>
      <c r="JP19" s="443">
        <v>3279093.4899161602</v>
      </c>
      <c r="JQ19" s="443">
        <v>3279093.4899161602</v>
      </c>
      <c r="JR19" s="443">
        <v>3362089.8382569905</v>
      </c>
      <c r="JS19" s="443">
        <v>3362089.8382569905</v>
      </c>
      <c r="JT19" s="443">
        <v>3362089.8382569905</v>
      </c>
      <c r="JU19" s="443">
        <v>3362089.8382569905</v>
      </c>
      <c r="JV19" s="443">
        <v>3362089.8382569905</v>
      </c>
      <c r="JW19" s="443">
        <v>3362089.8382569905</v>
      </c>
      <c r="JX19" s="443">
        <v>3362089.8382569905</v>
      </c>
      <c r="JY19" s="443">
        <v>3362089.8382569905</v>
      </c>
      <c r="JZ19" s="443">
        <v>3362089.8382569905</v>
      </c>
      <c r="KA19" s="443">
        <v>3362089.8382569905</v>
      </c>
      <c r="KB19" s="443">
        <v>3362089.8382569905</v>
      </c>
      <c r="KC19" s="443">
        <v>3362089.8382569905</v>
      </c>
      <c r="KD19" s="443">
        <v>3447186.8872515522</v>
      </c>
      <c r="KE19" s="443">
        <v>3447186.8872515522</v>
      </c>
      <c r="KF19" s="443">
        <v>3447186.8872515522</v>
      </c>
      <c r="KG19" s="443">
        <v>3447186.8872515522</v>
      </c>
      <c r="KH19" s="443">
        <v>3447186.8872515522</v>
      </c>
      <c r="KI19" s="443">
        <v>3447186.8872515522</v>
      </c>
      <c r="KJ19" s="443">
        <v>3447186.8872515522</v>
      </c>
      <c r="KK19" s="443">
        <v>3447186.8872515522</v>
      </c>
      <c r="KL19" s="443">
        <v>3447186.8872515522</v>
      </c>
      <c r="KM19" s="443">
        <v>3447186.8872515522</v>
      </c>
      <c r="KN19" s="443">
        <v>3447186.8872515522</v>
      </c>
      <c r="KO19" s="443">
        <v>3447186.8872515522</v>
      </c>
      <c r="KP19" s="443">
        <v>3534437.8072299231</v>
      </c>
      <c r="KQ19" s="443">
        <v>3534437.8072299231</v>
      </c>
      <c r="KR19" s="443">
        <v>3534437.8072299231</v>
      </c>
      <c r="KS19" s="443">
        <v>3534437.8072299231</v>
      </c>
      <c r="KT19" s="443">
        <v>3534437.8072299231</v>
      </c>
      <c r="KU19" s="443">
        <v>3534437.8072299231</v>
      </c>
      <c r="KV19" s="443">
        <v>3534437.8072299231</v>
      </c>
      <c r="KW19" s="443">
        <v>3534437.8072299231</v>
      </c>
      <c r="KX19" s="443">
        <v>3534437.8072299231</v>
      </c>
      <c r="KY19" s="443">
        <v>3534437.8072299231</v>
      </c>
      <c r="KZ19" s="443">
        <v>3534437.8072299231</v>
      </c>
      <c r="LA19" s="33">
        <v>3534437.8072299231</v>
      </c>
      <c r="LB19" s="27"/>
    </row>
    <row r="20" spans="1:314">
      <c r="A20" s="459" t="s">
        <v>997</v>
      </c>
      <c r="B20" s="463" t="s">
        <v>1199</v>
      </c>
      <c r="C20" s="463" t="s">
        <v>176</v>
      </c>
      <c r="D20" s="456" t="s">
        <v>1428</v>
      </c>
      <c r="E20" s="463"/>
      <c r="F20" s="456"/>
      <c r="G20" s="456"/>
      <c r="H20" s="456"/>
      <c r="I20" s="456"/>
      <c r="J20" s="456" t="s">
        <v>1417</v>
      </c>
      <c r="K20" s="456">
        <v>0</v>
      </c>
      <c r="L20" s="456" t="s">
        <v>899</v>
      </c>
      <c r="M20" s="470">
        <v>4.75</v>
      </c>
      <c r="N20" s="470">
        <v>6</v>
      </c>
      <c r="O20" s="470">
        <v>6</v>
      </c>
      <c r="P20" s="470">
        <v>6</v>
      </c>
      <c r="Q20" s="470">
        <v>6</v>
      </c>
      <c r="R20" s="470">
        <v>6</v>
      </c>
      <c r="S20" s="470">
        <v>6</v>
      </c>
      <c r="T20" s="470">
        <v>6</v>
      </c>
      <c r="U20" s="470">
        <v>6</v>
      </c>
      <c r="V20" s="470">
        <v>6</v>
      </c>
      <c r="W20" s="470">
        <v>0</v>
      </c>
      <c r="X20" s="457">
        <v>0</v>
      </c>
      <c r="Y20" s="472">
        <v>4100791.006118685</v>
      </c>
      <c r="Z20" s="472">
        <v>4204585.1430847133</v>
      </c>
      <c r="AA20" s="472">
        <v>4311006.3885408957</v>
      </c>
      <c r="AB20" s="472">
        <v>4420121.236599721</v>
      </c>
      <c r="AC20" s="472">
        <v>4531997.8643902</v>
      </c>
      <c r="AD20" s="472">
        <v>4646706.1746562924</v>
      </c>
      <c r="AE20" s="472">
        <v>4764317.8394335359</v>
      </c>
      <c r="AF20" s="472">
        <v>4884906.3448311565</v>
      </c>
      <c r="AG20" s="472">
        <v>5008547.0369476555</v>
      </c>
      <c r="AH20" s="472">
        <v>5135317.1689485488</v>
      </c>
      <c r="AI20" s="472">
        <v>0</v>
      </c>
      <c r="AJ20" s="457">
        <v>12</v>
      </c>
      <c r="AK20" s="457">
        <v>12</v>
      </c>
      <c r="AL20" s="457">
        <v>12</v>
      </c>
      <c r="AM20" s="457">
        <v>12</v>
      </c>
      <c r="AN20" s="457">
        <v>12</v>
      </c>
      <c r="AO20" s="457">
        <v>12</v>
      </c>
      <c r="AP20" s="457">
        <v>12</v>
      </c>
      <c r="AQ20" s="457">
        <v>12</v>
      </c>
      <c r="AR20" s="457">
        <v>12</v>
      </c>
      <c r="AS20" s="457">
        <v>12</v>
      </c>
      <c r="AT20" s="457"/>
      <c r="AU20" s="458">
        <v>1</v>
      </c>
      <c r="AV20" s="510">
        <v>1.02531076</v>
      </c>
      <c r="AW20" s="456">
        <v>0</v>
      </c>
      <c r="AX20" s="443">
        <v>3251085461.563921</v>
      </c>
      <c r="AY20" s="443">
        <v>233745087.34876511</v>
      </c>
      <c r="AZ20" s="443">
        <v>302730130.30209941</v>
      </c>
      <c r="BA20" s="443">
        <v>310392459.97494441</v>
      </c>
      <c r="BB20" s="443">
        <v>318248729.03517997</v>
      </c>
      <c r="BC20" s="443">
        <v>326303846.23609447</v>
      </c>
      <c r="BD20" s="443">
        <v>334562844.57525307</v>
      </c>
      <c r="BE20" s="443">
        <v>343030884.43921459</v>
      </c>
      <c r="BF20" s="443">
        <v>351713256.82784337</v>
      </c>
      <c r="BG20" s="443">
        <v>360615386.66023129</v>
      </c>
      <c r="BH20" s="443">
        <v>369742836.16429561</v>
      </c>
      <c r="BI20" s="443">
        <v>0</v>
      </c>
      <c r="BJ20" s="442">
        <v>19478757.279063754</v>
      </c>
      <c r="BK20" s="443">
        <v>19478757.279063754</v>
      </c>
      <c r="BL20" s="443">
        <v>19478757.279063754</v>
      </c>
      <c r="BM20" s="443">
        <v>19478757.279063754</v>
      </c>
      <c r="BN20" s="443">
        <v>19478757.279063754</v>
      </c>
      <c r="BO20" s="443">
        <v>19478757.279063754</v>
      </c>
      <c r="BP20" s="443">
        <v>19478757.279063754</v>
      </c>
      <c r="BQ20" s="443">
        <v>19478757.279063754</v>
      </c>
      <c r="BR20" s="443">
        <v>19478757.279063754</v>
      </c>
      <c r="BS20" s="443">
        <v>19478757.279063754</v>
      </c>
      <c r="BT20" s="443">
        <v>19478757.279063754</v>
      </c>
      <c r="BU20" s="443">
        <v>19478757.279063754</v>
      </c>
      <c r="BV20" s="443">
        <v>25227510.858508281</v>
      </c>
      <c r="BW20" s="443">
        <v>25227510.858508281</v>
      </c>
      <c r="BX20" s="443">
        <v>25227510.858508281</v>
      </c>
      <c r="BY20" s="443">
        <v>25227510.858508281</v>
      </c>
      <c r="BZ20" s="443">
        <v>25227510.858508281</v>
      </c>
      <c r="CA20" s="443">
        <v>25227510.858508281</v>
      </c>
      <c r="CB20" s="443">
        <v>25227510.858508281</v>
      </c>
      <c r="CC20" s="443">
        <v>25227510.858508281</v>
      </c>
      <c r="CD20" s="443">
        <v>25227510.858508281</v>
      </c>
      <c r="CE20" s="443">
        <v>25227510.858508281</v>
      </c>
      <c r="CF20" s="443">
        <v>25227510.858508281</v>
      </c>
      <c r="CG20" s="443">
        <v>25227510.858508281</v>
      </c>
      <c r="CH20" s="443">
        <v>25866038.331245374</v>
      </c>
      <c r="CI20" s="443">
        <v>25866038.331245374</v>
      </c>
      <c r="CJ20" s="443">
        <v>25866038.331245374</v>
      </c>
      <c r="CK20" s="443">
        <v>25866038.331245374</v>
      </c>
      <c r="CL20" s="443">
        <v>25866038.331245374</v>
      </c>
      <c r="CM20" s="443">
        <v>25866038.331245374</v>
      </c>
      <c r="CN20" s="443">
        <v>25866038.331245374</v>
      </c>
      <c r="CO20" s="443">
        <v>25866038.331245374</v>
      </c>
      <c r="CP20" s="443">
        <v>25866038.331245374</v>
      </c>
      <c r="CQ20" s="443">
        <v>25866038.331245374</v>
      </c>
      <c r="CR20" s="443">
        <v>25866038.331245374</v>
      </c>
      <c r="CS20" s="443">
        <v>25866038.331245374</v>
      </c>
      <c r="CT20" s="443">
        <v>26520727.419598326</v>
      </c>
      <c r="CU20" s="443">
        <v>26520727.419598326</v>
      </c>
      <c r="CV20" s="443">
        <v>26520727.419598326</v>
      </c>
      <c r="CW20" s="443">
        <v>26520727.419598326</v>
      </c>
      <c r="CX20" s="443">
        <v>26520727.419598326</v>
      </c>
      <c r="CY20" s="443">
        <v>26520727.419598326</v>
      </c>
      <c r="CZ20" s="443">
        <v>26520727.419598326</v>
      </c>
      <c r="DA20" s="443">
        <v>26520727.419598326</v>
      </c>
      <c r="DB20" s="443">
        <v>26520727.419598326</v>
      </c>
      <c r="DC20" s="443">
        <v>26520727.419598326</v>
      </c>
      <c r="DD20" s="443">
        <v>26520727.419598326</v>
      </c>
      <c r="DE20" s="443">
        <v>26520727.419598326</v>
      </c>
      <c r="DF20" s="443">
        <v>27191987.1863412</v>
      </c>
      <c r="DG20" s="443">
        <v>27191987.1863412</v>
      </c>
      <c r="DH20" s="443">
        <v>27191987.1863412</v>
      </c>
      <c r="DI20" s="443">
        <v>27191987.1863412</v>
      </c>
      <c r="DJ20" s="443">
        <v>27191987.1863412</v>
      </c>
      <c r="DK20" s="443">
        <v>27191987.1863412</v>
      </c>
      <c r="DL20" s="443">
        <v>27191987.1863412</v>
      </c>
      <c r="DM20" s="443">
        <v>27191987.1863412</v>
      </c>
      <c r="DN20" s="443">
        <v>27191987.1863412</v>
      </c>
      <c r="DO20" s="443">
        <v>27191987.1863412</v>
      </c>
      <c r="DP20" s="443">
        <v>27191987.1863412</v>
      </c>
      <c r="DQ20" s="443">
        <v>27191987.1863412</v>
      </c>
      <c r="DR20" s="443">
        <v>27880237.047937755</v>
      </c>
      <c r="DS20" s="443">
        <v>27880237.047937755</v>
      </c>
      <c r="DT20" s="443">
        <v>27880237.047937755</v>
      </c>
      <c r="DU20" s="443">
        <v>27880237.047937755</v>
      </c>
      <c r="DV20" s="443">
        <v>27880237.047937755</v>
      </c>
      <c r="DW20" s="443">
        <v>27880237.047937755</v>
      </c>
      <c r="DX20" s="443">
        <v>27880237.047937755</v>
      </c>
      <c r="DY20" s="443">
        <v>27880237.047937755</v>
      </c>
      <c r="DZ20" s="443">
        <v>27880237.047937755</v>
      </c>
      <c r="EA20" s="443">
        <v>27880237.047937755</v>
      </c>
      <c r="EB20" s="443">
        <v>27880237.047937755</v>
      </c>
      <c r="EC20" s="443">
        <v>27880237.047937755</v>
      </c>
      <c r="ED20" s="443">
        <v>28585907.036601216</v>
      </c>
      <c r="EE20" s="443">
        <v>28585907.036601216</v>
      </c>
      <c r="EF20" s="443">
        <v>28585907.036601216</v>
      </c>
      <c r="EG20" s="443">
        <v>28585907.036601216</v>
      </c>
      <c r="EH20" s="443">
        <v>28585907.036601216</v>
      </c>
      <c r="EI20" s="443">
        <v>28585907.036601216</v>
      </c>
      <c r="EJ20" s="443">
        <v>28585907.036601216</v>
      </c>
      <c r="EK20" s="443">
        <v>28585907.036601216</v>
      </c>
      <c r="EL20" s="443">
        <v>28585907.036601216</v>
      </c>
      <c r="EM20" s="443">
        <v>28585907.036601216</v>
      </c>
      <c r="EN20" s="443">
        <v>28585907.036601216</v>
      </c>
      <c r="EO20" s="443">
        <v>28585907.036601216</v>
      </c>
      <c r="EP20" s="443">
        <v>29309438.068986937</v>
      </c>
      <c r="EQ20" s="443">
        <v>29309438.068986937</v>
      </c>
      <c r="ER20" s="443">
        <v>29309438.068986937</v>
      </c>
      <c r="ES20" s="443">
        <v>29309438.068986937</v>
      </c>
      <c r="ET20" s="443">
        <v>29309438.068986937</v>
      </c>
      <c r="EU20" s="443">
        <v>29309438.068986937</v>
      </c>
      <c r="EV20" s="443">
        <v>29309438.068986937</v>
      </c>
      <c r="EW20" s="443">
        <v>29309438.068986937</v>
      </c>
      <c r="EX20" s="443">
        <v>29309438.068986937</v>
      </c>
      <c r="EY20" s="443">
        <v>29309438.068986937</v>
      </c>
      <c r="EZ20" s="443">
        <v>29309438.068986937</v>
      </c>
      <c r="FA20" s="443">
        <v>29309438.068986937</v>
      </c>
      <c r="FB20" s="443">
        <v>30051282.221685931</v>
      </c>
      <c r="FC20" s="443">
        <v>30051282.221685931</v>
      </c>
      <c r="FD20" s="443">
        <v>30051282.221685931</v>
      </c>
      <c r="FE20" s="443">
        <v>30051282.221685931</v>
      </c>
      <c r="FF20" s="443">
        <v>30051282.221685931</v>
      </c>
      <c r="FG20" s="443">
        <v>30051282.221685931</v>
      </c>
      <c r="FH20" s="443">
        <v>30051282.221685931</v>
      </c>
      <c r="FI20" s="443">
        <v>30051282.221685931</v>
      </c>
      <c r="FJ20" s="443">
        <v>30051282.221685931</v>
      </c>
      <c r="FK20" s="443">
        <v>30051282.221685931</v>
      </c>
      <c r="FL20" s="443">
        <v>30051282.221685931</v>
      </c>
      <c r="FM20" s="443">
        <v>30051282.221685931</v>
      </c>
      <c r="FN20" s="443">
        <v>30811903.013691291</v>
      </c>
      <c r="FO20" s="443">
        <v>30811903.013691291</v>
      </c>
      <c r="FP20" s="443">
        <v>30811903.013691291</v>
      </c>
      <c r="FQ20" s="443">
        <v>30811903.013691291</v>
      </c>
      <c r="FR20" s="443">
        <v>30811903.013691291</v>
      </c>
      <c r="FS20" s="443">
        <v>30811903.013691291</v>
      </c>
      <c r="FT20" s="443">
        <v>30811903.013691291</v>
      </c>
      <c r="FU20" s="443">
        <v>30811903.013691291</v>
      </c>
      <c r="FV20" s="443">
        <v>30811903.013691291</v>
      </c>
      <c r="FW20" s="443">
        <v>30811903.013691291</v>
      </c>
      <c r="FX20" s="443">
        <v>30811903.013691291</v>
      </c>
      <c r="FY20" s="443">
        <v>30811903.013691291</v>
      </c>
      <c r="FZ20" s="443">
        <v>0</v>
      </c>
      <c r="GA20" s="443">
        <v>0</v>
      </c>
      <c r="GB20" s="443">
        <v>0</v>
      </c>
      <c r="GC20" s="443">
        <v>0</v>
      </c>
      <c r="GD20" s="443">
        <v>0</v>
      </c>
      <c r="GE20" s="443">
        <v>0</v>
      </c>
      <c r="GF20" s="443">
        <v>0</v>
      </c>
      <c r="GG20" s="443">
        <v>0</v>
      </c>
      <c r="GH20" s="443">
        <v>0</v>
      </c>
      <c r="GI20" s="443">
        <v>0</v>
      </c>
      <c r="GJ20" s="443">
        <v>0</v>
      </c>
      <c r="GK20" s="443">
        <v>0</v>
      </c>
      <c r="GL20" s="442">
        <v>19478757.279063754</v>
      </c>
      <c r="GM20" s="443">
        <v>19478757.279063754</v>
      </c>
      <c r="GN20" s="443">
        <v>19478757.279063754</v>
      </c>
      <c r="GO20" s="443">
        <v>19478757.279063754</v>
      </c>
      <c r="GP20" s="443">
        <v>19478757.279063754</v>
      </c>
      <c r="GQ20" s="443">
        <v>19478757.279063754</v>
      </c>
      <c r="GR20" s="443">
        <v>19478757.279063754</v>
      </c>
      <c r="GS20" s="443">
        <v>19478757.279063754</v>
      </c>
      <c r="GT20" s="443">
        <v>19478757.279063754</v>
      </c>
      <c r="GU20" s="443">
        <v>19478757.279063754</v>
      </c>
      <c r="GV20" s="443">
        <v>19478757.279063754</v>
      </c>
      <c r="GW20" s="443">
        <v>19478757.279063754</v>
      </c>
      <c r="GX20" s="443">
        <v>25227510.858508281</v>
      </c>
      <c r="GY20" s="443">
        <v>25227510.858508281</v>
      </c>
      <c r="GZ20" s="443">
        <v>25227510.858508281</v>
      </c>
      <c r="HA20" s="443">
        <v>25227510.858508281</v>
      </c>
      <c r="HB20" s="443">
        <v>25227510.858508281</v>
      </c>
      <c r="HC20" s="443">
        <v>25227510.858508281</v>
      </c>
      <c r="HD20" s="443">
        <v>25227510.858508281</v>
      </c>
      <c r="HE20" s="443">
        <v>25227510.858508281</v>
      </c>
      <c r="HF20" s="443">
        <v>25227510.858508281</v>
      </c>
      <c r="HG20" s="443">
        <v>25227510.858508281</v>
      </c>
      <c r="HH20" s="443">
        <v>25227510.858508281</v>
      </c>
      <c r="HI20" s="443">
        <v>25227510.858508281</v>
      </c>
      <c r="HJ20" s="443">
        <v>25866038.331245374</v>
      </c>
      <c r="HK20" s="443">
        <v>25866038.331245374</v>
      </c>
      <c r="HL20" s="443">
        <v>25866038.331245374</v>
      </c>
      <c r="HM20" s="443">
        <v>25866038.331245374</v>
      </c>
      <c r="HN20" s="443">
        <v>25866038.331245374</v>
      </c>
      <c r="HO20" s="443">
        <v>25866038.331245374</v>
      </c>
      <c r="HP20" s="443">
        <v>25866038.331245374</v>
      </c>
      <c r="HQ20" s="443">
        <v>25866038.331245374</v>
      </c>
      <c r="HR20" s="443">
        <v>25866038.331245374</v>
      </c>
      <c r="HS20" s="443">
        <v>25866038.331245374</v>
      </c>
      <c r="HT20" s="443">
        <v>25866038.331245374</v>
      </c>
      <c r="HU20" s="443">
        <v>25866038.331245374</v>
      </c>
      <c r="HV20" s="443">
        <v>26520727.419598326</v>
      </c>
      <c r="HW20" s="443">
        <v>26520727.419598326</v>
      </c>
      <c r="HX20" s="443">
        <v>26520727.419598326</v>
      </c>
      <c r="HY20" s="443">
        <v>26520727.419598326</v>
      </c>
      <c r="HZ20" s="443">
        <v>26520727.419598326</v>
      </c>
      <c r="IA20" s="443">
        <v>26520727.419598326</v>
      </c>
      <c r="IB20" s="443">
        <v>26520727.419598326</v>
      </c>
      <c r="IC20" s="443">
        <v>26520727.419598326</v>
      </c>
      <c r="ID20" s="443">
        <v>26520727.419598326</v>
      </c>
      <c r="IE20" s="443">
        <v>26520727.419598326</v>
      </c>
      <c r="IF20" s="443">
        <v>26520727.419598326</v>
      </c>
      <c r="IG20" s="443">
        <v>26520727.419598326</v>
      </c>
      <c r="IH20" s="443">
        <v>27191987.1863412</v>
      </c>
      <c r="II20" s="443">
        <v>27191987.1863412</v>
      </c>
      <c r="IJ20" s="443">
        <v>27191987.1863412</v>
      </c>
      <c r="IK20" s="443">
        <v>27191987.1863412</v>
      </c>
      <c r="IL20" s="443">
        <v>27191987.1863412</v>
      </c>
      <c r="IM20" s="443">
        <v>27191987.1863412</v>
      </c>
      <c r="IN20" s="443">
        <v>27191987.1863412</v>
      </c>
      <c r="IO20" s="443">
        <v>27191987.1863412</v>
      </c>
      <c r="IP20" s="443">
        <v>27191987.1863412</v>
      </c>
      <c r="IQ20" s="443">
        <v>27191987.1863412</v>
      </c>
      <c r="IR20" s="443">
        <v>27191987.1863412</v>
      </c>
      <c r="IS20" s="443">
        <v>27191987.1863412</v>
      </c>
      <c r="IT20" s="443">
        <v>27880237.047937755</v>
      </c>
      <c r="IU20" s="443">
        <v>27880237.047937755</v>
      </c>
      <c r="IV20" s="443">
        <v>27880237.047937755</v>
      </c>
      <c r="IW20" s="443">
        <v>27880237.047937755</v>
      </c>
      <c r="IX20" s="443">
        <v>27880237.047937755</v>
      </c>
      <c r="IY20" s="443">
        <v>27880237.047937755</v>
      </c>
      <c r="IZ20" s="443">
        <v>27880237.047937755</v>
      </c>
      <c r="JA20" s="443">
        <v>27880237.047937755</v>
      </c>
      <c r="JB20" s="443">
        <v>27880237.047937755</v>
      </c>
      <c r="JC20" s="443">
        <v>27880237.047937755</v>
      </c>
      <c r="JD20" s="443">
        <v>27880237.047937755</v>
      </c>
      <c r="JE20" s="443">
        <v>27880237.047937755</v>
      </c>
      <c r="JF20" s="443">
        <v>28585907.036601216</v>
      </c>
      <c r="JG20" s="443">
        <v>28585907.036601216</v>
      </c>
      <c r="JH20" s="443">
        <v>28585907.036601216</v>
      </c>
      <c r="JI20" s="443">
        <v>28585907.036601216</v>
      </c>
      <c r="JJ20" s="443">
        <v>28585907.036601216</v>
      </c>
      <c r="JK20" s="443">
        <v>28585907.036601216</v>
      </c>
      <c r="JL20" s="443">
        <v>28585907.036601216</v>
      </c>
      <c r="JM20" s="443">
        <v>28585907.036601216</v>
      </c>
      <c r="JN20" s="443">
        <v>28585907.036601216</v>
      </c>
      <c r="JO20" s="443">
        <v>28585907.036601216</v>
      </c>
      <c r="JP20" s="443">
        <v>28585907.036601216</v>
      </c>
      <c r="JQ20" s="443">
        <v>28585907.036601216</v>
      </c>
      <c r="JR20" s="443">
        <v>29309438.068986937</v>
      </c>
      <c r="JS20" s="443">
        <v>29309438.068986937</v>
      </c>
      <c r="JT20" s="443">
        <v>29309438.068986937</v>
      </c>
      <c r="JU20" s="443">
        <v>29309438.068986937</v>
      </c>
      <c r="JV20" s="443">
        <v>29309438.068986937</v>
      </c>
      <c r="JW20" s="443">
        <v>29309438.068986937</v>
      </c>
      <c r="JX20" s="443">
        <v>29309438.068986937</v>
      </c>
      <c r="JY20" s="443">
        <v>29309438.068986937</v>
      </c>
      <c r="JZ20" s="443">
        <v>29309438.068986937</v>
      </c>
      <c r="KA20" s="443">
        <v>29309438.068986937</v>
      </c>
      <c r="KB20" s="443">
        <v>29309438.068986937</v>
      </c>
      <c r="KC20" s="443">
        <v>29309438.068986937</v>
      </c>
      <c r="KD20" s="443">
        <v>30051282.221685931</v>
      </c>
      <c r="KE20" s="443">
        <v>30051282.221685931</v>
      </c>
      <c r="KF20" s="443">
        <v>30051282.221685931</v>
      </c>
      <c r="KG20" s="443">
        <v>30051282.221685931</v>
      </c>
      <c r="KH20" s="443">
        <v>30051282.221685931</v>
      </c>
      <c r="KI20" s="443">
        <v>30051282.221685931</v>
      </c>
      <c r="KJ20" s="443">
        <v>30051282.221685931</v>
      </c>
      <c r="KK20" s="443">
        <v>30051282.221685931</v>
      </c>
      <c r="KL20" s="443">
        <v>30051282.221685931</v>
      </c>
      <c r="KM20" s="443">
        <v>30051282.221685931</v>
      </c>
      <c r="KN20" s="443">
        <v>30051282.221685931</v>
      </c>
      <c r="KO20" s="443">
        <v>30051282.221685931</v>
      </c>
      <c r="KP20" s="443">
        <v>30811903.013691291</v>
      </c>
      <c r="KQ20" s="443">
        <v>30811903.013691291</v>
      </c>
      <c r="KR20" s="443">
        <v>30811903.013691291</v>
      </c>
      <c r="KS20" s="443">
        <v>30811903.013691291</v>
      </c>
      <c r="KT20" s="443">
        <v>30811903.013691291</v>
      </c>
      <c r="KU20" s="443">
        <v>30811903.013691291</v>
      </c>
      <c r="KV20" s="443">
        <v>30811903.013691291</v>
      </c>
      <c r="KW20" s="443">
        <v>30811903.013691291</v>
      </c>
      <c r="KX20" s="443">
        <v>30811903.013691291</v>
      </c>
      <c r="KY20" s="443">
        <v>30811903.013691291</v>
      </c>
      <c r="KZ20" s="443">
        <v>30811903.013691291</v>
      </c>
      <c r="LA20" s="33">
        <v>30811903.013691291</v>
      </c>
      <c r="LB20" s="27"/>
    </row>
    <row r="21" spans="1:314">
      <c r="A21" s="459" t="s">
        <v>998</v>
      </c>
      <c r="B21" s="463" t="s">
        <v>1199</v>
      </c>
      <c r="C21" s="463" t="s">
        <v>159</v>
      </c>
      <c r="D21" s="456" t="s">
        <v>1428</v>
      </c>
      <c r="E21" s="463" t="s">
        <v>1426</v>
      </c>
      <c r="F21" s="456"/>
      <c r="G21" s="456"/>
      <c r="H21" s="456"/>
      <c r="I21" s="456"/>
      <c r="J21" s="456" t="s">
        <v>1417</v>
      </c>
      <c r="K21" s="456">
        <v>0</v>
      </c>
      <c r="L21" s="456" t="s">
        <v>899</v>
      </c>
      <c r="M21" s="470">
        <v>1</v>
      </c>
      <c r="N21" s="470">
        <v>2</v>
      </c>
      <c r="O21" s="470">
        <v>2</v>
      </c>
      <c r="P21" s="470">
        <v>2</v>
      </c>
      <c r="Q21" s="470">
        <v>2</v>
      </c>
      <c r="R21" s="470">
        <v>2</v>
      </c>
      <c r="S21" s="470">
        <v>2</v>
      </c>
      <c r="T21" s="470">
        <v>2</v>
      </c>
      <c r="U21" s="470">
        <v>2</v>
      </c>
      <c r="V21" s="470">
        <v>2</v>
      </c>
      <c r="W21" s="470">
        <v>0</v>
      </c>
      <c r="X21" s="457">
        <v>0</v>
      </c>
      <c r="Y21" s="472">
        <v>4100791.006118685</v>
      </c>
      <c r="Z21" s="472">
        <v>4204585.1430847133</v>
      </c>
      <c r="AA21" s="472">
        <v>4311006.3885408957</v>
      </c>
      <c r="AB21" s="472">
        <v>4420121.236599721</v>
      </c>
      <c r="AC21" s="472">
        <v>4531997.8643902</v>
      </c>
      <c r="AD21" s="472">
        <v>4646706.1746562924</v>
      </c>
      <c r="AE21" s="472">
        <v>4764317.8394335359</v>
      </c>
      <c r="AF21" s="472">
        <v>4884906.3448311565</v>
      </c>
      <c r="AG21" s="472">
        <v>5008547.0369476555</v>
      </c>
      <c r="AH21" s="472">
        <v>5135317.1689485488</v>
      </c>
      <c r="AI21" s="472">
        <v>0</v>
      </c>
      <c r="AJ21" s="457">
        <v>12</v>
      </c>
      <c r="AK21" s="457">
        <v>12</v>
      </c>
      <c r="AL21" s="457">
        <v>12</v>
      </c>
      <c r="AM21" s="457">
        <v>12</v>
      </c>
      <c r="AN21" s="457">
        <v>12</v>
      </c>
      <c r="AO21" s="457">
        <v>12</v>
      </c>
      <c r="AP21" s="457">
        <v>12</v>
      </c>
      <c r="AQ21" s="457">
        <v>12</v>
      </c>
      <c r="AR21" s="457">
        <v>12</v>
      </c>
      <c r="AS21" s="457">
        <v>12</v>
      </c>
      <c r="AT21" s="457"/>
      <c r="AU21" s="458">
        <v>1</v>
      </c>
      <c r="AV21" s="510">
        <v>1.02531076</v>
      </c>
      <c r="AW21" s="456">
        <v>0</v>
      </c>
      <c r="AX21" s="443">
        <v>1054989616.8118093</v>
      </c>
      <c r="AY21" s="443">
        <v>49209492.07342422</v>
      </c>
      <c r="AZ21" s="443">
        <v>100910043.43403311</v>
      </c>
      <c r="BA21" s="443">
        <v>103464153.32498147</v>
      </c>
      <c r="BB21" s="443">
        <v>106082909.6783933</v>
      </c>
      <c r="BC21" s="443">
        <v>108767948.74536483</v>
      </c>
      <c r="BD21" s="443">
        <v>111520948.19175105</v>
      </c>
      <c r="BE21" s="443">
        <v>114343628.14640486</v>
      </c>
      <c r="BF21" s="443">
        <v>117237752.27594773</v>
      </c>
      <c r="BG21" s="443">
        <v>120205128.88674371</v>
      </c>
      <c r="BH21" s="443">
        <v>123247612.05476515</v>
      </c>
      <c r="BI21" s="443">
        <v>0</v>
      </c>
      <c r="BJ21" s="442">
        <v>4100791.006118685</v>
      </c>
      <c r="BK21" s="443">
        <v>4100791.006118685</v>
      </c>
      <c r="BL21" s="443">
        <v>4100791.006118685</v>
      </c>
      <c r="BM21" s="443">
        <v>4100791.006118685</v>
      </c>
      <c r="BN21" s="443">
        <v>4100791.006118685</v>
      </c>
      <c r="BO21" s="443">
        <v>4100791.006118685</v>
      </c>
      <c r="BP21" s="443">
        <v>4100791.006118685</v>
      </c>
      <c r="BQ21" s="443">
        <v>4100791.006118685</v>
      </c>
      <c r="BR21" s="443">
        <v>4100791.006118685</v>
      </c>
      <c r="BS21" s="443">
        <v>4100791.006118685</v>
      </c>
      <c r="BT21" s="443">
        <v>4100791.006118685</v>
      </c>
      <c r="BU21" s="443">
        <v>4100791.006118685</v>
      </c>
      <c r="BV21" s="443">
        <v>8409170.2861694265</v>
      </c>
      <c r="BW21" s="443">
        <v>8409170.2861694265</v>
      </c>
      <c r="BX21" s="443">
        <v>8409170.2861694265</v>
      </c>
      <c r="BY21" s="443">
        <v>8409170.2861694265</v>
      </c>
      <c r="BZ21" s="443">
        <v>8409170.2861694265</v>
      </c>
      <c r="CA21" s="443">
        <v>8409170.2861694265</v>
      </c>
      <c r="CB21" s="443">
        <v>8409170.2861694265</v>
      </c>
      <c r="CC21" s="443">
        <v>8409170.2861694265</v>
      </c>
      <c r="CD21" s="443">
        <v>8409170.2861694265</v>
      </c>
      <c r="CE21" s="443">
        <v>8409170.2861694265</v>
      </c>
      <c r="CF21" s="443">
        <v>8409170.2861694265</v>
      </c>
      <c r="CG21" s="443">
        <v>8409170.2861694265</v>
      </c>
      <c r="CH21" s="443">
        <v>8622012.7770817913</v>
      </c>
      <c r="CI21" s="443">
        <v>8622012.7770817913</v>
      </c>
      <c r="CJ21" s="443">
        <v>8622012.7770817913</v>
      </c>
      <c r="CK21" s="443">
        <v>8622012.7770817913</v>
      </c>
      <c r="CL21" s="443">
        <v>8622012.7770817913</v>
      </c>
      <c r="CM21" s="443">
        <v>8622012.7770817913</v>
      </c>
      <c r="CN21" s="443">
        <v>8622012.7770817913</v>
      </c>
      <c r="CO21" s="443">
        <v>8622012.7770817913</v>
      </c>
      <c r="CP21" s="443">
        <v>8622012.7770817913</v>
      </c>
      <c r="CQ21" s="443">
        <v>8622012.7770817913</v>
      </c>
      <c r="CR21" s="443">
        <v>8622012.7770817913</v>
      </c>
      <c r="CS21" s="443">
        <v>8622012.7770817913</v>
      </c>
      <c r="CT21" s="443">
        <v>8840242.473199442</v>
      </c>
      <c r="CU21" s="443">
        <v>8840242.473199442</v>
      </c>
      <c r="CV21" s="443">
        <v>8840242.473199442</v>
      </c>
      <c r="CW21" s="443">
        <v>8840242.473199442</v>
      </c>
      <c r="CX21" s="443">
        <v>8840242.473199442</v>
      </c>
      <c r="CY21" s="443">
        <v>8840242.473199442</v>
      </c>
      <c r="CZ21" s="443">
        <v>8840242.473199442</v>
      </c>
      <c r="DA21" s="443">
        <v>8840242.473199442</v>
      </c>
      <c r="DB21" s="443">
        <v>8840242.473199442</v>
      </c>
      <c r="DC21" s="443">
        <v>8840242.473199442</v>
      </c>
      <c r="DD21" s="443">
        <v>8840242.473199442</v>
      </c>
      <c r="DE21" s="443">
        <v>8840242.473199442</v>
      </c>
      <c r="DF21" s="443">
        <v>9063995.7287804</v>
      </c>
      <c r="DG21" s="443">
        <v>9063995.7287804</v>
      </c>
      <c r="DH21" s="443">
        <v>9063995.7287804</v>
      </c>
      <c r="DI21" s="443">
        <v>9063995.7287804</v>
      </c>
      <c r="DJ21" s="443">
        <v>9063995.7287804</v>
      </c>
      <c r="DK21" s="443">
        <v>9063995.7287804</v>
      </c>
      <c r="DL21" s="443">
        <v>9063995.7287804</v>
      </c>
      <c r="DM21" s="443">
        <v>9063995.7287804</v>
      </c>
      <c r="DN21" s="443">
        <v>9063995.7287804</v>
      </c>
      <c r="DO21" s="443">
        <v>9063995.7287804</v>
      </c>
      <c r="DP21" s="443">
        <v>9063995.7287804</v>
      </c>
      <c r="DQ21" s="443">
        <v>9063995.7287804</v>
      </c>
      <c r="DR21" s="443">
        <v>9293412.3493125848</v>
      </c>
      <c r="DS21" s="443">
        <v>9293412.3493125848</v>
      </c>
      <c r="DT21" s="443">
        <v>9293412.3493125848</v>
      </c>
      <c r="DU21" s="443">
        <v>9293412.3493125848</v>
      </c>
      <c r="DV21" s="443">
        <v>9293412.3493125848</v>
      </c>
      <c r="DW21" s="443">
        <v>9293412.3493125848</v>
      </c>
      <c r="DX21" s="443">
        <v>9293412.3493125848</v>
      </c>
      <c r="DY21" s="443">
        <v>9293412.3493125848</v>
      </c>
      <c r="DZ21" s="443">
        <v>9293412.3493125848</v>
      </c>
      <c r="EA21" s="443">
        <v>9293412.3493125848</v>
      </c>
      <c r="EB21" s="443">
        <v>9293412.3493125848</v>
      </c>
      <c r="EC21" s="443">
        <v>9293412.3493125848</v>
      </c>
      <c r="ED21" s="443">
        <v>9528635.6788670719</v>
      </c>
      <c r="EE21" s="443">
        <v>9528635.6788670719</v>
      </c>
      <c r="EF21" s="443">
        <v>9528635.6788670719</v>
      </c>
      <c r="EG21" s="443">
        <v>9528635.6788670719</v>
      </c>
      <c r="EH21" s="443">
        <v>9528635.6788670719</v>
      </c>
      <c r="EI21" s="443">
        <v>9528635.6788670719</v>
      </c>
      <c r="EJ21" s="443">
        <v>9528635.6788670719</v>
      </c>
      <c r="EK21" s="443">
        <v>9528635.6788670719</v>
      </c>
      <c r="EL21" s="443">
        <v>9528635.6788670719</v>
      </c>
      <c r="EM21" s="443">
        <v>9528635.6788670719</v>
      </c>
      <c r="EN21" s="443">
        <v>9528635.6788670719</v>
      </c>
      <c r="EO21" s="443">
        <v>9528635.6788670719</v>
      </c>
      <c r="EP21" s="443">
        <v>9769812.6896623131</v>
      </c>
      <c r="EQ21" s="443">
        <v>9769812.6896623131</v>
      </c>
      <c r="ER21" s="443">
        <v>9769812.6896623131</v>
      </c>
      <c r="ES21" s="443">
        <v>9769812.6896623131</v>
      </c>
      <c r="ET21" s="443">
        <v>9769812.6896623131</v>
      </c>
      <c r="EU21" s="443">
        <v>9769812.6896623131</v>
      </c>
      <c r="EV21" s="443">
        <v>9769812.6896623131</v>
      </c>
      <c r="EW21" s="443">
        <v>9769812.6896623131</v>
      </c>
      <c r="EX21" s="443">
        <v>9769812.6896623131</v>
      </c>
      <c r="EY21" s="443">
        <v>9769812.6896623131</v>
      </c>
      <c r="EZ21" s="443">
        <v>9769812.6896623131</v>
      </c>
      <c r="FA21" s="443">
        <v>9769812.6896623131</v>
      </c>
      <c r="FB21" s="443">
        <v>10017094.073895311</v>
      </c>
      <c r="FC21" s="443">
        <v>10017094.073895311</v>
      </c>
      <c r="FD21" s="443">
        <v>10017094.073895311</v>
      </c>
      <c r="FE21" s="443">
        <v>10017094.073895311</v>
      </c>
      <c r="FF21" s="443">
        <v>10017094.073895311</v>
      </c>
      <c r="FG21" s="443">
        <v>10017094.073895311</v>
      </c>
      <c r="FH21" s="443">
        <v>10017094.073895311</v>
      </c>
      <c r="FI21" s="443">
        <v>10017094.073895311</v>
      </c>
      <c r="FJ21" s="443">
        <v>10017094.073895311</v>
      </c>
      <c r="FK21" s="443">
        <v>10017094.073895311</v>
      </c>
      <c r="FL21" s="443">
        <v>10017094.073895311</v>
      </c>
      <c r="FM21" s="443">
        <v>10017094.073895311</v>
      </c>
      <c r="FN21" s="443">
        <v>10270634.337897098</v>
      </c>
      <c r="FO21" s="443">
        <v>10270634.337897098</v>
      </c>
      <c r="FP21" s="443">
        <v>10270634.337897098</v>
      </c>
      <c r="FQ21" s="443">
        <v>10270634.337897098</v>
      </c>
      <c r="FR21" s="443">
        <v>10270634.337897098</v>
      </c>
      <c r="FS21" s="443">
        <v>10270634.337897098</v>
      </c>
      <c r="FT21" s="443">
        <v>10270634.337897098</v>
      </c>
      <c r="FU21" s="443">
        <v>10270634.337897098</v>
      </c>
      <c r="FV21" s="443">
        <v>10270634.337897098</v>
      </c>
      <c r="FW21" s="443">
        <v>10270634.337897098</v>
      </c>
      <c r="FX21" s="443">
        <v>10270634.337897098</v>
      </c>
      <c r="FY21" s="443">
        <v>10270634.337897098</v>
      </c>
      <c r="FZ21" s="443">
        <v>0</v>
      </c>
      <c r="GA21" s="443">
        <v>0</v>
      </c>
      <c r="GB21" s="443">
        <v>0</v>
      </c>
      <c r="GC21" s="443">
        <v>0</v>
      </c>
      <c r="GD21" s="443">
        <v>0</v>
      </c>
      <c r="GE21" s="443">
        <v>0</v>
      </c>
      <c r="GF21" s="443">
        <v>0</v>
      </c>
      <c r="GG21" s="443">
        <v>0</v>
      </c>
      <c r="GH21" s="443">
        <v>0</v>
      </c>
      <c r="GI21" s="443">
        <v>0</v>
      </c>
      <c r="GJ21" s="443">
        <v>0</v>
      </c>
      <c r="GK21" s="443">
        <v>0</v>
      </c>
      <c r="GL21" s="442">
        <v>4100791.006118685</v>
      </c>
      <c r="GM21" s="443">
        <v>4100791.006118685</v>
      </c>
      <c r="GN21" s="443">
        <v>4100791.006118685</v>
      </c>
      <c r="GO21" s="443">
        <v>4100791.006118685</v>
      </c>
      <c r="GP21" s="443">
        <v>4100791.006118685</v>
      </c>
      <c r="GQ21" s="443">
        <v>4100791.006118685</v>
      </c>
      <c r="GR21" s="443">
        <v>4100791.006118685</v>
      </c>
      <c r="GS21" s="443">
        <v>4100791.006118685</v>
      </c>
      <c r="GT21" s="443">
        <v>4100791.006118685</v>
      </c>
      <c r="GU21" s="443">
        <v>4100791.006118685</v>
      </c>
      <c r="GV21" s="443">
        <v>4100791.006118685</v>
      </c>
      <c r="GW21" s="443">
        <v>4100791.006118685</v>
      </c>
      <c r="GX21" s="443">
        <v>8409170.2861694265</v>
      </c>
      <c r="GY21" s="443">
        <v>8409170.2861694265</v>
      </c>
      <c r="GZ21" s="443">
        <v>8409170.2861694265</v>
      </c>
      <c r="HA21" s="443">
        <v>8409170.2861694265</v>
      </c>
      <c r="HB21" s="443">
        <v>8409170.2861694265</v>
      </c>
      <c r="HC21" s="443">
        <v>8409170.2861694265</v>
      </c>
      <c r="HD21" s="443">
        <v>8409170.2861694265</v>
      </c>
      <c r="HE21" s="443">
        <v>8409170.2861694265</v>
      </c>
      <c r="HF21" s="443">
        <v>8409170.2861694265</v>
      </c>
      <c r="HG21" s="443">
        <v>8409170.2861694265</v>
      </c>
      <c r="HH21" s="443">
        <v>8409170.2861694265</v>
      </c>
      <c r="HI21" s="443">
        <v>8409170.2861694265</v>
      </c>
      <c r="HJ21" s="443">
        <v>8622012.7770817913</v>
      </c>
      <c r="HK21" s="443">
        <v>8622012.7770817913</v>
      </c>
      <c r="HL21" s="443">
        <v>8622012.7770817913</v>
      </c>
      <c r="HM21" s="443">
        <v>8622012.7770817913</v>
      </c>
      <c r="HN21" s="443">
        <v>8622012.7770817913</v>
      </c>
      <c r="HO21" s="443">
        <v>8622012.7770817913</v>
      </c>
      <c r="HP21" s="443">
        <v>8622012.7770817913</v>
      </c>
      <c r="HQ21" s="443">
        <v>8622012.7770817913</v>
      </c>
      <c r="HR21" s="443">
        <v>8622012.7770817913</v>
      </c>
      <c r="HS21" s="443">
        <v>8622012.7770817913</v>
      </c>
      <c r="HT21" s="443">
        <v>8622012.7770817913</v>
      </c>
      <c r="HU21" s="443">
        <v>8622012.7770817913</v>
      </c>
      <c r="HV21" s="443">
        <v>8840242.473199442</v>
      </c>
      <c r="HW21" s="443">
        <v>8840242.473199442</v>
      </c>
      <c r="HX21" s="443">
        <v>8840242.473199442</v>
      </c>
      <c r="HY21" s="443">
        <v>8840242.473199442</v>
      </c>
      <c r="HZ21" s="443">
        <v>8840242.473199442</v>
      </c>
      <c r="IA21" s="443">
        <v>8840242.473199442</v>
      </c>
      <c r="IB21" s="443">
        <v>8840242.473199442</v>
      </c>
      <c r="IC21" s="443">
        <v>8840242.473199442</v>
      </c>
      <c r="ID21" s="443">
        <v>8840242.473199442</v>
      </c>
      <c r="IE21" s="443">
        <v>8840242.473199442</v>
      </c>
      <c r="IF21" s="443">
        <v>8840242.473199442</v>
      </c>
      <c r="IG21" s="443">
        <v>8840242.473199442</v>
      </c>
      <c r="IH21" s="443">
        <v>9063995.7287804</v>
      </c>
      <c r="II21" s="443">
        <v>9063995.7287804</v>
      </c>
      <c r="IJ21" s="443">
        <v>9063995.7287804</v>
      </c>
      <c r="IK21" s="443">
        <v>9063995.7287804</v>
      </c>
      <c r="IL21" s="443">
        <v>9063995.7287804</v>
      </c>
      <c r="IM21" s="443">
        <v>9063995.7287804</v>
      </c>
      <c r="IN21" s="443">
        <v>9063995.7287804</v>
      </c>
      <c r="IO21" s="443">
        <v>9063995.7287804</v>
      </c>
      <c r="IP21" s="443">
        <v>9063995.7287804</v>
      </c>
      <c r="IQ21" s="443">
        <v>9063995.7287804</v>
      </c>
      <c r="IR21" s="443">
        <v>9063995.7287804</v>
      </c>
      <c r="IS21" s="443">
        <v>9063995.7287804</v>
      </c>
      <c r="IT21" s="443">
        <v>9293412.3493125848</v>
      </c>
      <c r="IU21" s="443">
        <v>9293412.3493125848</v>
      </c>
      <c r="IV21" s="443">
        <v>9293412.3493125848</v>
      </c>
      <c r="IW21" s="443">
        <v>9293412.3493125848</v>
      </c>
      <c r="IX21" s="443">
        <v>9293412.3493125848</v>
      </c>
      <c r="IY21" s="443">
        <v>9293412.3493125848</v>
      </c>
      <c r="IZ21" s="443">
        <v>9293412.3493125848</v>
      </c>
      <c r="JA21" s="443">
        <v>9293412.3493125848</v>
      </c>
      <c r="JB21" s="443">
        <v>9293412.3493125848</v>
      </c>
      <c r="JC21" s="443">
        <v>9293412.3493125848</v>
      </c>
      <c r="JD21" s="443">
        <v>9293412.3493125848</v>
      </c>
      <c r="JE21" s="443">
        <v>9293412.3493125848</v>
      </c>
      <c r="JF21" s="443">
        <v>9528635.6788670719</v>
      </c>
      <c r="JG21" s="443">
        <v>9528635.6788670719</v>
      </c>
      <c r="JH21" s="443">
        <v>9528635.6788670719</v>
      </c>
      <c r="JI21" s="443">
        <v>9528635.6788670719</v>
      </c>
      <c r="JJ21" s="443">
        <v>9528635.6788670719</v>
      </c>
      <c r="JK21" s="443">
        <v>9528635.6788670719</v>
      </c>
      <c r="JL21" s="443">
        <v>9528635.6788670719</v>
      </c>
      <c r="JM21" s="443">
        <v>9528635.6788670719</v>
      </c>
      <c r="JN21" s="443">
        <v>9528635.6788670719</v>
      </c>
      <c r="JO21" s="443">
        <v>9528635.6788670719</v>
      </c>
      <c r="JP21" s="443">
        <v>9528635.6788670719</v>
      </c>
      <c r="JQ21" s="443">
        <v>9528635.6788670719</v>
      </c>
      <c r="JR21" s="443">
        <v>9769812.6896623131</v>
      </c>
      <c r="JS21" s="443">
        <v>9769812.6896623131</v>
      </c>
      <c r="JT21" s="443">
        <v>9769812.6896623131</v>
      </c>
      <c r="JU21" s="443">
        <v>9769812.6896623131</v>
      </c>
      <c r="JV21" s="443">
        <v>9769812.6896623131</v>
      </c>
      <c r="JW21" s="443">
        <v>9769812.6896623131</v>
      </c>
      <c r="JX21" s="443">
        <v>9769812.6896623131</v>
      </c>
      <c r="JY21" s="443">
        <v>9769812.6896623131</v>
      </c>
      <c r="JZ21" s="443">
        <v>9769812.6896623131</v>
      </c>
      <c r="KA21" s="443">
        <v>9769812.6896623131</v>
      </c>
      <c r="KB21" s="443">
        <v>9769812.6896623131</v>
      </c>
      <c r="KC21" s="443">
        <v>9769812.6896623131</v>
      </c>
      <c r="KD21" s="443">
        <v>10017094.073895311</v>
      </c>
      <c r="KE21" s="443">
        <v>10017094.073895311</v>
      </c>
      <c r="KF21" s="443">
        <v>10017094.073895311</v>
      </c>
      <c r="KG21" s="443">
        <v>10017094.073895311</v>
      </c>
      <c r="KH21" s="443">
        <v>10017094.073895311</v>
      </c>
      <c r="KI21" s="443">
        <v>10017094.073895311</v>
      </c>
      <c r="KJ21" s="443">
        <v>10017094.073895311</v>
      </c>
      <c r="KK21" s="443">
        <v>10017094.073895311</v>
      </c>
      <c r="KL21" s="443">
        <v>10017094.073895311</v>
      </c>
      <c r="KM21" s="443">
        <v>10017094.073895311</v>
      </c>
      <c r="KN21" s="443">
        <v>10017094.073895311</v>
      </c>
      <c r="KO21" s="443">
        <v>10017094.073895311</v>
      </c>
      <c r="KP21" s="443">
        <v>10270634.337897098</v>
      </c>
      <c r="KQ21" s="443">
        <v>10270634.337897098</v>
      </c>
      <c r="KR21" s="443">
        <v>10270634.337897098</v>
      </c>
      <c r="KS21" s="443">
        <v>10270634.337897098</v>
      </c>
      <c r="KT21" s="443">
        <v>10270634.337897098</v>
      </c>
      <c r="KU21" s="443">
        <v>10270634.337897098</v>
      </c>
      <c r="KV21" s="443">
        <v>10270634.337897098</v>
      </c>
      <c r="KW21" s="443">
        <v>10270634.337897098</v>
      </c>
      <c r="KX21" s="443">
        <v>10270634.337897098</v>
      </c>
      <c r="KY21" s="443">
        <v>10270634.337897098</v>
      </c>
      <c r="KZ21" s="443">
        <v>10270634.337897098</v>
      </c>
      <c r="LA21" s="33">
        <v>10270634.337897098</v>
      </c>
      <c r="LB21" s="27"/>
    </row>
    <row r="22" spans="1:314">
      <c r="A22" s="459" t="s">
        <v>999</v>
      </c>
      <c r="B22" s="463" t="s">
        <v>1199</v>
      </c>
      <c r="C22" s="463" t="s">
        <v>159</v>
      </c>
      <c r="D22" s="456" t="s">
        <v>1428</v>
      </c>
      <c r="E22" s="463" t="s">
        <v>1427</v>
      </c>
      <c r="F22" s="456"/>
      <c r="G22" s="456"/>
      <c r="H22" s="456"/>
      <c r="I22" s="456"/>
      <c r="J22" s="456" t="s">
        <v>1417</v>
      </c>
      <c r="K22" s="456">
        <v>0</v>
      </c>
      <c r="L22" s="456" t="s">
        <v>899</v>
      </c>
      <c r="M22" s="470">
        <v>1</v>
      </c>
      <c r="N22" s="470">
        <v>15</v>
      </c>
      <c r="O22" s="470">
        <v>15</v>
      </c>
      <c r="P22" s="470">
        <v>15</v>
      </c>
      <c r="Q22" s="470">
        <v>15</v>
      </c>
      <c r="R22" s="470">
        <v>15</v>
      </c>
      <c r="S22" s="470">
        <v>15</v>
      </c>
      <c r="T22" s="470">
        <v>15</v>
      </c>
      <c r="U22" s="470">
        <v>15</v>
      </c>
      <c r="V22" s="470">
        <v>15</v>
      </c>
      <c r="W22" s="470">
        <v>0</v>
      </c>
      <c r="X22" s="457">
        <v>0</v>
      </c>
      <c r="Y22" s="472">
        <v>3433931.7373241722</v>
      </c>
      <c r="Z22" s="472">
        <v>3520847.1593839675</v>
      </c>
      <c r="AA22" s="472">
        <v>3609962.4768318166</v>
      </c>
      <c r="AB22" s="472">
        <v>3701333.3706919122</v>
      </c>
      <c r="AC22" s="472">
        <v>3795016.9313174863</v>
      </c>
      <c r="AD22" s="472">
        <v>3891071.6940619997</v>
      </c>
      <c r="AE22" s="472">
        <v>3989557.6758531965</v>
      </c>
      <c r="AF22" s="472">
        <v>4090536.4126928747</v>
      </c>
      <c r="AG22" s="472">
        <v>4194070.9981058049</v>
      </c>
      <c r="AH22" s="472">
        <v>4300226.1225618217</v>
      </c>
      <c r="AI22" s="472">
        <v>0</v>
      </c>
      <c r="AJ22" s="457">
        <v>12</v>
      </c>
      <c r="AK22" s="457">
        <v>12</v>
      </c>
      <c r="AL22" s="457">
        <v>12</v>
      </c>
      <c r="AM22" s="457">
        <v>12</v>
      </c>
      <c r="AN22" s="457">
        <v>12</v>
      </c>
      <c r="AO22" s="457">
        <v>12</v>
      </c>
      <c r="AP22" s="457">
        <v>12</v>
      </c>
      <c r="AQ22" s="457">
        <v>12</v>
      </c>
      <c r="AR22" s="457">
        <v>12</v>
      </c>
      <c r="AS22" s="457">
        <v>12</v>
      </c>
      <c r="AT22" s="457"/>
      <c r="AU22" s="458">
        <v>1</v>
      </c>
      <c r="AV22" s="510">
        <v>1.02531076</v>
      </c>
      <c r="AW22" s="456">
        <v>0</v>
      </c>
      <c r="AX22" s="443">
        <v>6357879292.3180485</v>
      </c>
      <c r="AY22" s="443">
        <v>41207180.847890057</v>
      </c>
      <c r="AZ22" s="443">
        <v>633752488.68911421</v>
      </c>
      <c r="BA22" s="443">
        <v>649793245.82972705</v>
      </c>
      <c r="BB22" s="443">
        <v>666240006.72454417</v>
      </c>
      <c r="BC22" s="443">
        <v>683103047.63714778</v>
      </c>
      <c r="BD22" s="443">
        <v>700392904.93115997</v>
      </c>
      <c r="BE22" s="443">
        <v>718120381.65357542</v>
      </c>
      <c r="BF22" s="443">
        <v>736296554.2847172</v>
      </c>
      <c r="BG22" s="443">
        <v>754932779.65904486</v>
      </c>
      <c r="BH22" s="443">
        <v>774040702.06112778</v>
      </c>
      <c r="BI22" s="443">
        <v>0</v>
      </c>
      <c r="BJ22" s="442">
        <v>3433931.7373241722</v>
      </c>
      <c r="BK22" s="443">
        <v>3433931.7373241722</v>
      </c>
      <c r="BL22" s="443">
        <v>3433931.7373241722</v>
      </c>
      <c r="BM22" s="443">
        <v>3433931.7373241722</v>
      </c>
      <c r="BN22" s="443">
        <v>3433931.7373241722</v>
      </c>
      <c r="BO22" s="443">
        <v>3433931.7373241722</v>
      </c>
      <c r="BP22" s="443">
        <v>3433931.7373241722</v>
      </c>
      <c r="BQ22" s="443">
        <v>3433931.7373241722</v>
      </c>
      <c r="BR22" s="443">
        <v>3433931.7373241722</v>
      </c>
      <c r="BS22" s="443">
        <v>3433931.7373241722</v>
      </c>
      <c r="BT22" s="443">
        <v>3433931.7373241722</v>
      </c>
      <c r="BU22" s="443">
        <v>3433931.7373241722</v>
      </c>
      <c r="BV22" s="443">
        <v>52812707.390759513</v>
      </c>
      <c r="BW22" s="443">
        <v>52812707.390759513</v>
      </c>
      <c r="BX22" s="443">
        <v>52812707.390759513</v>
      </c>
      <c r="BY22" s="443">
        <v>52812707.390759513</v>
      </c>
      <c r="BZ22" s="443">
        <v>52812707.390759513</v>
      </c>
      <c r="CA22" s="443">
        <v>52812707.390759513</v>
      </c>
      <c r="CB22" s="443">
        <v>52812707.390759513</v>
      </c>
      <c r="CC22" s="443">
        <v>52812707.390759513</v>
      </c>
      <c r="CD22" s="443">
        <v>52812707.390759513</v>
      </c>
      <c r="CE22" s="443">
        <v>52812707.390759513</v>
      </c>
      <c r="CF22" s="443">
        <v>52812707.390759513</v>
      </c>
      <c r="CG22" s="443">
        <v>52812707.390759513</v>
      </c>
      <c r="CH22" s="443">
        <v>54149437.15247725</v>
      </c>
      <c r="CI22" s="443">
        <v>54149437.15247725</v>
      </c>
      <c r="CJ22" s="443">
        <v>54149437.15247725</v>
      </c>
      <c r="CK22" s="443">
        <v>54149437.15247725</v>
      </c>
      <c r="CL22" s="443">
        <v>54149437.15247725</v>
      </c>
      <c r="CM22" s="443">
        <v>54149437.15247725</v>
      </c>
      <c r="CN22" s="443">
        <v>54149437.15247725</v>
      </c>
      <c r="CO22" s="443">
        <v>54149437.15247725</v>
      </c>
      <c r="CP22" s="443">
        <v>54149437.15247725</v>
      </c>
      <c r="CQ22" s="443">
        <v>54149437.15247725</v>
      </c>
      <c r="CR22" s="443">
        <v>54149437.15247725</v>
      </c>
      <c r="CS22" s="443">
        <v>54149437.15247725</v>
      </c>
      <c r="CT22" s="443">
        <v>55520000.560378686</v>
      </c>
      <c r="CU22" s="443">
        <v>55520000.560378686</v>
      </c>
      <c r="CV22" s="443">
        <v>55520000.560378686</v>
      </c>
      <c r="CW22" s="443">
        <v>55520000.560378686</v>
      </c>
      <c r="CX22" s="443">
        <v>55520000.560378686</v>
      </c>
      <c r="CY22" s="443">
        <v>55520000.560378686</v>
      </c>
      <c r="CZ22" s="443">
        <v>55520000.560378686</v>
      </c>
      <c r="DA22" s="443">
        <v>55520000.560378686</v>
      </c>
      <c r="DB22" s="443">
        <v>55520000.560378686</v>
      </c>
      <c r="DC22" s="443">
        <v>55520000.560378686</v>
      </c>
      <c r="DD22" s="443">
        <v>55520000.560378686</v>
      </c>
      <c r="DE22" s="443">
        <v>55520000.560378686</v>
      </c>
      <c r="DF22" s="443">
        <v>56925253.969762295</v>
      </c>
      <c r="DG22" s="443">
        <v>56925253.969762295</v>
      </c>
      <c r="DH22" s="443">
        <v>56925253.969762295</v>
      </c>
      <c r="DI22" s="443">
        <v>56925253.969762295</v>
      </c>
      <c r="DJ22" s="443">
        <v>56925253.969762295</v>
      </c>
      <c r="DK22" s="443">
        <v>56925253.969762295</v>
      </c>
      <c r="DL22" s="443">
        <v>56925253.969762295</v>
      </c>
      <c r="DM22" s="443">
        <v>56925253.969762295</v>
      </c>
      <c r="DN22" s="443">
        <v>56925253.969762295</v>
      </c>
      <c r="DO22" s="443">
        <v>56925253.969762295</v>
      </c>
      <c r="DP22" s="443">
        <v>56925253.969762295</v>
      </c>
      <c r="DQ22" s="443">
        <v>56925253.969762295</v>
      </c>
      <c r="DR22" s="443">
        <v>58366075.410929993</v>
      </c>
      <c r="DS22" s="443">
        <v>58366075.410929993</v>
      </c>
      <c r="DT22" s="443">
        <v>58366075.410929993</v>
      </c>
      <c r="DU22" s="443">
        <v>58366075.410929993</v>
      </c>
      <c r="DV22" s="443">
        <v>58366075.410929993</v>
      </c>
      <c r="DW22" s="443">
        <v>58366075.410929993</v>
      </c>
      <c r="DX22" s="443">
        <v>58366075.410929993</v>
      </c>
      <c r="DY22" s="443">
        <v>58366075.410929993</v>
      </c>
      <c r="DZ22" s="443">
        <v>58366075.410929993</v>
      </c>
      <c r="EA22" s="443">
        <v>58366075.410929993</v>
      </c>
      <c r="EB22" s="443">
        <v>58366075.410929993</v>
      </c>
      <c r="EC22" s="443">
        <v>58366075.410929993</v>
      </c>
      <c r="ED22" s="443">
        <v>59843365.137797952</v>
      </c>
      <c r="EE22" s="443">
        <v>59843365.137797952</v>
      </c>
      <c r="EF22" s="443">
        <v>59843365.137797952</v>
      </c>
      <c r="EG22" s="443">
        <v>59843365.137797952</v>
      </c>
      <c r="EH22" s="443">
        <v>59843365.137797952</v>
      </c>
      <c r="EI22" s="443">
        <v>59843365.137797952</v>
      </c>
      <c r="EJ22" s="443">
        <v>59843365.137797952</v>
      </c>
      <c r="EK22" s="443">
        <v>59843365.137797952</v>
      </c>
      <c r="EL22" s="443">
        <v>59843365.137797952</v>
      </c>
      <c r="EM22" s="443">
        <v>59843365.137797952</v>
      </c>
      <c r="EN22" s="443">
        <v>59843365.137797952</v>
      </c>
      <c r="EO22" s="443">
        <v>59843365.137797952</v>
      </c>
      <c r="EP22" s="443">
        <v>61358046.19039312</v>
      </c>
      <c r="EQ22" s="443">
        <v>61358046.19039312</v>
      </c>
      <c r="ER22" s="443">
        <v>61358046.19039312</v>
      </c>
      <c r="ES22" s="443">
        <v>61358046.19039312</v>
      </c>
      <c r="ET22" s="443">
        <v>61358046.19039312</v>
      </c>
      <c r="EU22" s="443">
        <v>61358046.19039312</v>
      </c>
      <c r="EV22" s="443">
        <v>61358046.19039312</v>
      </c>
      <c r="EW22" s="443">
        <v>61358046.19039312</v>
      </c>
      <c r="EX22" s="443">
        <v>61358046.19039312</v>
      </c>
      <c r="EY22" s="443">
        <v>61358046.19039312</v>
      </c>
      <c r="EZ22" s="443">
        <v>61358046.19039312</v>
      </c>
      <c r="FA22" s="443">
        <v>61358046.19039312</v>
      </c>
      <c r="FB22" s="443">
        <v>62911064.971587077</v>
      </c>
      <c r="FC22" s="443">
        <v>62911064.971587077</v>
      </c>
      <c r="FD22" s="443">
        <v>62911064.971587077</v>
      </c>
      <c r="FE22" s="443">
        <v>62911064.971587077</v>
      </c>
      <c r="FF22" s="443">
        <v>62911064.971587077</v>
      </c>
      <c r="FG22" s="443">
        <v>62911064.971587077</v>
      </c>
      <c r="FH22" s="443">
        <v>62911064.971587077</v>
      </c>
      <c r="FI22" s="443">
        <v>62911064.971587077</v>
      </c>
      <c r="FJ22" s="443">
        <v>62911064.971587077</v>
      </c>
      <c r="FK22" s="443">
        <v>62911064.971587077</v>
      </c>
      <c r="FL22" s="443">
        <v>62911064.971587077</v>
      </c>
      <c r="FM22" s="443">
        <v>62911064.971587077</v>
      </c>
      <c r="FN22" s="443">
        <v>64503391.838427328</v>
      </c>
      <c r="FO22" s="443">
        <v>64503391.838427328</v>
      </c>
      <c r="FP22" s="443">
        <v>64503391.838427328</v>
      </c>
      <c r="FQ22" s="443">
        <v>64503391.838427328</v>
      </c>
      <c r="FR22" s="443">
        <v>64503391.838427328</v>
      </c>
      <c r="FS22" s="443">
        <v>64503391.838427328</v>
      </c>
      <c r="FT22" s="443">
        <v>64503391.838427328</v>
      </c>
      <c r="FU22" s="443">
        <v>64503391.838427328</v>
      </c>
      <c r="FV22" s="443">
        <v>64503391.838427328</v>
      </c>
      <c r="FW22" s="443">
        <v>64503391.838427328</v>
      </c>
      <c r="FX22" s="443">
        <v>64503391.838427328</v>
      </c>
      <c r="FY22" s="443">
        <v>64503391.838427328</v>
      </c>
      <c r="FZ22" s="443">
        <v>0</v>
      </c>
      <c r="GA22" s="443">
        <v>0</v>
      </c>
      <c r="GB22" s="443">
        <v>0</v>
      </c>
      <c r="GC22" s="443">
        <v>0</v>
      </c>
      <c r="GD22" s="443">
        <v>0</v>
      </c>
      <c r="GE22" s="443">
        <v>0</v>
      </c>
      <c r="GF22" s="443">
        <v>0</v>
      </c>
      <c r="GG22" s="443">
        <v>0</v>
      </c>
      <c r="GH22" s="443">
        <v>0</v>
      </c>
      <c r="GI22" s="443">
        <v>0</v>
      </c>
      <c r="GJ22" s="443">
        <v>0</v>
      </c>
      <c r="GK22" s="443">
        <v>0</v>
      </c>
      <c r="GL22" s="442">
        <v>3433931.7373241722</v>
      </c>
      <c r="GM22" s="443">
        <v>3433931.7373241722</v>
      </c>
      <c r="GN22" s="443">
        <v>3433931.7373241722</v>
      </c>
      <c r="GO22" s="443">
        <v>3433931.7373241722</v>
      </c>
      <c r="GP22" s="443">
        <v>3433931.7373241722</v>
      </c>
      <c r="GQ22" s="443">
        <v>3433931.7373241722</v>
      </c>
      <c r="GR22" s="443">
        <v>3433931.7373241722</v>
      </c>
      <c r="GS22" s="443">
        <v>3433931.7373241722</v>
      </c>
      <c r="GT22" s="443">
        <v>3433931.7373241722</v>
      </c>
      <c r="GU22" s="443">
        <v>3433931.7373241722</v>
      </c>
      <c r="GV22" s="443">
        <v>3433931.7373241722</v>
      </c>
      <c r="GW22" s="443">
        <v>3433931.7373241722</v>
      </c>
      <c r="GX22" s="443">
        <v>52812707.390759513</v>
      </c>
      <c r="GY22" s="443">
        <v>52812707.390759513</v>
      </c>
      <c r="GZ22" s="443">
        <v>52812707.390759513</v>
      </c>
      <c r="HA22" s="443">
        <v>52812707.390759513</v>
      </c>
      <c r="HB22" s="443">
        <v>52812707.390759513</v>
      </c>
      <c r="HC22" s="443">
        <v>52812707.390759513</v>
      </c>
      <c r="HD22" s="443">
        <v>52812707.390759513</v>
      </c>
      <c r="HE22" s="443">
        <v>52812707.390759513</v>
      </c>
      <c r="HF22" s="443">
        <v>52812707.390759513</v>
      </c>
      <c r="HG22" s="443">
        <v>52812707.390759513</v>
      </c>
      <c r="HH22" s="443">
        <v>52812707.390759513</v>
      </c>
      <c r="HI22" s="443">
        <v>52812707.390759513</v>
      </c>
      <c r="HJ22" s="443">
        <v>54149437.15247725</v>
      </c>
      <c r="HK22" s="443">
        <v>54149437.15247725</v>
      </c>
      <c r="HL22" s="443">
        <v>54149437.15247725</v>
      </c>
      <c r="HM22" s="443">
        <v>54149437.15247725</v>
      </c>
      <c r="HN22" s="443">
        <v>54149437.15247725</v>
      </c>
      <c r="HO22" s="443">
        <v>54149437.15247725</v>
      </c>
      <c r="HP22" s="443">
        <v>54149437.15247725</v>
      </c>
      <c r="HQ22" s="443">
        <v>54149437.15247725</v>
      </c>
      <c r="HR22" s="443">
        <v>54149437.15247725</v>
      </c>
      <c r="HS22" s="443">
        <v>54149437.15247725</v>
      </c>
      <c r="HT22" s="443">
        <v>54149437.15247725</v>
      </c>
      <c r="HU22" s="443">
        <v>54149437.15247725</v>
      </c>
      <c r="HV22" s="443">
        <v>55520000.560378686</v>
      </c>
      <c r="HW22" s="443">
        <v>55520000.560378686</v>
      </c>
      <c r="HX22" s="443">
        <v>55520000.560378686</v>
      </c>
      <c r="HY22" s="443">
        <v>55520000.560378686</v>
      </c>
      <c r="HZ22" s="443">
        <v>55520000.560378686</v>
      </c>
      <c r="IA22" s="443">
        <v>55520000.560378686</v>
      </c>
      <c r="IB22" s="443">
        <v>55520000.560378686</v>
      </c>
      <c r="IC22" s="443">
        <v>55520000.560378686</v>
      </c>
      <c r="ID22" s="443">
        <v>55520000.560378686</v>
      </c>
      <c r="IE22" s="443">
        <v>55520000.560378686</v>
      </c>
      <c r="IF22" s="443">
        <v>55520000.560378686</v>
      </c>
      <c r="IG22" s="443">
        <v>55520000.560378686</v>
      </c>
      <c r="IH22" s="443">
        <v>56925253.969762295</v>
      </c>
      <c r="II22" s="443">
        <v>56925253.969762295</v>
      </c>
      <c r="IJ22" s="443">
        <v>56925253.969762295</v>
      </c>
      <c r="IK22" s="443">
        <v>56925253.969762295</v>
      </c>
      <c r="IL22" s="443">
        <v>56925253.969762295</v>
      </c>
      <c r="IM22" s="443">
        <v>56925253.969762295</v>
      </c>
      <c r="IN22" s="443">
        <v>56925253.969762295</v>
      </c>
      <c r="IO22" s="443">
        <v>56925253.969762295</v>
      </c>
      <c r="IP22" s="443">
        <v>56925253.969762295</v>
      </c>
      <c r="IQ22" s="443">
        <v>56925253.969762295</v>
      </c>
      <c r="IR22" s="443">
        <v>56925253.969762295</v>
      </c>
      <c r="IS22" s="443">
        <v>56925253.969762295</v>
      </c>
      <c r="IT22" s="443">
        <v>58366075.410929993</v>
      </c>
      <c r="IU22" s="443">
        <v>58366075.410929993</v>
      </c>
      <c r="IV22" s="443">
        <v>58366075.410929993</v>
      </c>
      <c r="IW22" s="443">
        <v>58366075.410929993</v>
      </c>
      <c r="IX22" s="443">
        <v>58366075.410929993</v>
      </c>
      <c r="IY22" s="443">
        <v>58366075.410929993</v>
      </c>
      <c r="IZ22" s="443">
        <v>58366075.410929993</v>
      </c>
      <c r="JA22" s="443">
        <v>58366075.410929993</v>
      </c>
      <c r="JB22" s="443">
        <v>58366075.410929993</v>
      </c>
      <c r="JC22" s="443">
        <v>58366075.410929993</v>
      </c>
      <c r="JD22" s="443">
        <v>58366075.410929993</v>
      </c>
      <c r="JE22" s="443">
        <v>58366075.410929993</v>
      </c>
      <c r="JF22" s="443">
        <v>59843365.137797952</v>
      </c>
      <c r="JG22" s="443">
        <v>59843365.137797952</v>
      </c>
      <c r="JH22" s="443">
        <v>59843365.137797952</v>
      </c>
      <c r="JI22" s="443">
        <v>59843365.137797952</v>
      </c>
      <c r="JJ22" s="443">
        <v>59843365.137797952</v>
      </c>
      <c r="JK22" s="443">
        <v>59843365.137797952</v>
      </c>
      <c r="JL22" s="443">
        <v>59843365.137797952</v>
      </c>
      <c r="JM22" s="443">
        <v>59843365.137797952</v>
      </c>
      <c r="JN22" s="443">
        <v>59843365.137797952</v>
      </c>
      <c r="JO22" s="443">
        <v>59843365.137797952</v>
      </c>
      <c r="JP22" s="443">
        <v>59843365.137797952</v>
      </c>
      <c r="JQ22" s="443">
        <v>59843365.137797952</v>
      </c>
      <c r="JR22" s="443">
        <v>61358046.19039312</v>
      </c>
      <c r="JS22" s="443">
        <v>61358046.19039312</v>
      </c>
      <c r="JT22" s="443">
        <v>61358046.19039312</v>
      </c>
      <c r="JU22" s="443">
        <v>61358046.19039312</v>
      </c>
      <c r="JV22" s="443">
        <v>61358046.19039312</v>
      </c>
      <c r="JW22" s="443">
        <v>61358046.19039312</v>
      </c>
      <c r="JX22" s="443">
        <v>61358046.19039312</v>
      </c>
      <c r="JY22" s="443">
        <v>61358046.19039312</v>
      </c>
      <c r="JZ22" s="443">
        <v>61358046.19039312</v>
      </c>
      <c r="KA22" s="443">
        <v>61358046.19039312</v>
      </c>
      <c r="KB22" s="443">
        <v>61358046.19039312</v>
      </c>
      <c r="KC22" s="443">
        <v>61358046.19039312</v>
      </c>
      <c r="KD22" s="443">
        <v>62911064.971587077</v>
      </c>
      <c r="KE22" s="443">
        <v>62911064.971587077</v>
      </c>
      <c r="KF22" s="443">
        <v>62911064.971587077</v>
      </c>
      <c r="KG22" s="443">
        <v>62911064.971587077</v>
      </c>
      <c r="KH22" s="443">
        <v>62911064.971587077</v>
      </c>
      <c r="KI22" s="443">
        <v>62911064.971587077</v>
      </c>
      <c r="KJ22" s="443">
        <v>62911064.971587077</v>
      </c>
      <c r="KK22" s="443">
        <v>62911064.971587077</v>
      </c>
      <c r="KL22" s="443">
        <v>62911064.971587077</v>
      </c>
      <c r="KM22" s="443">
        <v>62911064.971587077</v>
      </c>
      <c r="KN22" s="443">
        <v>62911064.971587077</v>
      </c>
      <c r="KO22" s="443">
        <v>62911064.971587077</v>
      </c>
      <c r="KP22" s="443">
        <v>64503391.838427328</v>
      </c>
      <c r="KQ22" s="443">
        <v>64503391.838427328</v>
      </c>
      <c r="KR22" s="443">
        <v>64503391.838427328</v>
      </c>
      <c r="KS22" s="443">
        <v>64503391.838427328</v>
      </c>
      <c r="KT22" s="443">
        <v>64503391.838427328</v>
      </c>
      <c r="KU22" s="443">
        <v>64503391.838427328</v>
      </c>
      <c r="KV22" s="443">
        <v>64503391.838427328</v>
      </c>
      <c r="KW22" s="443">
        <v>64503391.838427328</v>
      </c>
      <c r="KX22" s="443">
        <v>64503391.838427328</v>
      </c>
      <c r="KY22" s="443">
        <v>64503391.838427328</v>
      </c>
      <c r="KZ22" s="443">
        <v>64503391.838427328</v>
      </c>
      <c r="LA22" s="33">
        <v>64503391.838427328</v>
      </c>
      <c r="LB22" s="27"/>
    </row>
    <row r="23" spans="1:314">
      <c r="A23" s="459" t="s">
        <v>1000</v>
      </c>
      <c r="B23" s="463" t="s">
        <v>1199</v>
      </c>
      <c r="C23" s="463" t="s">
        <v>159</v>
      </c>
      <c r="D23" s="456" t="s">
        <v>1428</v>
      </c>
      <c r="E23" s="463"/>
      <c r="F23" s="456"/>
      <c r="G23" s="456"/>
      <c r="H23" s="456"/>
      <c r="I23" s="456"/>
      <c r="J23" s="456" t="s">
        <v>1417</v>
      </c>
      <c r="K23" s="456">
        <v>0</v>
      </c>
      <c r="L23" s="456" t="s">
        <v>899</v>
      </c>
      <c r="M23" s="470">
        <v>19.5</v>
      </c>
      <c r="N23" s="470">
        <v>13</v>
      </c>
      <c r="O23" s="470">
        <v>13</v>
      </c>
      <c r="P23" s="470">
        <v>13</v>
      </c>
      <c r="Q23" s="470">
        <v>13</v>
      </c>
      <c r="R23" s="470">
        <v>13</v>
      </c>
      <c r="S23" s="470">
        <v>13</v>
      </c>
      <c r="T23" s="470">
        <v>13</v>
      </c>
      <c r="U23" s="470">
        <v>13</v>
      </c>
      <c r="V23" s="470">
        <v>13</v>
      </c>
      <c r="W23" s="470">
        <v>0</v>
      </c>
      <c r="X23" s="457">
        <v>0</v>
      </c>
      <c r="Y23" s="472">
        <v>2450022.8696861067</v>
      </c>
      <c r="Z23" s="472">
        <v>2512034.8105352428</v>
      </c>
      <c r="AA23" s="472">
        <v>2575616.3207363458</v>
      </c>
      <c r="AB23" s="472">
        <v>2640807.1272825864</v>
      </c>
      <c r="AC23" s="472">
        <v>2707647.9626875254</v>
      </c>
      <c r="AD23" s="472">
        <v>2776180.5904355985</v>
      </c>
      <c r="AE23" s="472">
        <v>2846447.8310767724</v>
      </c>
      <c r="AF23" s="472">
        <v>2918493.5889816773</v>
      </c>
      <c r="AG23" s="472">
        <v>2992362.8797739311</v>
      </c>
      <c r="AH23" s="472">
        <v>3068101.8584567979</v>
      </c>
      <c r="AI23" s="472">
        <v>0</v>
      </c>
      <c r="AJ23" s="457">
        <v>12</v>
      </c>
      <c r="AK23" s="457">
        <v>12</v>
      </c>
      <c r="AL23" s="457">
        <v>12</v>
      </c>
      <c r="AM23" s="457">
        <v>12</v>
      </c>
      <c r="AN23" s="457">
        <v>12</v>
      </c>
      <c r="AO23" s="457">
        <v>12</v>
      </c>
      <c r="AP23" s="457">
        <v>12</v>
      </c>
      <c r="AQ23" s="457">
        <v>12</v>
      </c>
      <c r="AR23" s="457">
        <v>12</v>
      </c>
      <c r="AS23" s="457">
        <v>12</v>
      </c>
      <c r="AT23" s="457"/>
      <c r="AU23" s="458">
        <v>1</v>
      </c>
      <c r="AV23" s="510">
        <v>1.02531076</v>
      </c>
      <c r="AW23" s="456">
        <v>0</v>
      </c>
      <c r="AX23" s="443">
        <v>4479185454.8213196</v>
      </c>
      <c r="AY23" s="443">
        <v>573305351.50654912</v>
      </c>
      <c r="AZ23" s="443">
        <v>391877430.4434979</v>
      </c>
      <c r="BA23" s="443">
        <v>401796146.03486991</v>
      </c>
      <c r="BB23" s="443">
        <v>411965911.85608357</v>
      </c>
      <c r="BC23" s="443">
        <v>422393082.17925388</v>
      </c>
      <c r="BD23" s="443">
        <v>433084172.10795325</v>
      </c>
      <c r="BE23" s="443">
        <v>444045861.64797658</v>
      </c>
      <c r="BF23" s="443">
        <v>455284999.88114172</v>
      </c>
      <c r="BG23" s="443">
        <v>466808609.2447331</v>
      </c>
      <c r="BH23" s="443">
        <v>478623889.91926056</v>
      </c>
      <c r="BI23" s="443">
        <v>0</v>
      </c>
      <c r="BJ23" s="442">
        <v>47775445.958879083</v>
      </c>
      <c r="BK23" s="443">
        <v>47775445.958879083</v>
      </c>
      <c r="BL23" s="443">
        <v>47775445.958879083</v>
      </c>
      <c r="BM23" s="443">
        <v>47775445.958879083</v>
      </c>
      <c r="BN23" s="443">
        <v>47775445.958879083</v>
      </c>
      <c r="BO23" s="443">
        <v>47775445.958879083</v>
      </c>
      <c r="BP23" s="443">
        <v>47775445.958879083</v>
      </c>
      <c r="BQ23" s="443">
        <v>47775445.958879083</v>
      </c>
      <c r="BR23" s="443">
        <v>47775445.958879083</v>
      </c>
      <c r="BS23" s="443">
        <v>47775445.958879083</v>
      </c>
      <c r="BT23" s="443">
        <v>47775445.958879083</v>
      </c>
      <c r="BU23" s="443">
        <v>47775445.958879083</v>
      </c>
      <c r="BV23" s="443">
        <v>32656452.536958158</v>
      </c>
      <c r="BW23" s="443">
        <v>32656452.536958158</v>
      </c>
      <c r="BX23" s="443">
        <v>32656452.536958158</v>
      </c>
      <c r="BY23" s="443">
        <v>32656452.536958158</v>
      </c>
      <c r="BZ23" s="443">
        <v>32656452.536958158</v>
      </c>
      <c r="CA23" s="443">
        <v>32656452.536958158</v>
      </c>
      <c r="CB23" s="443">
        <v>32656452.536958158</v>
      </c>
      <c r="CC23" s="443">
        <v>32656452.536958158</v>
      </c>
      <c r="CD23" s="443">
        <v>32656452.536958158</v>
      </c>
      <c r="CE23" s="443">
        <v>32656452.536958158</v>
      </c>
      <c r="CF23" s="443">
        <v>32656452.536958158</v>
      </c>
      <c r="CG23" s="443">
        <v>32656452.536958158</v>
      </c>
      <c r="CH23" s="443">
        <v>33483012.169572495</v>
      </c>
      <c r="CI23" s="443">
        <v>33483012.169572495</v>
      </c>
      <c r="CJ23" s="443">
        <v>33483012.169572495</v>
      </c>
      <c r="CK23" s="443">
        <v>33483012.169572495</v>
      </c>
      <c r="CL23" s="443">
        <v>33483012.169572495</v>
      </c>
      <c r="CM23" s="443">
        <v>33483012.169572495</v>
      </c>
      <c r="CN23" s="443">
        <v>33483012.169572495</v>
      </c>
      <c r="CO23" s="443">
        <v>33483012.169572495</v>
      </c>
      <c r="CP23" s="443">
        <v>33483012.169572495</v>
      </c>
      <c r="CQ23" s="443">
        <v>33483012.169572495</v>
      </c>
      <c r="CR23" s="443">
        <v>33483012.169572495</v>
      </c>
      <c r="CS23" s="443">
        <v>33483012.169572495</v>
      </c>
      <c r="CT23" s="443">
        <v>34330492.654673621</v>
      </c>
      <c r="CU23" s="443">
        <v>34330492.654673621</v>
      </c>
      <c r="CV23" s="443">
        <v>34330492.654673621</v>
      </c>
      <c r="CW23" s="443">
        <v>34330492.654673621</v>
      </c>
      <c r="CX23" s="443">
        <v>34330492.654673621</v>
      </c>
      <c r="CY23" s="443">
        <v>34330492.654673621</v>
      </c>
      <c r="CZ23" s="443">
        <v>34330492.654673621</v>
      </c>
      <c r="DA23" s="443">
        <v>34330492.654673621</v>
      </c>
      <c r="DB23" s="443">
        <v>34330492.654673621</v>
      </c>
      <c r="DC23" s="443">
        <v>34330492.654673621</v>
      </c>
      <c r="DD23" s="443">
        <v>34330492.654673621</v>
      </c>
      <c r="DE23" s="443">
        <v>34330492.654673621</v>
      </c>
      <c r="DF23" s="443">
        <v>35199423.514937833</v>
      </c>
      <c r="DG23" s="443">
        <v>35199423.514937833</v>
      </c>
      <c r="DH23" s="443">
        <v>35199423.514937833</v>
      </c>
      <c r="DI23" s="443">
        <v>35199423.514937833</v>
      </c>
      <c r="DJ23" s="443">
        <v>35199423.514937833</v>
      </c>
      <c r="DK23" s="443">
        <v>35199423.514937833</v>
      </c>
      <c r="DL23" s="443">
        <v>35199423.514937833</v>
      </c>
      <c r="DM23" s="443">
        <v>35199423.514937833</v>
      </c>
      <c r="DN23" s="443">
        <v>35199423.514937833</v>
      </c>
      <c r="DO23" s="443">
        <v>35199423.514937833</v>
      </c>
      <c r="DP23" s="443">
        <v>35199423.514937833</v>
      </c>
      <c r="DQ23" s="443">
        <v>35199423.514937833</v>
      </c>
      <c r="DR23" s="443">
        <v>36090347.675662778</v>
      </c>
      <c r="DS23" s="443">
        <v>36090347.675662778</v>
      </c>
      <c r="DT23" s="443">
        <v>36090347.675662778</v>
      </c>
      <c r="DU23" s="443">
        <v>36090347.675662778</v>
      </c>
      <c r="DV23" s="443">
        <v>36090347.675662778</v>
      </c>
      <c r="DW23" s="443">
        <v>36090347.675662778</v>
      </c>
      <c r="DX23" s="443">
        <v>36090347.675662778</v>
      </c>
      <c r="DY23" s="443">
        <v>36090347.675662778</v>
      </c>
      <c r="DZ23" s="443">
        <v>36090347.675662778</v>
      </c>
      <c r="EA23" s="443">
        <v>36090347.675662778</v>
      </c>
      <c r="EB23" s="443">
        <v>36090347.675662778</v>
      </c>
      <c r="EC23" s="443">
        <v>36090347.675662778</v>
      </c>
      <c r="ED23" s="443">
        <v>37003821.803998038</v>
      </c>
      <c r="EE23" s="443">
        <v>37003821.803998038</v>
      </c>
      <c r="EF23" s="443">
        <v>37003821.803998038</v>
      </c>
      <c r="EG23" s="443">
        <v>37003821.803998038</v>
      </c>
      <c r="EH23" s="443">
        <v>37003821.803998038</v>
      </c>
      <c r="EI23" s="443">
        <v>37003821.803998038</v>
      </c>
      <c r="EJ23" s="443">
        <v>37003821.803998038</v>
      </c>
      <c r="EK23" s="443">
        <v>37003821.803998038</v>
      </c>
      <c r="EL23" s="443">
        <v>37003821.803998038</v>
      </c>
      <c r="EM23" s="443">
        <v>37003821.803998038</v>
      </c>
      <c r="EN23" s="443">
        <v>37003821.803998038</v>
      </c>
      <c r="EO23" s="443">
        <v>37003821.803998038</v>
      </c>
      <c r="EP23" s="443">
        <v>37940416.656761803</v>
      </c>
      <c r="EQ23" s="443">
        <v>37940416.656761803</v>
      </c>
      <c r="ER23" s="443">
        <v>37940416.656761803</v>
      </c>
      <c r="ES23" s="443">
        <v>37940416.656761803</v>
      </c>
      <c r="ET23" s="443">
        <v>37940416.656761803</v>
      </c>
      <c r="EU23" s="443">
        <v>37940416.656761803</v>
      </c>
      <c r="EV23" s="443">
        <v>37940416.656761803</v>
      </c>
      <c r="EW23" s="443">
        <v>37940416.656761803</v>
      </c>
      <c r="EX23" s="443">
        <v>37940416.656761803</v>
      </c>
      <c r="EY23" s="443">
        <v>37940416.656761803</v>
      </c>
      <c r="EZ23" s="443">
        <v>37940416.656761803</v>
      </c>
      <c r="FA23" s="443">
        <v>37940416.656761803</v>
      </c>
      <c r="FB23" s="443">
        <v>38900717.437061101</v>
      </c>
      <c r="FC23" s="443">
        <v>38900717.437061101</v>
      </c>
      <c r="FD23" s="443">
        <v>38900717.437061101</v>
      </c>
      <c r="FE23" s="443">
        <v>38900717.437061101</v>
      </c>
      <c r="FF23" s="443">
        <v>38900717.437061101</v>
      </c>
      <c r="FG23" s="443">
        <v>38900717.437061101</v>
      </c>
      <c r="FH23" s="443">
        <v>38900717.437061101</v>
      </c>
      <c r="FI23" s="443">
        <v>38900717.437061101</v>
      </c>
      <c r="FJ23" s="443">
        <v>38900717.437061101</v>
      </c>
      <c r="FK23" s="443">
        <v>38900717.437061101</v>
      </c>
      <c r="FL23" s="443">
        <v>38900717.437061101</v>
      </c>
      <c r="FM23" s="443">
        <v>38900717.437061101</v>
      </c>
      <c r="FN23" s="443">
        <v>39885324.159938373</v>
      </c>
      <c r="FO23" s="443">
        <v>39885324.159938373</v>
      </c>
      <c r="FP23" s="443">
        <v>39885324.159938373</v>
      </c>
      <c r="FQ23" s="443">
        <v>39885324.159938373</v>
      </c>
      <c r="FR23" s="443">
        <v>39885324.159938373</v>
      </c>
      <c r="FS23" s="443">
        <v>39885324.159938373</v>
      </c>
      <c r="FT23" s="443">
        <v>39885324.159938373</v>
      </c>
      <c r="FU23" s="443">
        <v>39885324.159938373</v>
      </c>
      <c r="FV23" s="443">
        <v>39885324.159938373</v>
      </c>
      <c r="FW23" s="443">
        <v>39885324.159938373</v>
      </c>
      <c r="FX23" s="443">
        <v>39885324.159938373</v>
      </c>
      <c r="FY23" s="443">
        <v>39885324.159938373</v>
      </c>
      <c r="FZ23" s="443">
        <v>0</v>
      </c>
      <c r="GA23" s="443">
        <v>0</v>
      </c>
      <c r="GB23" s="443">
        <v>0</v>
      </c>
      <c r="GC23" s="443">
        <v>0</v>
      </c>
      <c r="GD23" s="443">
        <v>0</v>
      </c>
      <c r="GE23" s="443">
        <v>0</v>
      </c>
      <c r="GF23" s="443">
        <v>0</v>
      </c>
      <c r="GG23" s="443">
        <v>0</v>
      </c>
      <c r="GH23" s="443">
        <v>0</v>
      </c>
      <c r="GI23" s="443">
        <v>0</v>
      </c>
      <c r="GJ23" s="443">
        <v>0</v>
      </c>
      <c r="GK23" s="443">
        <v>0</v>
      </c>
      <c r="GL23" s="442">
        <v>47775445.958879083</v>
      </c>
      <c r="GM23" s="443">
        <v>47775445.958879083</v>
      </c>
      <c r="GN23" s="443">
        <v>47775445.958879083</v>
      </c>
      <c r="GO23" s="443">
        <v>47775445.958879083</v>
      </c>
      <c r="GP23" s="443">
        <v>47775445.958879083</v>
      </c>
      <c r="GQ23" s="443">
        <v>47775445.958879083</v>
      </c>
      <c r="GR23" s="443">
        <v>47775445.958879083</v>
      </c>
      <c r="GS23" s="443">
        <v>47775445.958879083</v>
      </c>
      <c r="GT23" s="443">
        <v>47775445.958879083</v>
      </c>
      <c r="GU23" s="443">
        <v>47775445.958879083</v>
      </c>
      <c r="GV23" s="443">
        <v>47775445.958879083</v>
      </c>
      <c r="GW23" s="443">
        <v>47775445.958879083</v>
      </c>
      <c r="GX23" s="443">
        <v>32656452.536958158</v>
      </c>
      <c r="GY23" s="443">
        <v>32656452.536958158</v>
      </c>
      <c r="GZ23" s="443">
        <v>32656452.536958158</v>
      </c>
      <c r="HA23" s="443">
        <v>32656452.536958158</v>
      </c>
      <c r="HB23" s="443">
        <v>32656452.536958158</v>
      </c>
      <c r="HC23" s="443">
        <v>32656452.536958158</v>
      </c>
      <c r="HD23" s="443">
        <v>32656452.536958158</v>
      </c>
      <c r="HE23" s="443">
        <v>32656452.536958158</v>
      </c>
      <c r="HF23" s="443">
        <v>32656452.536958158</v>
      </c>
      <c r="HG23" s="443">
        <v>32656452.536958158</v>
      </c>
      <c r="HH23" s="443">
        <v>32656452.536958158</v>
      </c>
      <c r="HI23" s="443">
        <v>32656452.536958158</v>
      </c>
      <c r="HJ23" s="443">
        <v>33483012.169572495</v>
      </c>
      <c r="HK23" s="443">
        <v>33483012.169572495</v>
      </c>
      <c r="HL23" s="443">
        <v>33483012.169572495</v>
      </c>
      <c r="HM23" s="443">
        <v>33483012.169572495</v>
      </c>
      <c r="HN23" s="443">
        <v>33483012.169572495</v>
      </c>
      <c r="HO23" s="443">
        <v>33483012.169572495</v>
      </c>
      <c r="HP23" s="443">
        <v>33483012.169572495</v>
      </c>
      <c r="HQ23" s="443">
        <v>33483012.169572495</v>
      </c>
      <c r="HR23" s="443">
        <v>33483012.169572495</v>
      </c>
      <c r="HS23" s="443">
        <v>33483012.169572495</v>
      </c>
      <c r="HT23" s="443">
        <v>33483012.169572495</v>
      </c>
      <c r="HU23" s="443">
        <v>33483012.169572495</v>
      </c>
      <c r="HV23" s="443">
        <v>34330492.654673621</v>
      </c>
      <c r="HW23" s="443">
        <v>34330492.654673621</v>
      </c>
      <c r="HX23" s="443">
        <v>34330492.654673621</v>
      </c>
      <c r="HY23" s="443">
        <v>34330492.654673621</v>
      </c>
      <c r="HZ23" s="443">
        <v>34330492.654673621</v>
      </c>
      <c r="IA23" s="443">
        <v>34330492.654673621</v>
      </c>
      <c r="IB23" s="443">
        <v>34330492.654673621</v>
      </c>
      <c r="IC23" s="443">
        <v>34330492.654673621</v>
      </c>
      <c r="ID23" s="443">
        <v>34330492.654673621</v>
      </c>
      <c r="IE23" s="443">
        <v>34330492.654673621</v>
      </c>
      <c r="IF23" s="443">
        <v>34330492.654673621</v>
      </c>
      <c r="IG23" s="443">
        <v>34330492.654673621</v>
      </c>
      <c r="IH23" s="443">
        <v>35199423.514937833</v>
      </c>
      <c r="II23" s="443">
        <v>35199423.514937833</v>
      </c>
      <c r="IJ23" s="443">
        <v>35199423.514937833</v>
      </c>
      <c r="IK23" s="443">
        <v>35199423.514937833</v>
      </c>
      <c r="IL23" s="443">
        <v>35199423.514937833</v>
      </c>
      <c r="IM23" s="443">
        <v>35199423.514937833</v>
      </c>
      <c r="IN23" s="443">
        <v>35199423.514937833</v>
      </c>
      <c r="IO23" s="443">
        <v>35199423.514937833</v>
      </c>
      <c r="IP23" s="443">
        <v>35199423.514937833</v>
      </c>
      <c r="IQ23" s="443">
        <v>35199423.514937833</v>
      </c>
      <c r="IR23" s="443">
        <v>35199423.514937833</v>
      </c>
      <c r="IS23" s="443">
        <v>35199423.514937833</v>
      </c>
      <c r="IT23" s="443">
        <v>36090347.675662778</v>
      </c>
      <c r="IU23" s="443">
        <v>36090347.675662778</v>
      </c>
      <c r="IV23" s="443">
        <v>36090347.675662778</v>
      </c>
      <c r="IW23" s="443">
        <v>36090347.675662778</v>
      </c>
      <c r="IX23" s="443">
        <v>36090347.675662778</v>
      </c>
      <c r="IY23" s="443">
        <v>36090347.675662778</v>
      </c>
      <c r="IZ23" s="443">
        <v>36090347.675662778</v>
      </c>
      <c r="JA23" s="443">
        <v>36090347.675662778</v>
      </c>
      <c r="JB23" s="443">
        <v>36090347.675662778</v>
      </c>
      <c r="JC23" s="443">
        <v>36090347.675662778</v>
      </c>
      <c r="JD23" s="443">
        <v>36090347.675662778</v>
      </c>
      <c r="JE23" s="443">
        <v>36090347.675662778</v>
      </c>
      <c r="JF23" s="443">
        <v>37003821.803998038</v>
      </c>
      <c r="JG23" s="443">
        <v>37003821.803998038</v>
      </c>
      <c r="JH23" s="443">
        <v>37003821.803998038</v>
      </c>
      <c r="JI23" s="443">
        <v>37003821.803998038</v>
      </c>
      <c r="JJ23" s="443">
        <v>37003821.803998038</v>
      </c>
      <c r="JK23" s="443">
        <v>37003821.803998038</v>
      </c>
      <c r="JL23" s="443">
        <v>37003821.803998038</v>
      </c>
      <c r="JM23" s="443">
        <v>37003821.803998038</v>
      </c>
      <c r="JN23" s="443">
        <v>37003821.803998038</v>
      </c>
      <c r="JO23" s="443">
        <v>37003821.803998038</v>
      </c>
      <c r="JP23" s="443">
        <v>37003821.803998038</v>
      </c>
      <c r="JQ23" s="443">
        <v>37003821.803998038</v>
      </c>
      <c r="JR23" s="443">
        <v>37940416.656761803</v>
      </c>
      <c r="JS23" s="443">
        <v>37940416.656761803</v>
      </c>
      <c r="JT23" s="443">
        <v>37940416.656761803</v>
      </c>
      <c r="JU23" s="443">
        <v>37940416.656761803</v>
      </c>
      <c r="JV23" s="443">
        <v>37940416.656761803</v>
      </c>
      <c r="JW23" s="443">
        <v>37940416.656761803</v>
      </c>
      <c r="JX23" s="443">
        <v>37940416.656761803</v>
      </c>
      <c r="JY23" s="443">
        <v>37940416.656761803</v>
      </c>
      <c r="JZ23" s="443">
        <v>37940416.656761803</v>
      </c>
      <c r="KA23" s="443">
        <v>37940416.656761803</v>
      </c>
      <c r="KB23" s="443">
        <v>37940416.656761803</v>
      </c>
      <c r="KC23" s="443">
        <v>37940416.656761803</v>
      </c>
      <c r="KD23" s="443">
        <v>38900717.437061101</v>
      </c>
      <c r="KE23" s="443">
        <v>38900717.437061101</v>
      </c>
      <c r="KF23" s="443">
        <v>38900717.437061101</v>
      </c>
      <c r="KG23" s="443">
        <v>38900717.437061101</v>
      </c>
      <c r="KH23" s="443">
        <v>38900717.437061101</v>
      </c>
      <c r="KI23" s="443">
        <v>38900717.437061101</v>
      </c>
      <c r="KJ23" s="443">
        <v>38900717.437061101</v>
      </c>
      <c r="KK23" s="443">
        <v>38900717.437061101</v>
      </c>
      <c r="KL23" s="443">
        <v>38900717.437061101</v>
      </c>
      <c r="KM23" s="443">
        <v>38900717.437061101</v>
      </c>
      <c r="KN23" s="443">
        <v>38900717.437061101</v>
      </c>
      <c r="KO23" s="443">
        <v>38900717.437061101</v>
      </c>
      <c r="KP23" s="443">
        <v>39885324.159938373</v>
      </c>
      <c r="KQ23" s="443">
        <v>39885324.159938373</v>
      </c>
      <c r="KR23" s="443">
        <v>39885324.159938373</v>
      </c>
      <c r="KS23" s="443">
        <v>39885324.159938373</v>
      </c>
      <c r="KT23" s="443">
        <v>39885324.159938373</v>
      </c>
      <c r="KU23" s="443">
        <v>39885324.159938373</v>
      </c>
      <c r="KV23" s="443">
        <v>39885324.159938373</v>
      </c>
      <c r="KW23" s="443">
        <v>39885324.159938373</v>
      </c>
      <c r="KX23" s="443">
        <v>39885324.159938373</v>
      </c>
      <c r="KY23" s="443">
        <v>39885324.159938373</v>
      </c>
      <c r="KZ23" s="443">
        <v>39885324.159938373</v>
      </c>
      <c r="LA23" s="33">
        <v>39885324.159938373</v>
      </c>
      <c r="LB23" s="27"/>
    </row>
    <row r="24" spans="1:314">
      <c r="A24" s="459" t="s">
        <v>1001</v>
      </c>
      <c r="B24" s="463" t="s">
        <v>1199</v>
      </c>
      <c r="C24" s="463" t="s">
        <v>176</v>
      </c>
      <c r="D24" s="456" t="s">
        <v>1430</v>
      </c>
      <c r="E24" s="463"/>
      <c r="F24" s="456"/>
      <c r="G24" s="456"/>
      <c r="H24" s="456"/>
      <c r="I24" s="456"/>
      <c r="J24" s="456" t="s">
        <v>1417</v>
      </c>
      <c r="K24" s="456">
        <v>0</v>
      </c>
      <c r="L24" s="456" t="s">
        <v>899</v>
      </c>
      <c r="M24" s="470">
        <v>2</v>
      </c>
      <c r="N24" s="470">
        <v>2</v>
      </c>
      <c r="O24" s="470">
        <v>2</v>
      </c>
      <c r="P24" s="470">
        <v>2</v>
      </c>
      <c r="Q24" s="470">
        <v>2</v>
      </c>
      <c r="R24" s="470">
        <v>2</v>
      </c>
      <c r="S24" s="470">
        <v>2</v>
      </c>
      <c r="T24" s="470">
        <v>2</v>
      </c>
      <c r="U24" s="470">
        <v>2</v>
      </c>
      <c r="V24" s="470">
        <v>2</v>
      </c>
      <c r="W24" s="470">
        <v>0</v>
      </c>
      <c r="X24" s="457">
        <v>0</v>
      </c>
      <c r="Y24" s="472">
        <v>4319634.2318799999</v>
      </c>
      <c r="Z24" s="472">
        <v>4428967.4572108984</v>
      </c>
      <c r="AA24" s="472">
        <v>4541067.9895681739</v>
      </c>
      <c r="AB24" s="472">
        <v>4656005.8715958167</v>
      </c>
      <c r="AC24" s="472">
        <v>4773852.9187703691</v>
      </c>
      <c r="AD24" s="472">
        <v>4894682.7642726656</v>
      </c>
      <c r="AE24" s="472">
        <v>5018570.9049953073</v>
      </c>
      <c r="AF24" s="472">
        <v>5145594.7487146258</v>
      </c>
      <c r="AG24" s="472">
        <v>5275833.6624566019</v>
      </c>
      <c r="AH24" s="472">
        <v>5409369.0220869621</v>
      </c>
      <c r="AI24" s="472">
        <v>0</v>
      </c>
      <c r="AJ24" s="457">
        <v>12</v>
      </c>
      <c r="AK24" s="457">
        <v>12</v>
      </c>
      <c r="AL24" s="457">
        <v>12</v>
      </c>
      <c r="AM24" s="457">
        <v>12</v>
      </c>
      <c r="AN24" s="457">
        <v>12</v>
      </c>
      <c r="AO24" s="457">
        <v>12</v>
      </c>
      <c r="AP24" s="457">
        <v>12</v>
      </c>
      <c r="AQ24" s="457">
        <v>12</v>
      </c>
      <c r="AR24" s="457">
        <v>12</v>
      </c>
      <c r="AS24" s="457">
        <v>12</v>
      </c>
      <c r="AT24" s="457"/>
      <c r="AU24" s="458">
        <v>1</v>
      </c>
      <c r="AV24" s="510">
        <v>1.02531076</v>
      </c>
      <c r="AW24" s="456">
        <v>0</v>
      </c>
      <c r="AX24" s="443">
        <v>1163125909.7172341</v>
      </c>
      <c r="AY24" s="443">
        <v>103671221.56512003</v>
      </c>
      <c r="AZ24" s="443">
        <v>106295218.97306156</v>
      </c>
      <c r="BA24" s="443">
        <v>108985631.74963617</v>
      </c>
      <c r="BB24" s="443">
        <v>111744140.91829957</v>
      </c>
      <c r="BC24" s="443">
        <v>114572470.05048889</v>
      </c>
      <c r="BD24" s="443">
        <v>117472386.342544</v>
      </c>
      <c r="BE24" s="443">
        <v>120445701.71988738</v>
      </c>
      <c r="BF24" s="443">
        <v>123494273.96915102</v>
      </c>
      <c r="BG24" s="443">
        <v>126620007.89895844</v>
      </c>
      <c r="BH24" s="443">
        <v>129824856.5300871</v>
      </c>
      <c r="BI24" s="443">
        <v>0</v>
      </c>
      <c r="BJ24" s="442">
        <v>8639268.4637599997</v>
      </c>
      <c r="BK24" s="443">
        <v>8639268.4637599997</v>
      </c>
      <c r="BL24" s="443">
        <v>8639268.4637599997</v>
      </c>
      <c r="BM24" s="443">
        <v>8639268.4637599997</v>
      </c>
      <c r="BN24" s="443">
        <v>8639268.4637599997</v>
      </c>
      <c r="BO24" s="443">
        <v>8639268.4637599997</v>
      </c>
      <c r="BP24" s="443">
        <v>8639268.4637599997</v>
      </c>
      <c r="BQ24" s="443">
        <v>8639268.4637599997</v>
      </c>
      <c r="BR24" s="443">
        <v>8639268.4637599997</v>
      </c>
      <c r="BS24" s="443">
        <v>8639268.4637599997</v>
      </c>
      <c r="BT24" s="443">
        <v>8639268.4637599997</v>
      </c>
      <c r="BU24" s="443">
        <v>8639268.4637599997</v>
      </c>
      <c r="BV24" s="443">
        <v>8857934.9144217968</v>
      </c>
      <c r="BW24" s="443">
        <v>8857934.9144217968</v>
      </c>
      <c r="BX24" s="443">
        <v>8857934.9144217968</v>
      </c>
      <c r="BY24" s="443">
        <v>8857934.9144217968</v>
      </c>
      <c r="BZ24" s="443">
        <v>8857934.9144217968</v>
      </c>
      <c r="CA24" s="443">
        <v>8857934.9144217968</v>
      </c>
      <c r="CB24" s="443">
        <v>8857934.9144217968</v>
      </c>
      <c r="CC24" s="443">
        <v>8857934.9144217968</v>
      </c>
      <c r="CD24" s="443">
        <v>8857934.9144217968</v>
      </c>
      <c r="CE24" s="443">
        <v>8857934.9144217968</v>
      </c>
      <c r="CF24" s="443">
        <v>8857934.9144217968</v>
      </c>
      <c r="CG24" s="443">
        <v>8857934.9144217968</v>
      </c>
      <c r="CH24" s="443">
        <v>9082135.9791363478</v>
      </c>
      <c r="CI24" s="443">
        <v>9082135.9791363478</v>
      </c>
      <c r="CJ24" s="443">
        <v>9082135.9791363478</v>
      </c>
      <c r="CK24" s="443">
        <v>9082135.9791363478</v>
      </c>
      <c r="CL24" s="443">
        <v>9082135.9791363478</v>
      </c>
      <c r="CM24" s="443">
        <v>9082135.9791363478</v>
      </c>
      <c r="CN24" s="443">
        <v>9082135.9791363478</v>
      </c>
      <c r="CO24" s="443">
        <v>9082135.9791363478</v>
      </c>
      <c r="CP24" s="443">
        <v>9082135.9791363478</v>
      </c>
      <c r="CQ24" s="443">
        <v>9082135.9791363478</v>
      </c>
      <c r="CR24" s="443">
        <v>9082135.9791363478</v>
      </c>
      <c r="CS24" s="443">
        <v>9082135.9791363478</v>
      </c>
      <c r="CT24" s="443">
        <v>9312011.7431916334</v>
      </c>
      <c r="CU24" s="443">
        <v>9312011.7431916334</v>
      </c>
      <c r="CV24" s="443">
        <v>9312011.7431916334</v>
      </c>
      <c r="CW24" s="443">
        <v>9312011.7431916334</v>
      </c>
      <c r="CX24" s="443">
        <v>9312011.7431916334</v>
      </c>
      <c r="CY24" s="443">
        <v>9312011.7431916334</v>
      </c>
      <c r="CZ24" s="443">
        <v>9312011.7431916334</v>
      </c>
      <c r="DA24" s="443">
        <v>9312011.7431916334</v>
      </c>
      <c r="DB24" s="443">
        <v>9312011.7431916334</v>
      </c>
      <c r="DC24" s="443">
        <v>9312011.7431916334</v>
      </c>
      <c r="DD24" s="443">
        <v>9312011.7431916334</v>
      </c>
      <c r="DE24" s="443">
        <v>9312011.7431916334</v>
      </c>
      <c r="DF24" s="443">
        <v>9547705.8375407383</v>
      </c>
      <c r="DG24" s="443">
        <v>9547705.8375407383</v>
      </c>
      <c r="DH24" s="443">
        <v>9547705.8375407383</v>
      </c>
      <c r="DI24" s="443">
        <v>9547705.8375407383</v>
      </c>
      <c r="DJ24" s="443">
        <v>9547705.8375407383</v>
      </c>
      <c r="DK24" s="443">
        <v>9547705.8375407383</v>
      </c>
      <c r="DL24" s="443">
        <v>9547705.8375407383</v>
      </c>
      <c r="DM24" s="443">
        <v>9547705.8375407383</v>
      </c>
      <c r="DN24" s="443">
        <v>9547705.8375407383</v>
      </c>
      <c r="DO24" s="443">
        <v>9547705.8375407383</v>
      </c>
      <c r="DP24" s="443">
        <v>9547705.8375407383</v>
      </c>
      <c r="DQ24" s="443">
        <v>9547705.8375407383</v>
      </c>
      <c r="DR24" s="443">
        <v>9789365.5285453312</v>
      </c>
      <c r="DS24" s="443">
        <v>9789365.5285453312</v>
      </c>
      <c r="DT24" s="443">
        <v>9789365.5285453312</v>
      </c>
      <c r="DU24" s="443">
        <v>9789365.5285453312</v>
      </c>
      <c r="DV24" s="443">
        <v>9789365.5285453312</v>
      </c>
      <c r="DW24" s="443">
        <v>9789365.5285453312</v>
      </c>
      <c r="DX24" s="443">
        <v>9789365.5285453312</v>
      </c>
      <c r="DY24" s="443">
        <v>9789365.5285453312</v>
      </c>
      <c r="DZ24" s="443">
        <v>9789365.5285453312</v>
      </c>
      <c r="EA24" s="443">
        <v>9789365.5285453312</v>
      </c>
      <c r="EB24" s="443">
        <v>9789365.5285453312</v>
      </c>
      <c r="EC24" s="443">
        <v>9789365.5285453312</v>
      </c>
      <c r="ED24" s="443">
        <v>10037141.809990615</v>
      </c>
      <c r="EE24" s="443">
        <v>10037141.809990615</v>
      </c>
      <c r="EF24" s="443">
        <v>10037141.809990615</v>
      </c>
      <c r="EG24" s="443">
        <v>10037141.809990615</v>
      </c>
      <c r="EH24" s="443">
        <v>10037141.809990615</v>
      </c>
      <c r="EI24" s="443">
        <v>10037141.809990615</v>
      </c>
      <c r="EJ24" s="443">
        <v>10037141.809990615</v>
      </c>
      <c r="EK24" s="443">
        <v>10037141.809990615</v>
      </c>
      <c r="EL24" s="443">
        <v>10037141.809990615</v>
      </c>
      <c r="EM24" s="443">
        <v>10037141.809990615</v>
      </c>
      <c r="EN24" s="443">
        <v>10037141.809990615</v>
      </c>
      <c r="EO24" s="443">
        <v>10037141.809990615</v>
      </c>
      <c r="EP24" s="443">
        <v>10291189.497429252</v>
      </c>
      <c r="EQ24" s="443">
        <v>10291189.497429252</v>
      </c>
      <c r="ER24" s="443">
        <v>10291189.497429252</v>
      </c>
      <c r="ES24" s="443">
        <v>10291189.497429252</v>
      </c>
      <c r="ET24" s="443">
        <v>10291189.497429252</v>
      </c>
      <c r="EU24" s="443">
        <v>10291189.497429252</v>
      </c>
      <c r="EV24" s="443">
        <v>10291189.497429252</v>
      </c>
      <c r="EW24" s="443">
        <v>10291189.497429252</v>
      </c>
      <c r="EX24" s="443">
        <v>10291189.497429252</v>
      </c>
      <c r="EY24" s="443">
        <v>10291189.497429252</v>
      </c>
      <c r="EZ24" s="443">
        <v>10291189.497429252</v>
      </c>
      <c r="FA24" s="443">
        <v>10291189.497429252</v>
      </c>
      <c r="FB24" s="443">
        <v>10551667.324913204</v>
      </c>
      <c r="FC24" s="443">
        <v>10551667.324913204</v>
      </c>
      <c r="FD24" s="443">
        <v>10551667.324913204</v>
      </c>
      <c r="FE24" s="443">
        <v>10551667.324913204</v>
      </c>
      <c r="FF24" s="443">
        <v>10551667.324913204</v>
      </c>
      <c r="FG24" s="443">
        <v>10551667.324913204</v>
      </c>
      <c r="FH24" s="443">
        <v>10551667.324913204</v>
      </c>
      <c r="FI24" s="443">
        <v>10551667.324913204</v>
      </c>
      <c r="FJ24" s="443">
        <v>10551667.324913204</v>
      </c>
      <c r="FK24" s="443">
        <v>10551667.324913204</v>
      </c>
      <c r="FL24" s="443">
        <v>10551667.324913204</v>
      </c>
      <c r="FM24" s="443">
        <v>10551667.324913204</v>
      </c>
      <c r="FN24" s="443">
        <v>10818738.044173924</v>
      </c>
      <c r="FO24" s="443">
        <v>10818738.044173924</v>
      </c>
      <c r="FP24" s="443">
        <v>10818738.044173924</v>
      </c>
      <c r="FQ24" s="443">
        <v>10818738.044173924</v>
      </c>
      <c r="FR24" s="443">
        <v>10818738.044173924</v>
      </c>
      <c r="FS24" s="443">
        <v>10818738.044173924</v>
      </c>
      <c r="FT24" s="443">
        <v>10818738.044173924</v>
      </c>
      <c r="FU24" s="443">
        <v>10818738.044173924</v>
      </c>
      <c r="FV24" s="443">
        <v>10818738.044173924</v>
      </c>
      <c r="FW24" s="443">
        <v>10818738.044173924</v>
      </c>
      <c r="FX24" s="443">
        <v>10818738.044173924</v>
      </c>
      <c r="FY24" s="443">
        <v>10818738.044173924</v>
      </c>
      <c r="FZ24" s="443">
        <v>0</v>
      </c>
      <c r="GA24" s="443">
        <v>0</v>
      </c>
      <c r="GB24" s="443">
        <v>0</v>
      </c>
      <c r="GC24" s="443">
        <v>0</v>
      </c>
      <c r="GD24" s="443">
        <v>0</v>
      </c>
      <c r="GE24" s="443">
        <v>0</v>
      </c>
      <c r="GF24" s="443">
        <v>0</v>
      </c>
      <c r="GG24" s="443">
        <v>0</v>
      </c>
      <c r="GH24" s="443">
        <v>0</v>
      </c>
      <c r="GI24" s="443">
        <v>0</v>
      </c>
      <c r="GJ24" s="443">
        <v>0</v>
      </c>
      <c r="GK24" s="443">
        <v>0</v>
      </c>
      <c r="GL24" s="442">
        <v>8639268.4637599997</v>
      </c>
      <c r="GM24" s="443">
        <v>8639268.4637599997</v>
      </c>
      <c r="GN24" s="443">
        <v>8639268.4637599997</v>
      </c>
      <c r="GO24" s="443">
        <v>8639268.4637599997</v>
      </c>
      <c r="GP24" s="443">
        <v>8639268.4637599997</v>
      </c>
      <c r="GQ24" s="443">
        <v>8639268.4637599997</v>
      </c>
      <c r="GR24" s="443">
        <v>8639268.4637599997</v>
      </c>
      <c r="GS24" s="443">
        <v>8639268.4637599997</v>
      </c>
      <c r="GT24" s="443">
        <v>8639268.4637599997</v>
      </c>
      <c r="GU24" s="443">
        <v>8639268.4637599997</v>
      </c>
      <c r="GV24" s="443">
        <v>8639268.4637599997</v>
      </c>
      <c r="GW24" s="443">
        <v>8639268.4637599997</v>
      </c>
      <c r="GX24" s="443">
        <v>8857934.9144217968</v>
      </c>
      <c r="GY24" s="443">
        <v>8857934.9144217968</v>
      </c>
      <c r="GZ24" s="443">
        <v>8857934.9144217968</v>
      </c>
      <c r="HA24" s="443">
        <v>8857934.9144217968</v>
      </c>
      <c r="HB24" s="443">
        <v>8857934.9144217968</v>
      </c>
      <c r="HC24" s="443">
        <v>8857934.9144217968</v>
      </c>
      <c r="HD24" s="443">
        <v>8857934.9144217968</v>
      </c>
      <c r="HE24" s="443">
        <v>8857934.9144217968</v>
      </c>
      <c r="HF24" s="443">
        <v>8857934.9144217968</v>
      </c>
      <c r="HG24" s="443">
        <v>8857934.9144217968</v>
      </c>
      <c r="HH24" s="443">
        <v>8857934.9144217968</v>
      </c>
      <c r="HI24" s="443">
        <v>8857934.9144217968</v>
      </c>
      <c r="HJ24" s="443">
        <v>9082135.9791363478</v>
      </c>
      <c r="HK24" s="443">
        <v>9082135.9791363478</v>
      </c>
      <c r="HL24" s="443">
        <v>9082135.9791363478</v>
      </c>
      <c r="HM24" s="443">
        <v>9082135.9791363478</v>
      </c>
      <c r="HN24" s="443">
        <v>9082135.9791363478</v>
      </c>
      <c r="HO24" s="443">
        <v>9082135.9791363478</v>
      </c>
      <c r="HP24" s="443">
        <v>9082135.9791363478</v>
      </c>
      <c r="HQ24" s="443">
        <v>9082135.9791363478</v>
      </c>
      <c r="HR24" s="443">
        <v>9082135.9791363478</v>
      </c>
      <c r="HS24" s="443">
        <v>9082135.9791363478</v>
      </c>
      <c r="HT24" s="443">
        <v>9082135.9791363478</v>
      </c>
      <c r="HU24" s="443">
        <v>9082135.9791363478</v>
      </c>
      <c r="HV24" s="443">
        <v>9312011.7431916334</v>
      </c>
      <c r="HW24" s="443">
        <v>9312011.7431916334</v>
      </c>
      <c r="HX24" s="443">
        <v>9312011.7431916334</v>
      </c>
      <c r="HY24" s="443">
        <v>9312011.7431916334</v>
      </c>
      <c r="HZ24" s="443">
        <v>9312011.7431916334</v>
      </c>
      <c r="IA24" s="443">
        <v>9312011.7431916334</v>
      </c>
      <c r="IB24" s="443">
        <v>9312011.7431916334</v>
      </c>
      <c r="IC24" s="443">
        <v>9312011.7431916334</v>
      </c>
      <c r="ID24" s="443">
        <v>9312011.7431916334</v>
      </c>
      <c r="IE24" s="443">
        <v>9312011.7431916334</v>
      </c>
      <c r="IF24" s="443">
        <v>9312011.7431916334</v>
      </c>
      <c r="IG24" s="443">
        <v>9312011.7431916334</v>
      </c>
      <c r="IH24" s="443">
        <v>9547705.8375407383</v>
      </c>
      <c r="II24" s="443">
        <v>9547705.8375407383</v>
      </c>
      <c r="IJ24" s="443">
        <v>9547705.8375407383</v>
      </c>
      <c r="IK24" s="443">
        <v>9547705.8375407383</v>
      </c>
      <c r="IL24" s="443">
        <v>9547705.8375407383</v>
      </c>
      <c r="IM24" s="443">
        <v>9547705.8375407383</v>
      </c>
      <c r="IN24" s="443">
        <v>9547705.8375407383</v>
      </c>
      <c r="IO24" s="443">
        <v>9547705.8375407383</v>
      </c>
      <c r="IP24" s="443">
        <v>9547705.8375407383</v>
      </c>
      <c r="IQ24" s="443">
        <v>9547705.8375407383</v>
      </c>
      <c r="IR24" s="443">
        <v>9547705.8375407383</v>
      </c>
      <c r="IS24" s="443">
        <v>9547705.8375407383</v>
      </c>
      <c r="IT24" s="443">
        <v>9789365.5285453312</v>
      </c>
      <c r="IU24" s="443">
        <v>9789365.5285453312</v>
      </c>
      <c r="IV24" s="443">
        <v>9789365.5285453312</v>
      </c>
      <c r="IW24" s="443">
        <v>9789365.5285453312</v>
      </c>
      <c r="IX24" s="443">
        <v>9789365.5285453312</v>
      </c>
      <c r="IY24" s="443">
        <v>9789365.5285453312</v>
      </c>
      <c r="IZ24" s="443">
        <v>9789365.5285453312</v>
      </c>
      <c r="JA24" s="443">
        <v>9789365.5285453312</v>
      </c>
      <c r="JB24" s="443">
        <v>9789365.5285453312</v>
      </c>
      <c r="JC24" s="443">
        <v>9789365.5285453312</v>
      </c>
      <c r="JD24" s="443">
        <v>9789365.5285453312</v>
      </c>
      <c r="JE24" s="443">
        <v>9789365.5285453312</v>
      </c>
      <c r="JF24" s="443">
        <v>10037141.809990615</v>
      </c>
      <c r="JG24" s="443">
        <v>10037141.809990615</v>
      </c>
      <c r="JH24" s="443">
        <v>10037141.809990615</v>
      </c>
      <c r="JI24" s="443">
        <v>10037141.809990615</v>
      </c>
      <c r="JJ24" s="443">
        <v>10037141.809990615</v>
      </c>
      <c r="JK24" s="443">
        <v>10037141.809990615</v>
      </c>
      <c r="JL24" s="443">
        <v>10037141.809990615</v>
      </c>
      <c r="JM24" s="443">
        <v>10037141.809990615</v>
      </c>
      <c r="JN24" s="443">
        <v>10037141.809990615</v>
      </c>
      <c r="JO24" s="443">
        <v>10037141.809990615</v>
      </c>
      <c r="JP24" s="443">
        <v>10037141.809990615</v>
      </c>
      <c r="JQ24" s="443">
        <v>10037141.809990615</v>
      </c>
      <c r="JR24" s="443">
        <v>10291189.497429252</v>
      </c>
      <c r="JS24" s="443">
        <v>10291189.497429252</v>
      </c>
      <c r="JT24" s="443">
        <v>10291189.497429252</v>
      </c>
      <c r="JU24" s="443">
        <v>10291189.497429252</v>
      </c>
      <c r="JV24" s="443">
        <v>10291189.497429252</v>
      </c>
      <c r="JW24" s="443">
        <v>10291189.497429252</v>
      </c>
      <c r="JX24" s="443">
        <v>10291189.497429252</v>
      </c>
      <c r="JY24" s="443">
        <v>10291189.497429252</v>
      </c>
      <c r="JZ24" s="443">
        <v>10291189.497429252</v>
      </c>
      <c r="KA24" s="443">
        <v>10291189.497429252</v>
      </c>
      <c r="KB24" s="443">
        <v>10291189.497429252</v>
      </c>
      <c r="KC24" s="443">
        <v>10291189.497429252</v>
      </c>
      <c r="KD24" s="443">
        <v>10551667.324913204</v>
      </c>
      <c r="KE24" s="443">
        <v>10551667.324913204</v>
      </c>
      <c r="KF24" s="443">
        <v>10551667.324913204</v>
      </c>
      <c r="KG24" s="443">
        <v>10551667.324913204</v>
      </c>
      <c r="KH24" s="443">
        <v>10551667.324913204</v>
      </c>
      <c r="KI24" s="443">
        <v>10551667.324913204</v>
      </c>
      <c r="KJ24" s="443">
        <v>10551667.324913204</v>
      </c>
      <c r="KK24" s="443">
        <v>10551667.324913204</v>
      </c>
      <c r="KL24" s="443">
        <v>10551667.324913204</v>
      </c>
      <c r="KM24" s="443">
        <v>10551667.324913204</v>
      </c>
      <c r="KN24" s="443">
        <v>10551667.324913204</v>
      </c>
      <c r="KO24" s="443">
        <v>10551667.324913204</v>
      </c>
      <c r="KP24" s="443">
        <v>10818738.044173924</v>
      </c>
      <c r="KQ24" s="443">
        <v>10818738.044173924</v>
      </c>
      <c r="KR24" s="443">
        <v>10818738.044173924</v>
      </c>
      <c r="KS24" s="443">
        <v>10818738.044173924</v>
      </c>
      <c r="KT24" s="443">
        <v>10818738.044173924</v>
      </c>
      <c r="KU24" s="443">
        <v>10818738.044173924</v>
      </c>
      <c r="KV24" s="443">
        <v>10818738.044173924</v>
      </c>
      <c r="KW24" s="443">
        <v>10818738.044173924</v>
      </c>
      <c r="KX24" s="443">
        <v>10818738.044173924</v>
      </c>
      <c r="KY24" s="443">
        <v>10818738.044173924</v>
      </c>
      <c r="KZ24" s="443">
        <v>10818738.044173924</v>
      </c>
      <c r="LA24" s="33">
        <v>10818738.044173924</v>
      </c>
      <c r="LB24" s="27"/>
    </row>
    <row r="25" spans="1:314">
      <c r="A25" s="459" t="s">
        <v>1002</v>
      </c>
      <c r="B25" s="463" t="s">
        <v>1199</v>
      </c>
      <c r="C25" s="463" t="s">
        <v>159</v>
      </c>
      <c r="D25" s="456" t="s">
        <v>1430</v>
      </c>
      <c r="E25" s="463"/>
      <c r="F25" s="456"/>
      <c r="G25" s="456"/>
      <c r="H25" s="456"/>
      <c r="I25" s="456"/>
      <c r="J25" s="456" t="s">
        <v>1417</v>
      </c>
      <c r="K25" s="456">
        <v>0</v>
      </c>
      <c r="L25" s="456" t="s">
        <v>899</v>
      </c>
      <c r="M25" s="470">
        <v>6</v>
      </c>
      <c r="N25" s="470">
        <v>6</v>
      </c>
      <c r="O25" s="470">
        <v>6</v>
      </c>
      <c r="P25" s="470">
        <v>6</v>
      </c>
      <c r="Q25" s="470">
        <v>6</v>
      </c>
      <c r="R25" s="470">
        <v>6</v>
      </c>
      <c r="S25" s="470">
        <v>6</v>
      </c>
      <c r="T25" s="470">
        <v>6</v>
      </c>
      <c r="U25" s="470">
        <v>6</v>
      </c>
      <c r="V25" s="470">
        <v>6</v>
      </c>
      <c r="W25" s="470">
        <v>0</v>
      </c>
      <c r="X25" s="457">
        <v>0</v>
      </c>
      <c r="Y25" s="472">
        <v>3959750.1551199998</v>
      </c>
      <c r="Z25" s="472">
        <v>4059974.4409562047</v>
      </c>
      <c r="AA25" s="472">
        <v>4162735.4796373812</v>
      </c>
      <c r="AB25" s="472">
        <v>4268097.4783059675</v>
      </c>
      <c r="AC25" s="472">
        <v>4376126.2692359751</v>
      </c>
      <c r="AD25" s="472">
        <v>4486889.3509663017</v>
      </c>
      <c r="AE25" s="472">
        <v>4600455.9304751651</v>
      </c>
      <c r="AF25" s="472">
        <v>4716896.966421999</v>
      </c>
      <c r="AG25" s="472">
        <v>4836285.2134838346</v>
      </c>
      <c r="AH25" s="472">
        <v>4958695.2678138725</v>
      </c>
      <c r="AI25" s="472">
        <v>0</v>
      </c>
      <c r="AJ25" s="457">
        <v>12</v>
      </c>
      <c r="AK25" s="457">
        <v>12</v>
      </c>
      <c r="AL25" s="457">
        <v>12</v>
      </c>
      <c r="AM25" s="457">
        <v>12</v>
      </c>
      <c r="AN25" s="457">
        <v>12</v>
      </c>
      <c r="AO25" s="457">
        <v>12</v>
      </c>
      <c r="AP25" s="457">
        <v>12</v>
      </c>
      <c r="AQ25" s="457">
        <v>12</v>
      </c>
      <c r="AR25" s="457">
        <v>12</v>
      </c>
      <c r="AS25" s="457">
        <v>12</v>
      </c>
      <c r="AT25" s="457"/>
      <c r="AU25" s="458">
        <v>1</v>
      </c>
      <c r="AV25" s="510">
        <v>1.02531076</v>
      </c>
      <c r="AW25" s="456">
        <v>0</v>
      </c>
      <c r="AX25" s="443">
        <v>3198665271.7740026</v>
      </c>
      <c r="AY25" s="443">
        <v>285102011.16863996</v>
      </c>
      <c r="AZ25" s="443">
        <v>292318159.74884671</v>
      </c>
      <c r="BA25" s="443">
        <v>299716954.53389144</v>
      </c>
      <c r="BB25" s="443">
        <v>307303018.43802959</v>
      </c>
      <c r="BC25" s="443">
        <v>315081091.38499016</v>
      </c>
      <c r="BD25" s="443">
        <v>323056033.26957387</v>
      </c>
      <c r="BE25" s="443">
        <v>331232826.99421191</v>
      </c>
      <c r="BF25" s="443">
        <v>339616581.58238405</v>
      </c>
      <c r="BG25" s="443">
        <v>348212535.37083602</v>
      </c>
      <c r="BH25" s="443">
        <v>357026059.28259879</v>
      </c>
      <c r="BI25" s="443">
        <v>0</v>
      </c>
      <c r="BJ25" s="442">
        <v>23758500.930719998</v>
      </c>
      <c r="BK25" s="443">
        <v>23758500.930719998</v>
      </c>
      <c r="BL25" s="443">
        <v>23758500.930719998</v>
      </c>
      <c r="BM25" s="443">
        <v>23758500.930719998</v>
      </c>
      <c r="BN25" s="443">
        <v>23758500.930719998</v>
      </c>
      <c r="BO25" s="443">
        <v>23758500.930719998</v>
      </c>
      <c r="BP25" s="443">
        <v>23758500.930719998</v>
      </c>
      <c r="BQ25" s="443">
        <v>23758500.930719998</v>
      </c>
      <c r="BR25" s="443">
        <v>23758500.930719998</v>
      </c>
      <c r="BS25" s="443">
        <v>23758500.930719998</v>
      </c>
      <c r="BT25" s="443">
        <v>23758500.930719998</v>
      </c>
      <c r="BU25" s="443">
        <v>23758500.930719998</v>
      </c>
      <c r="BV25" s="443">
        <v>24359846.645737227</v>
      </c>
      <c r="BW25" s="443">
        <v>24359846.645737227</v>
      </c>
      <c r="BX25" s="443">
        <v>24359846.645737227</v>
      </c>
      <c r="BY25" s="443">
        <v>24359846.645737227</v>
      </c>
      <c r="BZ25" s="443">
        <v>24359846.645737227</v>
      </c>
      <c r="CA25" s="443">
        <v>24359846.645737227</v>
      </c>
      <c r="CB25" s="443">
        <v>24359846.645737227</v>
      </c>
      <c r="CC25" s="443">
        <v>24359846.645737227</v>
      </c>
      <c r="CD25" s="443">
        <v>24359846.645737227</v>
      </c>
      <c r="CE25" s="443">
        <v>24359846.645737227</v>
      </c>
      <c r="CF25" s="443">
        <v>24359846.645737227</v>
      </c>
      <c r="CG25" s="443">
        <v>24359846.645737227</v>
      </c>
      <c r="CH25" s="443">
        <v>24976412.877824288</v>
      </c>
      <c r="CI25" s="443">
        <v>24976412.877824288</v>
      </c>
      <c r="CJ25" s="443">
        <v>24976412.877824288</v>
      </c>
      <c r="CK25" s="443">
        <v>24976412.877824288</v>
      </c>
      <c r="CL25" s="443">
        <v>24976412.877824288</v>
      </c>
      <c r="CM25" s="443">
        <v>24976412.877824288</v>
      </c>
      <c r="CN25" s="443">
        <v>24976412.877824288</v>
      </c>
      <c r="CO25" s="443">
        <v>24976412.877824288</v>
      </c>
      <c r="CP25" s="443">
        <v>24976412.877824288</v>
      </c>
      <c r="CQ25" s="443">
        <v>24976412.877824288</v>
      </c>
      <c r="CR25" s="443">
        <v>24976412.877824288</v>
      </c>
      <c r="CS25" s="443">
        <v>24976412.877824288</v>
      </c>
      <c r="CT25" s="443">
        <v>25608584.869835805</v>
      </c>
      <c r="CU25" s="443">
        <v>25608584.869835805</v>
      </c>
      <c r="CV25" s="443">
        <v>25608584.869835805</v>
      </c>
      <c r="CW25" s="443">
        <v>25608584.869835805</v>
      </c>
      <c r="CX25" s="443">
        <v>25608584.869835805</v>
      </c>
      <c r="CY25" s="443">
        <v>25608584.869835805</v>
      </c>
      <c r="CZ25" s="443">
        <v>25608584.869835805</v>
      </c>
      <c r="DA25" s="443">
        <v>25608584.869835805</v>
      </c>
      <c r="DB25" s="443">
        <v>25608584.869835805</v>
      </c>
      <c r="DC25" s="443">
        <v>25608584.869835805</v>
      </c>
      <c r="DD25" s="443">
        <v>25608584.869835805</v>
      </c>
      <c r="DE25" s="443">
        <v>25608584.869835805</v>
      </c>
      <c r="DF25" s="443">
        <v>26256757.615415849</v>
      </c>
      <c r="DG25" s="443">
        <v>26256757.615415849</v>
      </c>
      <c r="DH25" s="443">
        <v>26256757.615415849</v>
      </c>
      <c r="DI25" s="443">
        <v>26256757.615415849</v>
      </c>
      <c r="DJ25" s="443">
        <v>26256757.615415849</v>
      </c>
      <c r="DK25" s="443">
        <v>26256757.615415849</v>
      </c>
      <c r="DL25" s="443">
        <v>26256757.615415849</v>
      </c>
      <c r="DM25" s="443">
        <v>26256757.615415849</v>
      </c>
      <c r="DN25" s="443">
        <v>26256757.615415849</v>
      </c>
      <c r="DO25" s="443">
        <v>26256757.615415849</v>
      </c>
      <c r="DP25" s="443">
        <v>26256757.615415849</v>
      </c>
      <c r="DQ25" s="443">
        <v>26256757.615415849</v>
      </c>
      <c r="DR25" s="443">
        <v>26921336.105797812</v>
      </c>
      <c r="DS25" s="443">
        <v>26921336.105797812</v>
      </c>
      <c r="DT25" s="443">
        <v>26921336.105797812</v>
      </c>
      <c r="DU25" s="443">
        <v>26921336.105797812</v>
      </c>
      <c r="DV25" s="443">
        <v>26921336.105797812</v>
      </c>
      <c r="DW25" s="443">
        <v>26921336.105797812</v>
      </c>
      <c r="DX25" s="443">
        <v>26921336.105797812</v>
      </c>
      <c r="DY25" s="443">
        <v>26921336.105797812</v>
      </c>
      <c r="DZ25" s="443">
        <v>26921336.105797812</v>
      </c>
      <c r="EA25" s="443">
        <v>26921336.105797812</v>
      </c>
      <c r="EB25" s="443">
        <v>26921336.105797812</v>
      </c>
      <c r="EC25" s="443">
        <v>26921336.105797812</v>
      </c>
      <c r="ED25" s="443">
        <v>27602735.582850993</v>
      </c>
      <c r="EE25" s="443">
        <v>27602735.582850993</v>
      </c>
      <c r="EF25" s="443">
        <v>27602735.582850993</v>
      </c>
      <c r="EG25" s="443">
        <v>27602735.582850993</v>
      </c>
      <c r="EH25" s="443">
        <v>27602735.582850993</v>
      </c>
      <c r="EI25" s="443">
        <v>27602735.582850993</v>
      </c>
      <c r="EJ25" s="443">
        <v>27602735.582850993</v>
      </c>
      <c r="EK25" s="443">
        <v>27602735.582850993</v>
      </c>
      <c r="EL25" s="443">
        <v>27602735.582850993</v>
      </c>
      <c r="EM25" s="443">
        <v>27602735.582850993</v>
      </c>
      <c r="EN25" s="443">
        <v>27602735.582850993</v>
      </c>
      <c r="EO25" s="443">
        <v>27602735.582850993</v>
      </c>
      <c r="EP25" s="443">
        <v>28301381.798531994</v>
      </c>
      <c r="EQ25" s="443">
        <v>28301381.798531994</v>
      </c>
      <c r="ER25" s="443">
        <v>28301381.798531994</v>
      </c>
      <c r="ES25" s="443">
        <v>28301381.798531994</v>
      </c>
      <c r="ET25" s="443">
        <v>28301381.798531994</v>
      </c>
      <c r="EU25" s="443">
        <v>28301381.798531994</v>
      </c>
      <c r="EV25" s="443">
        <v>28301381.798531994</v>
      </c>
      <c r="EW25" s="443">
        <v>28301381.798531994</v>
      </c>
      <c r="EX25" s="443">
        <v>28301381.798531994</v>
      </c>
      <c r="EY25" s="443">
        <v>28301381.798531994</v>
      </c>
      <c r="EZ25" s="443">
        <v>28301381.798531994</v>
      </c>
      <c r="FA25" s="443">
        <v>28301381.798531994</v>
      </c>
      <c r="FB25" s="443">
        <v>29017711.280903008</v>
      </c>
      <c r="FC25" s="443">
        <v>29017711.280903008</v>
      </c>
      <c r="FD25" s="443">
        <v>29017711.280903008</v>
      </c>
      <c r="FE25" s="443">
        <v>29017711.280903008</v>
      </c>
      <c r="FF25" s="443">
        <v>29017711.280903008</v>
      </c>
      <c r="FG25" s="443">
        <v>29017711.280903008</v>
      </c>
      <c r="FH25" s="443">
        <v>29017711.280903008</v>
      </c>
      <c r="FI25" s="443">
        <v>29017711.280903008</v>
      </c>
      <c r="FJ25" s="443">
        <v>29017711.280903008</v>
      </c>
      <c r="FK25" s="443">
        <v>29017711.280903008</v>
      </c>
      <c r="FL25" s="443">
        <v>29017711.280903008</v>
      </c>
      <c r="FM25" s="443">
        <v>29017711.280903008</v>
      </c>
      <c r="FN25" s="443">
        <v>29752171.606883235</v>
      </c>
      <c r="FO25" s="443">
        <v>29752171.606883235</v>
      </c>
      <c r="FP25" s="443">
        <v>29752171.606883235</v>
      </c>
      <c r="FQ25" s="443">
        <v>29752171.606883235</v>
      </c>
      <c r="FR25" s="443">
        <v>29752171.606883235</v>
      </c>
      <c r="FS25" s="443">
        <v>29752171.606883235</v>
      </c>
      <c r="FT25" s="443">
        <v>29752171.606883235</v>
      </c>
      <c r="FU25" s="443">
        <v>29752171.606883235</v>
      </c>
      <c r="FV25" s="443">
        <v>29752171.606883235</v>
      </c>
      <c r="FW25" s="443">
        <v>29752171.606883235</v>
      </c>
      <c r="FX25" s="443">
        <v>29752171.606883235</v>
      </c>
      <c r="FY25" s="443">
        <v>29752171.606883235</v>
      </c>
      <c r="FZ25" s="443">
        <v>0</v>
      </c>
      <c r="GA25" s="443">
        <v>0</v>
      </c>
      <c r="GB25" s="443">
        <v>0</v>
      </c>
      <c r="GC25" s="443">
        <v>0</v>
      </c>
      <c r="GD25" s="443">
        <v>0</v>
      </c>
      <c r="GE25" s="443">
        <v>0</v>
      </c>
      <c r="GF25" s="443">
        <v>0</v>
      </c>
      <c r="GG25" s="443">
        <v>0</v>
      </c>
      <c r="GH25" s="443">
        <v>0</v>
      </c>
      <c r="GI25" s="443">
        <v>0</v>
      </c>
      <c r="GJ25" s="443">
        <v>0</v>
      </c>
      <c r="GK25" s="443">
        <v>0</v>
      </c>
      <c r="GL25" s="442">
        <v>23758500.930719998</v>
      </c>
      <c r="GM25" s="443">
        <v>23758500.930719998</v>
      </c>
      <c r="GN25" s="443">
        <v>23758500.930719998</v>
      </c>
      <c r="GO25" s="443">
        <v>23758500.930719998</v>
      </c>
      <c r="GP25" s="443">
        <v>23758500.930719998</v>
      </c>
      <c r="GQ25" s="443">
        <v>23758500.930719998</v>
      </c>
      <c r="GR25" s="443">
        <v>23758500.930719998</v>
      </c>
      <c r="GS25" s="443">
        <v>23758500.930719998</v>
      </c>
      <c r="GT25" s="443">
        <v>23758500.930719998</v>
      </c>
      <c r="GU25" s="443">
        <v>23758500.930719998</v>
      </c>
      <c r="GV25" s="443">
        <v>23758500.930719998</v>
      </c>
      <c r="GW25" s="443">
        <v>23758500.930719998</v>
      </c>
      <c r="GX25" s="443">
        <v>24359846.645737227</v>
      </c>
      <c r="GY25" s="443">
        <v>24359846.645737227</v>
      </c>
      <c r="GZ25" s="443">
        <v>24359846.645737227</v>
      </c>
      <c r="HA25" s="443">
        <v>24359846.645737227</v>
      </c>
      <c r="HB25" s="443">
        <v>24359846.645737227</v>
      </c>
      <c r="HC25" s="443">
        <v>24359846.645737227</v>
      </c>
      <c r="HD25" s="443">
        <v>24359846.645737227</v>
      </c>
      <c r="HE25" s="443">
        <v>24359846.645737227</v>
      </c>
      <c r="HF25" s="443">
        <v>24359846.645737227</v>
      </c>
      <c r="HG25" s="443">
        <v>24359846.645737227</v>
      </c>
      <c r="HH25" s="443">
        <v>24359846.645737227</v>
      </c>
      <c r="HI25" s="443">
        <v>24359846.645737227</v>
      </c>
      <c r="HJ25" s="443">
        <v>24976412.877824288</v>
      </c>
      <c r="HK25" s="443">
        <v>24976412.877824288</v>
      </c>
      <c r="HL25" s="443">
        <v>24976412.877824288</v>
      </c>
      <c r="HM25" s="443">
        <v>24976412.877824288</v>
      </c>
      <c r="HN25" s="443">
        <v>24976412.877824288</v>
      </c>
      <c r="HO25" s="443">
        <v>24976412.877824288</v>
      </c>
      <c r="HP25" s="443">
        <v>24976412.877824288</v>
      </c>
      <c r="HQ25" s="443">
        <v>24976412.877824288</v>
      </c>
      <c r="HR25" s="443">
        <v>24976412.877824288</v>
      </c>
      <c r="HS25" s="443">
        <v>24976412.877824288</v>
      </c>
      <c r="HT25" s="443">
        <v>24976412.877824288</v>
      </c>
      <c r="HU25" s="443">
        <v>24976412.877824288</v>
      </c>
      <c r="HV25" s="443">
        <v>25608584.869835805</v>
      </c>
      <c r="HW25" s="443">
        <v>25608584.869835805</v>
      </c>
      <c r="HX25" s="443">
        <v>25608584.869835805</v>
      </c>
      <c r="HY25" s="443">
        <v>25608584.869835805</v>
      </c>
      <c r="HZ25" s="443">
        <v>25608584.869835805</v>
      </c>
      <c r="IA25" s="443">
        <v>25608584.869835805</v>
      </c>
      <c r="IB25" s="443">
        <v>25608584.869835805</v>
      </c>
      <c r="IC25" s="443">
        <v>25608584.869835805</v>
      </c>
      <c r="ID25" s="443">
        <v>25608584.869835805</v>
      </c>
      <c r="IE25" s="443">
        <v>25608584.869835805</v>
      </c>
      <c r="IF25" s="443">
        <v>25608584.869835805</v>
      </c>
      <c r="IG25" s="443">
        <v>25608584.869835805</v>
      </c>
      <c r="IH25" s="443">
        <v>26256757.615415849</v>
      </c>
      <c r="II25" s="443">
        <v>26256757.615415849</v>
      </c>
      <c r="IJ25" s="443">
        <v>26256757.615415849</v>
      </c>
      <c r="IK25" s="443">
        <v>26256757.615415849</v>
      </c>
      <c r="IL25" s="443">
        <v>26256757.615415849</v>
      </c>
      <c r="IM25" s="443">
        <v>26256757.615415849</v>
      </c>
      <c r="IN25" s="443">
        <v>26256757.615415849</v>
      </c>
      <c r="IO25" s="443">
        <v>26256757.615415849</v>
      </c>
      <c r="IP25" s="443">
        <v>26256757.615415849</v>
      </c>
      <c r="IQ25" s="443">
        <v>26256757.615415849</v>
      </c>
      <c r="IR25" s="443">
        <v>26256757.615415849</v>
      </c>
      <c r="IS25" s="443">
        <v>26256757.615415849</v>
      </c>
      <c r="IT25" s="443">
        <v>26921336.105797812</v>
      </c>
      <c r="IU25" s="443">
        <v>26921336.105797812</v>
      </c>
      <c r="IV25" s="443">
        <v>26921336.105797812</v>
      </c>
      <c r="IW25" s="443">
        <v>26921336.105797812</v>
      </c>
      <c r="IX25" s="443">
        <v>26921336.105797812</v>
      </c>
      <c r="IY25" s="443">
        <v>26921336.105797812</v>
      </c>
      <c r="IZ25" s="443">
        <v>26921336.105797812</v>
      </c>
      <c r="JA25" s="443">
        <v>26921336.105797812</v>
      </c>
      <c r="JB25" s="443">
        <v>26921336.105797812</v>
      </c>
      <c r="JC25" s="443">
        <v>26921336.105797812</v>
      </c>
      <c r="JD25" s="443">
        <v>26921336.105797812</v>
      </c>
      <c r="JE25" s="443">
        <v>26921336.105797812</v>
      </c>
      <c r="JF25" s="443">
        <v>27602735.582850993</v>
      </c>
      <c r="JG25" s="443">
        <v>27602735.582850993</v>
      </c>
      <c r="JH25" s="443">
        <v>27602735.582850993</v>
      </c>
      <c r="JI25" s="443">
        <v>27602735.582850993</v>
      </c>
      <c r="JJ25" s="443">
        <v>27602735.582850993</v>
      </c>
      <c r="JK25" s="443">
        <v>27602735.582850993</v>
      </c>
      <c r="JL25" s="443">
        <v>27602735.582850993</v>
      </c>
      <c r="JM25" s="443">
        <v>27602735.582850993</v>
      </c>
      <c r="JN25" s="443">
        <v>27602735.582850993</v>
      </c>
      <c r="JO25" s="443">
        <v>27602735.582850993</v>
      </c>
      <c r="JP25" s="443">
        <v>27602735.582850993</v>
      </c>
      <c r="JQ25" s="443">
        <v>27602735.582850993</v>
      </c>
      <c r="JR25" s="443">
        <v>28301381.798531994</v>
      </c>
      <c r="JS25" s="443">
        <v>28301381.798531994</v>
      </c>
      <c r="JT25" s="443">
        <v>28301381.798531994</v>
      </c>
      <c r="JU25" s="443">
        <v>28301381.798531994</v>
      </c>
      <c r="JV25" s="443">
        <v>28301381.798531994</v>
      </c>
      <c r="JW25" s="443">
        <v>28301381.798531994</v>
      </c>
      <c r="JX25" s="443">
        <v>28301381.798531994</v>
      </c>
      <c r="JY25" s="443">
        <v>28301381.798531994</v>
      </c>
      <c r="JZ25" s="443">
        <v>28301381.798531994</v>
      </c>
      <c r="KA25" s="443">
        <v>28301381.798531994</v>
      </c>
      <c r="KB25" s="443">
        <v>28301381.798531994</v>
      </c>
      <c r="KC25" s="443">
        <v>28301381.798531994</v>
      </c>
      <c r="KD25" s="443">
        <v>29017711.280903008</v>
      </c>
      <c r="KE25" s="443">
        <v>29017711.280903008</v>
      </c>
      <c r="KF25" s="443">
        <v>29017711.280903008</v>
      </c>
      <c r="KG25" s="443">
        <v>29017711.280903008</v>
      </c>
      <c r="KH25" s="443">
        <v>29017711.280903008</v>
      </c>
      <c r="KI25" s="443">
        <v>29017711.280903008</v>
      </c>
      <c r="KJ25" s="443">
        <v>29017711.280903008</v>
      </c>
      <c r="KK25" s="443">
        <v>29017711.280903008</v>
      </c>
      <c r="KL25" s="443">
        <v>29017711.280903008</v>
      </c>
      <c r="KM25" s="443">
        <v>29017711.280903008</v>
      </c>
      <c r="KN25" s="443">
        <v>29017711.280903008</v>
      </c>
      <c r="KO25" s="443">
        <v>29017711.280903008</v>
      </c>
      <c r="KP25" s="443">
        <v>29752171.606883235</v>
      </c>
      <c r="KQ25" s="443">
        <v>29752171.606883235</v>
      </c>
      <c r="KR25" s="443">
        <v>29752171.606883235</v>
      </c>
      <c r="KS25" s="443">
        <v>29752171.606883235</v>
      </c>
      <c r="KT25" s="443">
        <v>29752171.606883235</v>
      </c>
      <c r="KU25" s="443">
        <v>29752171.606883235</v>
      </c>
      <c r="KV25" s="443">
        <v>29752171.606883235</v>
      </c>
      <c r="KW25" s="443">
        <v>29752171.606883235</v>
      </c>
      <c r="KX25" s="443">
        <v>29752171.606883235</v>
      </c>
      <c r="KY25" s="443">
        <v>29752171.606883235</v>
      </c>
      <c r="KZ25" s="443">
        <v>29752171.606883235</v>
      </c>
      <c r="LA25" s="33">
        <v>29752171.606883235</v>
      </c>
      <c r="LB25" s="27"/>
    </row>
    <row r="26" spans="1:314">
      <c r="A26" s="459" t="s">
        <v>1003</v>
      </c>
      <c r="B26" s="463" t="s">
        <v>1199</v>
      </c>
      <c r="C26" s="463" t="s">
        <v>159</v>
      </c>
      <c r="D26" s="456" t="s">
        <v>1432</v>
      </c>
      <c r="E26" s="463" t="s">
        <v>1434</v>
      </c>
      <c r="F26" s="456"/>
      <c r="G26" s="456"/>
      <c r="H26" s="456"/>
      <c r="I26" s="456"/>
      <c r="J26" s="456" t="s">
        <v>1417</v>
      </c>
      <c r="K26" s="456">
        <v>0</v>
      </c>
      <c r="L26" s="456" t="s">
        <v>899</v>
      </c>
      <c r="M26" s="470">
        <v>0</v>
      </c>
      <c r="N26" s="470">
        <v>8</v>
      </c>
      <c r="O26" s="470">
        <v>8</v>
      </c>
      <c r="P26" s="470">
        <v>8</v>
      </c>
      <c r="Q26" s="470">
        <v>8</v>
      </c>
      <c r="R26" s="470">
        <v>8</v>
      </c>
      <c r="S26" s="470">
        <v>8</v>
      </c>
      <c r="T26" s="470">
        <v>8</v>
      </c>
      <c r="U26" s="470">
        <v>8</v>
      </c>
      <c r="V26" s="470">
        <v>8</v>
      </c>
      <c r="W26" s="470">
        <v>0</v>
      </c>
      <c r="X26" s="457">
        <v>0</v>
      </c>
      <c r="Y26" s="472">
        <v>4100791.006118685</v>
      </c>
      <c r="Z26" s="472">
        <v>4204585.1430847133</v>
      </c>
      <c r="AA26" s="472">
        <v>4311006.3885408957</v>
      </c>
      <c r="AB26" s="472">
        <v>4420121.236599721</v>
      </c>
      <c r="AC26" s="472">
        <v>4531997.8643902</v>
      </c>
      <c r="AD26" s="472">
        <v>4646706.1746562924</v>
      </c>
      <c r="AE26" s="472">
        <v>4764317.8394335359</v>
      </c>
      <c r="AF26" s="472">
        <v>4884906.3448311565</v>
      </c>
      <c r="AG26" s="472">
        <v>5008547.0369476555</v>
      </c>
      <c r="AH26" s="472">
        <v>5135317.1689485488</v>
      </c>
      <c r="AI26" s="472">
        <v>0</v>
      </c>
      <c r="AJ26" s="457">
        <v>12</v>
      </c>
      <c r="AK26" s="457">
        <v>12</v>
      </c>
      <c r="AL26" s="457">
        <v>12</v>
      </c>
      <c r="AM26" s="457">
        <v>12</v>
      </c>
      <c r="AN26" s="457">
        <v>12</v>
      </c>
      <c r="AO26" s="457">
        <v>12</v>
      </c>
      <c r="AP26" s="457">
        <v>12</v>
      </c>
      <c r="AQ26" s="457">
        <v>12</v>
      </c>
      <c r="AR26" s="457">
        <v>12</v>
      </c>
      <c r="AS26" s="457">
        <v>12</v>
      </c>
      <c r="AT26" s="457"/>
      <c r="AU26" s="458">
        <v>1</v>
      </c>
      <c r="AV26" s="510">
        <v>1.02531076</v>
      </c>
      <c r="AW26" s="456">
        <v>0</v>
      </c>
      <c r="AX26" s="443">
        <v>4023120498.9535403</v>
      </c>
      <c r="AY26" s="443">
        <v>0</v>
      </c>
      <c r="AZ26" s="443">
        <v>403640173.73613244</v>
      </c>
      <c r="BA26" s="443">
        <v>413856613.29992586</v>
      </c>
      <c r="BB26" s="443">
        <v>424331638.71357322</v>
      </c>
      <c r="BC26" s="443">
        <v>435071794.98145932</v>
      </c>
      <c r="BD26" s="443">
        <v>446083792.76700419</v>
      </c>
      <c r="BE26" s="443">
        <v>457374512.58561945</v>
      </c>
      <c r="BF26" s="443">
        <v>468951009.10379094</v>
      </c>
      <c r="BG26" s="443">
        <v>480820515.54697484</v>
      </c>
      <c r="BH26" s="443">
        <v>492990448.2190606</v>
      </c>
      <c r="BI26" s="443">
        <v>0</v>
      </c>
      <c r="BJ26" s="442">
        <v>0</v>
      </c>
      <c r="BK26" s="443">
        <v>0</v>
      </c>
      <c r="BL26" s="443">
        <v>0</v>
      </c>
      <c r="BM26" s="443">
        <v>0</v>
      </c>
      <c r="BN26" s="443">
        <v>0</v>
      </c>
      <c r="BO26" s="443">
        <v>0</v>
      </c>
      <c r="BP26" s="443">
        <v>0</v>
      </c>
      <c r="BQ26" s="443">
        <v>0</v>
      </c>
      <c r="BR26" s="443">
        <v>0</v>
      </c>
      <c r="BS26" s="443">
        <v>0</v>
      </c>
      <c r="BT26" s="443">
        <v>0</v>
      </c>
      <c r="BU26" s="443">
        <v>0</v>
      </c>
      <c r="BV26" s="443">
        <v>33636681.144677706</v>
      </c>
      <c r="BW26" s="443">
        <v>33636681.144677706</v>
      </c>
      <c r="BX26" s="443">
        <v>33636681.144677706</v>
      </c>
      <c r="BY26" s="443">
        <v>33636681.144677706</v>
      </c>
      <c r="BZ26" s="443">
        <v>33636681.144677706</v>
      </c>
      <c r="CA26" s="443">
        <v>33636681.144677706</v>
      </c>
      <c r="CB26" s="443">
        <v>33636681.144677706</v>
      </c>
      <c r="CC26" s="443">
        <v>33636681.144677706</v>
      </c>
      <c r="CD26" s="443">
        <v>33636681.144677706</v>
      </c>
      <c r="CE26" s="443">
        <v>33636681.144677706</v>
      </c>
      <c r="CF26" s="443">
        <v>33636681.144677706</v>
      </c>
      <c r="CG26" s="443">
        <v>33636681.144677706</v>
      </c>
      <c r="CH26" s="443">
        <v>34488051.108327165</v>
      </c>
      <c r="CI26" s="443">
        <v>34488051.108327165</v>
      </c>
      <c r="CJ26" s="443">
        <v>34488051.108327165</v>
      </c>
      <c r="CK26" s="443">
        <v>34488051.108327165</v>
      </c>
      <c r="CL26" s="443">
        <v>34488051.108327165</v>
      </c>
      <c r="CM26" s="443">
        <v>34488051.108327165</v>
      </c>
      <c r="CN26" s="443">
        <v>34488051.108327165</v>
      </c>
      <c r="CO26" s="443">
        <v>34488051.108327165</v>
      </c>
      <c r="CP26" s="443">
        <v>34488051.108327165</v>
      </c>
      <c r="CQ26" s="443">
        <v>34488051.108327165</v>
      </c>
      <c r="CR26" s="443">
        <v>34488051.108327165</v>
      </c>
      <c r="CS26" s="443">
        <v>34488051.108327165</v>
      </c>
      <c r="CT26" s="443">
        <v>35360969.892797768</v>
      </c>
      <c r="CU26" s="443">
        <v>35360969.892797768</v>
      </c>
      <c r="CV26" s="443">
        <v>35360969.892797768</v>
      </c>
      <c r="CW26" s="443">
        <v>35360969.892797768</v>
      </c>
      <c r="CX26" s="443">
        <v>35360969.892797768</v>
      </c>
      <c r="CY26" s="443">
        <v>35360969.892797768</v>
      </c>
      <c r="CZ26" s="443">
        <v>35360969.892797768</v>
      </c>
      <c r="DA26" s="443">
        <v>35360969.892797768</v>
      </c>
      <c r="DB26" s="443">
        <v>35360969.892797768</v>
      </c>
      <c r="DC26" s="443">
        <v>35360969.892797768</v>
      </c>
      <c r="DD26" s="443">
        <v>35360969.892797768</v>
      </c>
      <c r="DE26" s="443">
        <v>35360969.892797768</v>
      </c>
      <c r="DF26" s="443">
        <v>36255982.9151216</v>
      </c>
      <c r="DG26" s="443">
        <v>36255982.9151216</v>
      </c>
      <c r="DH26" s="443">
        <v>36255982.9151216</v>
      </c>
      <c r="DI26" s="443">
        <v>36255982.9151216</v>
      </c>
      <c r="DJ26" s="443">
        <v>36255982.9151216</v>
      </c>
      <c r="DK26" s="443">
        <v>36255982.9151216</v>
      </c>
      <c r="DL26" s="443">
        <v>36255982.9151216</v>
      </c>
      <c r="DM26" s="443">
        <v>36255982.9151216</v>
      </c>
      <c r="DN26" s="443">
        <v>36255982.9151216</v>
      </c>
      <c r="DO26" s="443">
        <v>36255982.9151216</v>
      </c>
      <c r="DP26" s="443">
        <v>36255982.9151216</v>
      </c>
      <c r="DQ26" s="443">
        <v>36255982.9151216</v>
      </c>
      <c r="DR26" s="443">
        <v>37173649.397250339</v>
      </c>
      <c r="DS26" s="443">
        <v>37173649.397250339</v>
      </c>
      <c r="DT26" s="443">
        <v>37173649.397250339</v>
      </c>
      <c r="DU26" s="443">
        <v>37173649.397250339</v>
      </c>
      <c r="DV26" s="443">
        <v>37173649.397250339</v>
      </c>
      <c r="DW26" s="443">
        <v>37173649.397250339</v>
      </c>
      <c r="DX26" s="443">
        <v>37173649.397250339</v>
      </c>
      <c r="DY26" s="443">
        <v>37173649.397250339</v>
      </c>
      <c r="DZ26" s="443">
        <v>37173649.397250339</v>
      </c>
      <c r="EA26" s="443">
        <v>37173649.397250339</v>
      </c>
      <c r="EB26" s="443">
        <v>37173649.397250339</v>
      </c>
      <c r="EC26" s="443">
        <v>37173649.397250339</v>
      </c>
      <c r="ED26" s="443">
        <v>38114542.715468287</v>
      </c>
      <c r="EE26" s="443">
        <v>38114542.715468287</v>
      </c>
      <c r="EF26" s="443">
        <v>38114542.715468287</v>
      </c>
      <c r="EG26" s="443">
        <v>38114542.715468287</v>
      </c>
      <c r="EH26" s="443">
        <v>38114542.715468287</v>
      </c>
      <c r="EI26" s="443">
        <v>38114542.715468287</v>
      </c>
      <c r="EJ26" s="443">
        <v>38114542.715468287</v>
      </c>
      <c r="EK26" s="443">
        <v>38114542.715468287</v>
      </c>
      <c r="EL26" s="443">
        <v>38114542.715468287</v>
      </c>
      <c r="EM26" s="443">
        <v>38114542.715468287</v>
      </c>
      <c r="EN26" s="443">
        <v>38114542.715468287</v>
      </c>
      <c r="EO26" s="443">
        <v>38114542.715468287</v>
      </c>
      <c r="EP26" s="443">
        <v>39079250.758649252</v>
      </c>
      <c r="EQ26" s="443">
        <v>39079250.758649252</v>
      </c>
      <c r="ER26" s="443">
        <v>39079250.758649252</v>
      </c>
      <c r="ES26" s="443">
        <v>39079250.758649252</v>
      </c>
      <c r="ET26" s="443">
        <v>39079250.758649252</v>
      </c>
      <c r="EU26" s="443">
        <v>39079250.758649252</v>
      </c>
      <c r="EV26" s="443">
        <v>39079250.758649252</v>
      </c>
      <c r="EW26" s="443">
        <v>39079250.758649252</v>
      </c>
      <c r="EX26" s="443">
        <v>39079250.758649252</v>
      </c>
      <c r="EY26" s="443">
        <v>39079250.758649252</v>
      </c>
      <c r="EZ26" s="443">
        <v>39079250.758649252</v>
      </c>
      <c r="FA26" s="443">
        <v>39079250.758649252</v>
      </c>
      <c r="FB26" s="443">
        <v>40068376.295581244</v>
      </c>
      <c r="FC26" s="443">
        <v>40068376.295581244</v>
      </c>
      <c r="FD26" s="443">
        <v>40068376.295581244</v>
      </c>
      <c r="FE26" s="443">
        <v>40068376.295581244</v>
      </c>
      <c r="FF26" s="443">
        <v>40068376.295581244</v>
      </c>
      <c r="FG26" s="443">
        <v>40068376.295581244</v>
      </c>
      <c r="FH26" s="443">
        <v>40068376.295581244</v>
      </c>
      <c r="FI26" s="443">
        <v>40068376.295581244</v>
      </c>
      <c r="FJ26" s="443">
        <v>40068376.295581244</v>
      </c>
      <c r="FK26" s="443">
        <v>40068376.295581244</v>
      </c>
      <c r="FL26" s="443">
        <v>40068376.295581244</v>
      </c>
      <c r="FM26" s="443">
        <v>40068376.295581244</v>
      </c>
      <c r="FN26" s="443">
        <v>41082537.351588391</v>
      </c>
      <c r="FO26" s="443">
        <v>41082537.351588391</v>
      </c>
      <c r="FP26" s="443">
        <v>41082537.351588391</v>
      </c>
      <c r="FQ26" s="443">
        <v>41082537.351588391</v>
      </c>
      <c r="FR26" s="443">
        <v>41082537.351588391</v>
      </c>
      <c r="FS26" s="443">
        <v>41082537.351588391</v>
      </c>
      <c r="FT26" s="443">
        <v>41082537.351588391</v>
      </c>
      <c r="FU26" s="443">
        <v>41082537.351588391</v>
      </c>
      <c r="FV26" s="443">
        <v>41082537.351588391</v>
      </c>
      <c r="FW26" s="443">
        <v>41082537.351588391</v>
      </c>
      <c r="FX26" s="443">
        <v>41082537.351588391</v>
      </c>
      <c r="FY26" s="443">
        <v>41082537.351588391</v>
      </c>
      <c r="FZ26" s="443">
        <v>0</v>
      </c>
      <c r="GA26" s="443">
        <v>0</v>
      </c>
      <c r="GB26" s="443">
        <v>0</v>
      </c>
      <c r="GC26" s="443">
        <v>0</v>
      </c>
      <c r="GD26" s="443">
        <v>0</v>
      </c>
      <c r="GE26" s="443">
        <v>0</v>
      </c>
      <c r="GF26" s="443">
        <v>0</v>
      </c>
      <c r="GG26" s="443">
        <v>0</v>
      </c>
      <c r="GH26" s="443">
        <v>0</v>
      </c>
      <c r="GI26" s="443">
        <v>0</v>
      </c>
      <c r="GJ26" s="443">
        <v>0</v>
      </c>
      <c r="GK26" s="443">
        <v>0</v>
      </c>
      <c r="GL26" s="442">
        <v>0</v>
      </c>
      <c r="GM26" s="443">
        <v>0</v>
      </c>
      <c r="GN26" s="443">
        <v>0</v>
      </c>
      <c r="GO26" s="443">
        <v>0</v>
      </c>
      <c r="GP26" s="443">
        <v>0</v>
      </c>
      <c r="GQ26" s="443">
        <v>0</v>
      </c>
      <c r="GR26" s="443">
        <v>0</v>
      </c>
      <c r="GS26" s="443">
        <v>0</v>
      </c>
      <c r="GT26" s="443">
        <v>0</v>
      </c>
      <c r="GU26" s="443">
        <v>0</v>
      </c>
      <c r="GV26" s="443">
        <v>0</v>
      </c>
      <c r="GW26" s="443">
        <v>0</v>
      </c>
      <c r="GX26" s="443">
        <v>33636681.144677706</v>
      </c>
      <c r="GY26" s="443">
        <v>33636681.144677706</v>
      </c>
      <c r="GZ26" s="443">
        <v>33636681.144677706</v>
      </c>
      <c r="HA26" s="443">
        <v>33636681.144677706</v>
      </c>
      <c r="HB26" s="443">
        <v>33636681.144677706</v>
      </c>
      <c r="HC26" s="443">
        <v>33636681.144677706</v>
      </c>
      <c r="HD26" s="443">
        <v>33636681.144677706</v>
      </c>
      <c r="HE26" s="443">
        <v>33636681.144677706</v>
      </c>
      <c r="HF26" s="443">
        <v>33636681.144677706</v>
      </c>
      <c r="HG26" s="443">
        <v>33636681.144677706</v>
      </c>
      <c r="HH26" s="443">
        <v>33636681.144677706</v>
      </c>
      <c r="HI26" s="443">
        <v>33636681.144677706</v>
      </c>
      <c r="HJ26" s="443">
        <v>34488051.108327165</v>
      </c>
      <c r="HK26" s="443">
        <v>34488051.108327165</v>
      </c>
      <c r="HL26" s="443">
        <v>34488051.108327165</v>
      </c>
      <c r="HM26" s="443">
        <v>34488051.108327165</v>
      </c>
      <c r="HN26" s="443">
        <v>34488051.108327165</v>
      </c>
      <c r="HO26" s="443">
        <v>34488051.108327165</v>
      </c>
      <c r="HP26" s="443">
        <v>34488051.108327165</v>
      </c>
      <c r="HQ26" s="443">
        <v>34488051.108327165</v>
      </c>
      <c r="HR26" s="443">
        <v>34488051.108327165</v>
      </c>
      <c r="HS26" s="443">
        <v>34488051.108327165</v>
      </c>
      <c r="HT26" s="443">
        <v>34488051.108327165</v>
      </c>
      <c r="HU26" s="443">
        <v>34488051.108327165</v>
      </c>
      <c r="HV26" s="443">
        <v>35360969.892797768</v>
      </c>
      <c r="HW26" s="443">
        <v>35360969.892797768</v>
      </c>
      <c r="HX26" s="443">
        <v>35360969.892797768</v>
      </c>
      <c r="HY26" s="443">
        <v>35360969.892797768</v>
      </c>
      <c r="HZ26" s="443">
        <v>35360969.892797768</v>
      </c>
      <c r="IA26" s="443">
        <v>35360969.892797768</v>
      </c>
      <c r="IB26" s="443">
        <v>35360969.892797768</v>
      </c>
      <c r="IC26" s="443">
        <v>35360969.892797768</v>
      </c>
      <c r="ID26" s="443">
        <v>35360969.892797768</v>
      </c>
      <c r="IE26" s="443">
        <v>35360969.892797768</v>
      </c>
      <c r="IF26" s="443">
        <v>35360969.892797768</v>
      </c>
      <c r="IG26" s="443">
        <v>35360969.892797768</v>
      </c>
      <c r="IH26" s="443">
        <v>36255982.9151216</v>
      </c>
      <c r="II26" s="443">
        <v>36255982.9151216</v>
      </c>
      <c r="IJ26" s="443">
        <v>36255982.9151216</v>
      </c>
      <c r="IK26" s="443">
        <v>36255982.9151216</v>
      </c>
      <c r="IL26" s="443">
        <v>36255982.9151216</v>
      </c>
      <c r="IM26" s="443">
        <v>36255982.9151216</v>
      </c>
      <c r="IN26" s="443">
        <v>36255982.9151216</v>
      </c>
      <c r="IO26" s="443">
        <v>36255982.9151216</v>
      </c>
      <c r="IP26" s="443">
        <v>36255982.9151216</v>
      </c>
      <c r="IQ26" s="443">
        <v>36255982.9151216</v>
      </c>
      <c r="IR26" s="443">
        <v>36255982.9151216</v>
      </c>
      <c r="IS26" s="443">
        <v>36255982.9151216</v>
      </c>
      <c r="IT26" s="443">
        <v>37173649.397250339</v>
      </c>
      <c r="IU26" s="443">
        <v>37173649.397250339</v>
      </c>
      <c r="IV26" s="443">
        <v>37173649.397250339</v>
      </c>
      <c r="IW26" s="443">
        <v>37173649.397250339</v>
      </c>
      <c r="IX26" s="443">
        <v>37173649.397250339</v>
      </c>
      <c r="IY26" s="443">
        <v>37173649.397250339</v>
      </c>
      <c r="IZ26" s="443">
        <v>37173649.397250339</v>
      </c>
      <c r="JA26" s="443">
        <v>37173649.397250339</v>
      </c>
      <c r="JB26" s="443">
        <v>37173649.397250339</v>
      </c>
      <c r="JC26" s="443">
        <v>37173649.397250339</v>
      </c>
      <c r="JD26" s="443">
        <v>37173649.397250339</v>
      </c>
      <c r="JE26" s="443">
        <v>37173649.397250339</v>
      </c>
      <c r="JF26" s="443">
        <v>38114542.715468287</v>
      </c>
      <c r="JG26" s="443">
        <v>38114542.715468287</v>
      </c>
      <c r="JH26" s="443">
        <v>38114542.715468287</v>
      </c>
      <c r="JI26" s="443">
        <v>38114542.715468287</v>
      </c>
      <c r="JJ26" s="443">
        <v>38114542.715468287</v>
      </c>
      <c r="JK26" s="443">
        <v>38114542.715468287</v>
      </c>
      <c r="JL26" s="443">
        <v>38114542.715468287</v>
      </c>
      <c r="JM26" s="443">
        <v>38114542.715468287</v>
      </c>
      <c r="JN26" s="443">
        <v>38114542.715468287</v>
      </c>
      <c r="JO26" s="443">
        <v>38114542.715468287</v>
      </c>
      <c r="JP26" s="443">
        <v>38114542.715468287</v>
      </c>
      <c r="JQ26" s="443">
        <v>38114542.715468287</v>
      </c>
      <c r="JR26" s="443">
        <v>39079250.758649252</v>
      </c>
      <c r="JS26" s="443">
        <v>39079250.758649252</v>
      </c>
      <c r="JT26" s="443">
        <v>39079250.758649252</v>
      </c>
      <c r="JU26" s="443">
        <v>39079250.758649252</v>
      </c>
      <c r="JV26" s="443">
        <v>39079250.758649252</v>
      </c>
      <c r="JW26" s="443">
        <v>39079250.758649252</v>
      </c>
      <c r="JX26" s="443">
        <v>39079250.758649252</v>
      </c>
      <c r="JY26" s="443">
        <v>39079250.758649252</v>
      </c>
      <c r="JZ26" s="443">
        <v>39079250.758649252</v>
      </c>
      <c r="KA26" s="443">
        <v>39079250.758649252</v>
      </c>
      <c r="KB26" s="443">
        <v>39079250.758649252</v>
      </c>
      <c r="KC26" s="443">
        <v>39079250.758649252</v>
      </c>
      <c r="KD26" s="443">
        <v>40068376.295581244</v>
      </c>
      <c r="KE26" s="443">
        <v>40068376.295581244</v>
      </c>
      <c r="KF26" s="443">
        <v>40068376.295581244</v>
      </c>
      <c r="KG26" s="443">
        <v>40068376.295581244</v>
      </c>
      <c r="KH26" s="443">
        <v>40068376.295581244</v>
      </c>
      <c r="KI26" s="443">
        <v>40068376.295581244</v>
      </c>
      <c r="KJ26" s="443">
        <v>40068376.295581244</v>
      </c>
      <c r="KK26" s="443">
        <v>40068376.295581244</v>
      </c>
      <c r="KL26" s="443">
        <v>40068376.295581244</v>
      </c>
      <c r="KM26" s="443">
        <v>40068376.295581244</v>
      </c>
      <c r="KN26" s="443">
        <v>40068376.295581244</v>
      </c>
      <c r="KO26" s="443">
        <v>40068376.295581244</v>
      </c>
      <c r="KP26" s="443">
        <v>41082537.351588391</v>
      </c>
      <c r="KQ26" s="443">
        <v>41082537.351588391</v>
      </c>
      <c r="KR26" s="443">
        <v>41082537.351588391</v>
      </c>
      <c r="KS26" s="443">
        <v>41082537.351588391</v>
      </c>
      <c r="KT26" s="443">
        <v>41082537.351588391</v>
      </c>
      <c r="KU26" s="443">
        <v>41082537.351588391</v>
      </c>
      <c r="KV26" s="443">
        <v>41082537.351588391</v>
      </c>
      <c r="KW26" s="443">
        <v>41082537.351588391</v>
      </c>
      <c r="KX26" s="443">
        <v>41082537.351588391</v>
      </c>
      <c r="KY26" s="443">
        <v>41082537.351588391</v>
      </c>
      <c r="KZ26" s="443">
        <v>41082537.351588391</v>
      </c>
      <c r="LA26" s="33">
        <v>41082537.351588391</v>
      </c>
      <c r="LB26" s="27"/>
    </row>
    <row r="27" spans="1:314">
      <c r="A27" s="459" t="s">
        <v>1004</v>
      </c>
      <c r="B27" s="463" t="s">
        <v>1199</v>
      </c>
      <c r="C27" s="463" t="s">
        <v>176</v>
      </c>
      <c r="D27" s="456" t="s">
        <v>1433</v>
      </c>
      <c r="E27" s="463" t="s">
        <v>1434</v>
      </c>
      <c r="F27" s="456"/>
      <c r="G27" s="456"/>
      <c r="H27" s="456"/>
      <c r="I27" s="456"/>
      <c r="J27" s="456" t="s">
        <v>1417</v>
      </c>
      <c r="K27" s="456">
        <v>0</v>
      </c>
      <c r="L27" s="456" t="s">
        <v>899</v>
      </c>
      <c r="M27" s="470">
        <v>0</v>
      </c>
      <c r="N27" s="470">
        <v>0</v>
      </c>
      <c r="O27" s="470">
        <v>0</v>
      </c>
      <c r="P27" s="470">
        <v>0</v>
      </c>
      <c r="Q27" s="470">
        <v>0</v>
      </c>
      <c r="R27" s="470">
        <v>0</v>
      </c>
      <c r="S27" s="470">
        <v>0</v>
      </c>
      <c r="T27" s="470">
        <v>0</v>
      </c>
      <c r="U27" s="470">
        <v>0</v>
      </c>
      <c r="V27" s="470">
        <v>0</v>
      </c>
      <c r="W27" s="470">
        <v>0</v>
      </c>
      <c r="X27" s="457">
        <v>0</v>
      </c>
      <c r="Y27" s="472">
        <v>4100791.006118685</v>
      </c>
      <c r="Z27" s="472">
        <v>4204585.1430847133</v>
      </c>
      <c r="AA27" s="472">
        <v>4311006.3885408957</v>
      </c>
      <c r="AB27" s="472">
        <v>4420121.236599721</v>
      </c>
      <c r="AC27" s="472">
        <v>4531997.8643902</v>
      </c>
      <c r="AD27" s="472">
        <v>4646706.1746562924</v>
      </c>
      <c r="AE27" s="472">
        <v>4764317.8394335359</v>
      </c>
      <c r="AF27" s="472">
        <v>4884906.3448311565</v>
      </c>
      <c r="AG27" s="472">
        <v>5008547.0369476555</v>
      </c>
      <c r="AH27" s="472">
        <v>5135317.1689485488</v>
      </c>
      <c r="AI27" s="472">
        <v>0</v>
      </c>
      <c r="AJ27" s="457">
        <v>12</v>
      </c>
      <c r="AK27" s="457">
        <v>12</v>
      </c>
      <c r="AL27" s="457">
        <v>12</v>
      </c>
      <c r="AM27" s="457">
        <v>12</v>
      </c>
      <c r="AN27" s="457">
        <v>12</v>
      </c>
      <c r="AO27" s="457">
        <v>12</v>
      </c>
      <c r="AP27" s="457">
        <v>12</v>
      </c>
      <c r="AQ27" s="457">
        <v>12</v>
      </c>
      <c r="AR27" s="457">
        <v>12</v>
      </c>
      <c r="AS27" s="457">
        <v>12</v>
      </c>
      <c r="AT27" s="457"/>
      <c r="AU27" s="458">
        <v>1</v>
      </c>
      <c r="AV27" s="510">
        <v>1.02531076</v>
      </c>
      <c r="AW27" s="456">
        <v>0</v>
      </c>
      <c r="AX27" s="443">
        <v>0</v>
      </c>
      <c r="AY27" s="443">
        <v>0</v>
      </c>
      <c r="AZ27" s="443">
        <v>0</v>
      </c>
      <c r="BA27" s="443">
        <v>0</v>
      </c>
      <c r="BB27" s="443">
        <v>0</v>
      </c>
      <c r="BC27" s="443">
        <v>0</v>
      </c>
      <c r="BD27" s="443">
        <v>0</v>
      </c>
      <c r="BE27" s="443">
        <v>0</v>
      </c>
      <c r="BF27" s="443">
        <v>0</v>
      </c>
      <c r="BG27" s="443">
        <v>0</v>
      </c>
      <c r="BH27" s="443">
        <v>0</v>
      </c>
      <c r="BI27" s="443">
        <v>0</v>
      </c>
      <c r="BJ27" s="442">
        <v>0</v>
      </c>
      <c r="BK27" s="443">
        <v>0</v>
      </c>
      <c r="BL27" s="443">
        <v>0</v>
      </c>
      <c r="BM27" s="443">
        <v>0</v>
      </c>
      <c r="BN27" s="443">
        <v>0</v>
      </c>
      <c r="BO27" s="443">
        <v>0</v>
      </c>
      <c r="BP27" s="443">
        <v>0</v>
      </c>
      <c r="BQ27" s="443">
        <v>0</v>
      </c>
      <c r="BR27" s="443">
        <v>0</v>
      </c>
      <c r="BS27" s="443">
        <v>0</v>
      </c>
      <c r="BT27" s="443">
        <v>0</v>
      </c>
      <c r="BU27" s="443">
        <v>0</v>
      </c>
      <c r="BV27" s="443">
        <v>0</v>
      </c>
      <c r="BW27" s="443">
        <v>0</v>
      </c>
      <c r="BX27" s="443">
        <v>0</v>
      </c>
      <c r="BY27" s="443">
        <v>0</v>
      </c>
      <c r="BZ27" s="443">
        <v>0</v>
      </c>
      <c r="CA27" s="443">
        <v>0</v>
      </c>
      <c r="CB27" s="443">
        <v>0</v>
      </c>
      <c r="CC27" s="443">
        <v>0</v>
      </c>
      <c r="CD27" s="443">
        <v>0</v>
      </c>
      <c r="CE27" s="443">
        <v>0</v>
      </c>
      <c r="CF27" s="443">
        <v>0</v>
      </c>
      <c r="CG27" s="443">
        <v>0</v>
      </c>
      <c r="CH27" s="443">
        <v>0</v>
      </c>
      <c r="CI27" s="443">
        <v>0</v>
      </c>
      <c r="CJ27" s="443">
        <v>0</v>
      </c>
      <c r="CK27" s="443">
        <v>0</v>
      </c>
      <c r="CL27" s="443">
        <v>0</v>
      </c>
      <c r="CM27" s="443">
        <v>0</v>
      </c>
      <c r="CN27" s="443">
        <v>0</v>
      </c>
      <c r="CO27" s="443">
        <v>0</v>
      </c>
      <c r="CP27" s="443">
        <v>0</v>
      </c>
      <c r="CQ27" s="443">
        <v>0</v>
      </c>
      <c r="CR27" s="443">
        <v>0</v>
      </c>
      <c r="CS27" s="443">
        <v>0</v>
      </c>
      <c r="CT27" s="443">
        <v>0</v>
      </c>
      <c r="CU27" s="443">
        <v>0</v>
      </c>
      <c r="CV27" s="443">
        <v>0</v>
      </c>
      <c r="CW27" s="443">
        <v>0</v>
      </c>
      <c r="CX27" s="443">
        <v>0</v>
      </c>
      <c r="CY27" s="443">
        <v>0</v>
      </c>
      <c r="CZ27" s="443">
        <v>0</v>
      </c>
      <c r="DA27" s="443">
        <v>0</v>
      </c>
      <c r="DB27" s="443">
        <v>0</v>
      </c>
      <c r="DC27" s="443">
        <v>0</v>
      </c>
      <c r="DD27" s="443">
        <v>0</v>
      </c>
      <c r="DE27" s="443">
        <v>0</v>
      </c>
      <c r="DF27" s="443">
        <v>0</v>
      </c>
      <c r="DG27" s="443">
        <v>0</v>
      </c>
      <c r="DH27" s="443">
        <v>0</v>
      </c>
      <c r="DI27" s="443">
        <v>0</v>
      </c>
      <c r="DJ27" s="443">
        <v>0</v>
      </c>
      <c r="DK27" s="443">
        <v>0</v>
      </c>
      <c r="DL27" s="443">
        <v>0</v>
      </c>
      <c r="DM27" s="443">
        <v>0</v>
      </c>
      <c r="DN27" s="443">
        <v>0</v>
      </c>
      <c r="DO27" s="443">
        <v>0</v>
      </c>
      <c r="DP27" s="443">
        <v>0</v>
      </c>
      <c r="DQ27" s="443">
        <v>0</v>
      </c>
      <c r="DR27" s="443">
        <v>0</v>
      </c>
      <c r="DS27" s="443">
        <v>0</v>
      </c>
      <c r="DT27" s="443">
        <v>0</v>
      </c>
      <c r="DU27" s="443">
        <v>0</v>
      </c>
      <c r="DV27" s="443">
        <v>0</v>
      </c>
      <c r="DW27" s="443">
        <v>0</v>
      </c>
      <c r="DX27" s="443">
        <v>0</v>
      </c>
      <c r="DY27" s="443">
        <v>0</v>
      </c>
      <c r="DZ27" s="443">
        <v>0</v>
      </c>
      <c r="EA27" s="443">
        <v>0</v>
      </c>
      <c r="EB27" s="443">
        <v>0</v>
      </c>
      <c r="EC27" s="443">
        <v>0</v>
      </c>
      <c r="ED27" s="443">
        <v>0</v>
      </c>
      <c r="EE27" s="443">
        <v>0</v>
      </c>
      <c r="EF27" s="443">
        <v>0</v>
      </c>
      <c r="EG27" s="443">
        <v>0</v>
      </c>
      <c r="EH27" s="443">
        <v>0</v>
      </c>
      <c r="EI27" s="443">
        <v>0</v>
      </c>
      <c r="EJ27" s="443">
        <v>0</v>
      </c>
      <c r="EK27" s="443">
        <v>0</v>
      </c>
      <c r="EL27" s="443">
        <v>0</v>
      </c>
      <c r="EM27" s="443">
        <v>0</v>
      </c>
      <c r="EN27" s="443">
        <v>0</v>
      </c>
      <c r="EO27" s="443">
        <v>0</v>
      </c>
      <c r="EP27" s="443">
        <v>0</v>
      </c>
      <c r="EQ27" s="443">
        <v>0</v>
      </c>
      <c r="ER27" s="443">
        <v>0</v>
      </c>
      <c r="ES27" s="443">
        <v>0</v>
      </c>
      <c r="ET27" s="443">
        <v>0</v>
      </c>
      <c r="EU27" s="443">
        <v>0</v>
      </c>
      <c r="EV27" s="443">
        <v>0</v>
      </c>
      <c r="EW27" s="443">
        <v>0</v>
      </c>
      <c r="EX27" s="443">
        <v>0</v>
      </c>
      <c r="EY27" s="443">
        <v>0</v>
      </c>
      <c r="EZ27" s="443">
        <v>0</v>
      </c>
      <c r="FA27" s="443">
        <v>0</v>
      </c>
      <c r="FB27" s="443">
        <v>0</v>
      </c>
      <c r="FC27" s="443">
        <v>0</v>
      </c>
      <c r="FD27" s="443">
        <v>0</v>
      </c>
      <c r="FE27" s="443">
        <v>0</v>
      </c>
      <c r="FF27" s="443">
        <v>0</v>
      </c>
      <c r="FG27" s="443">
        <v>0</v>
      </c>
      <c r="FH27" s="443">
        <v>0</v>
      </c>
      <c r="FI27" s="443">
        <v>0</v>
      </c>
      <c r="FJ27" s="443">
        <v>0</v>
      </c>
      <c r="FK27" s="443">
        <v>0</v>
      </c>
      <c r="FL27" s="443">
        <v>0</v>
      </c>
      <c r="FM27" s="443">
        <v>0</v>
      </c>
      <c r="FN27" s="443">
        <v>0</v>
      </c>
      <c r="FO27" s="443">
        <v>0</v>
      </c>
      <c r="FP27" s="443">
        <v>0</v>
      </c>
      <c r="FQ27" s="443">
        <v>0</v>
      </c>
      <c r="FR27" s="443">
        <v>0</v>
      </c>
      <c r="FS27" s="443">
        <v>0</v>
      </c>
      <c r="FT27" s="443">
        <v>0</v>
      </c>
      <c r="FU27" s="443">
        <v>0</v>
      </c>
      <c r="FV27" s="443">
        <v>0</v>
      </c>
      <c r="FW27" s="443">
        <v>0</v>
      </c>
      <c r="FX27" s="443">
        <v>0</v>
      </c>
      <c r="FY27" s="443">
        <v>0</v>
      </c>
      <c r="FZ27" s="443">
        <v>0</v>
      </c>
      <c r="GA27" s="443">
        <v>0</v>
      </c>
      <c r="GB27" s="443">
        <v>0</v>
      </c>
      <c r="GC27" s="443">
        <v>0</v>
      </c>
      <c r="GD27" s="443">
        <v>0</v>
      </c>
      <c r="GE27" s="443">
        <v>0</v>
      </c>
      <c r="GF27" s="443">
        <v>0</v>
      </c>
      <c r="GG27" s="443">
        <v>0</v>
      </c>
      <c r="GH27" s="443">
        <v>0</v>
      </c>
      <c r="GI27" s="443">
        <v>0</v>
      </c>
      <c r="GJ27" s="443">
        <v>0</v>
      </c>
      <c r="GK27" s="443">
        <v>0</v>
      </c>
      <c r="GL27" s="442">
        <v>0</v>
      </c>
      <c r="GM27" s="443">
        <v>0</v>
      </c>
      <c r="GN27" s="443">
        <v>0</v>
      </c>
      <c r="GO27" s="443">
        <v>0</v>
      </c>
      <c r="GP27" s="443">
        <v>0</v>
      </c>
      <c r="GQ27" s="443">
        <v>0</v>
      </c>
      <c r="GR27" s="443">
        <v>0</v>
      </c>
      <c r="GS27" s="443">
        <v>0</v>
      </c>
      <c r="GT27" s="443">
        <v>0</v>
      </c>
      <c r="GU27" s="443">
        <v>0</v>
      </c>
      <c r="GV27" s="443">
        <v>0</v>
      </c>
      <c r="GW27" s="443">
        <v>0</v>
      </c>
      <c r="GX27" s="443">
        <v>0</v>
      </c>
      <c r="GY27" s="443">
        <v>0</v>
      </c>
      <c r="GZ27" s="443">
        <v>0</v>
      </c>
      <c r="HA27" s="443">
        <v>0</v>
      </c>
      <c r="HB27" s="443">
        <v>0</v>
      </c>
      <c r="HC27" s="443">
        <v>0</v>
      </c>
      <c r="HD27" s="443">
        <v>0</v>
      </c>
      <c r="HE27" s="443">
        <v>0</v>
      </c>
      <c r="HF27" s="443">
        <v>0</v>
      </c>
      <c r="HG27" s="443">
        <v>0</v>
      </c>
      <c r="HH27" s="443">
        <v>0</v>
      </c>
      <c r="HI27" s="443">
        <v>0</v>
      </c>
      <c r="HJ27" s="443">
        <v>0</v>
      </c>
      <c r="HK27" s="443">
        <v>0</v>
      </c>
      <c r="HL27" s="443">
        <v>0</v>
      </c>
      <c r="HM27" s="443">
        <v>0</v>
      </c>
      <c r="HN27" s="443">
        <v>0</v>
      </c>
      <c r="HO27" s="443">
        <v>0</v>
      </c>
      <c r="HP27" s="443">
        <v>0</v>
      </c>
      <c r="HQ27" s="443">
        <v>0</v>
      </c>
      <c r="HR27" s="443">
        <v>0</v>
      </c>
      <c r="HS27" s="443">
        <v>0</v>
      </c>
      <c r="HT27" s="443">
        <v>0</v>
      </c>
      <c r="HU27" s="443">
        <v>0</v>
      </c>
      <c r="HV27" s="443">
        <v>0</v>
      </c>
      <c r="HW27" s="443">
        <v>0</v>
      </c>
      <c r="HX27" s="443">
        <v>0</v>
      </c>
      <c r="HY27" s="443">
        <v>0</v>
      </c>
      <c r="HZ27" s="443">
        <v>0</v>
      </c>
      <c r="IA27" s="443">
        <v>0</v>
      </c>
      <c r="IB27" s="443">
        <v>0</v>
      </c>
      <c r="IC27" s="443">
        <v>0</v>
      </c>
      <c r="ID27" s="443">
        <v>0</v>
      </c>
      <c r="IE27" s="443">
        <v>0</v>
      </c>
      <c r="IF27" s="443">
        <v>0</v>
      </c>
      <c r="IG27" s="443">
        <v>0</v>
      </c>
      <c r="IH27" s="443">
        <v>0</v>
      </c>
      <c r="II27" s="443">
        <v>0</v>
      </c>
      <c r="IJ27" s="443">
        <v>0</v>
      </c>
      <c r="IK27" s="443">
        <v>0</v>
      </c>
      <c r="IL27" s="443">
        <v>0</v>
      </c>
      <c r="IM27" s="443">
        <v>0</v>
      </c>
      <c r="IN27" s="443">
        <v>0</v>
      </c>
      <c r="IO27" s="443">
        <v>0</v>
      </c>
      <c r="IP27" s="443">
        <v>0</v>
      </c>
      <c r="IQ27" s="443">
        <v>0</v>
      </c>
      <c r="IR27" s="443">
        <v>0</v>
      </c>
      <c r="IS27" s="443">
        <v>0</v>
      </c>
      <c r="IT27" s="443">
        <v>0</v>
      </c>
      <c r="IU27" s="443">
        <v>0</v>
      </c>
      <c r="IV27" s="443">
        <v>0</v>
      </c>
      <c r="IW27" s="443">
        <v>0</v>
      </c>
      <c r="IX27" s="443">
        <v>0</v>
      </c>
      <c r="IY27" s="443">
        <v>0</v>
      </c>
      <c r="IZ27" s="443">
        <v>0</v>
      </c>
      <c r="JA27" s="443">
        <v>0</v>
      </c>
      <c r="JB27" s="443">
        <v>0</v>
      </c>
      <c r="JC27" s="443">
        <v>0</v>
      </c>
      <c r="JD27" s="443">
        <v>0</v>
      </c>
      <c r="JE27" s="443">
        <v>0</v>
      </c>
      <c r="JF27" s="443">
        <v>0</v>
      </c>
      <c r="JG27" s="443">
        <v>0</v>
      </c>
      <c r="JH27" s="443">
        <v>0</v>
      </c>
      <c r="JI27" s="443">
        <v>0</v>
      </c>
      <c r="JJ27" s="443">
        <v>0</v>
      </c>
      <c r="JK27" s="443">
        <v>0</v>
      </c>
      <c r="JL27" s="443">
        <v>0</v>
      </c>
      <c r="JM27" s="443">
        <v>0</v>
      </c>
      <c r="JN27" s="443">
        <v>0</v>
      </c>
      <c r="JO27" s="443">
        <v>0</v>
      </c>
      <c r="JP27" s="443">
        <v>0</v>
      </c>
      <c r="JQ27" s="443">
        <v>0</v>
      </c>
      <c r="JR27" s="443">
        <v>0</v>
      </c>
      <c r="JS27" s="443">
        <v>0</v>
      </c>
      <c r="JT27" s="443">
        <v>0</v>
      </c>
      <c r="JU27" s="443">
        <v>0</v>
      </c>
      <c r="JV27" s="443">
        <v>0</v>
      </c>
      <c r="JW27" s="443">
        <v>0</v>
      </c>
      <c r="JX27" s="443">
        <v>0</v>
      </c>
      <c r="JY27" s="443">
        <v>0</v>
      </c>
      <c r="JZ27" s="443">
        <v>0</v>
      </c>
      <c r="KA27" s="443">
        <v>0</v>
      </c>
      <c r="KB27" s="443">
        <v>0</v>
      </c>
      <c r="KC27" s="443">
        <v>0</v>
      </c>
      <c r="KD27" s="443">
        <v>0</v>
      </c>
      <c r="KE27" s="443">
        <v>0</v>
      </c>
      <c r="KF27" s="443">
        <v>0</v>
      </c>
      <c r="KG27" s="443">
        <v>0</v>
      </c>
      <c r="KH27" s="443">
        <v>0</v>
      </c>
      <c r="KI27" s="443">
        <v>0</v>
      </c>
      <c r="KJ27" s="443">
        <v>0</v>
      </c>
      <c r="KK27" s="443">
        <v>0</v>
      </c>
      <c r="KL27" s="443">
        <v>0</v>
      </c>
      <c r="KM27" s="443">
        <v>0</v>
      </c>
      <c r="KN27" s="443">
        <v>0</v>
      </c>
      <c r="KO27" s="443">
        <v>0</v>
      </c>
      <c r="KP27" s="443">
        <v>0</v>
      </c>
      <c r="KQ27" s="443">
        <v>0</v>
      </c>
      <c r="KR27" s="443">
        <v>0</v>
      </c>
      <c r="KS27" s="443">
        <v>0</v>
      </c>
      <c r="KT27" s="443">
        <v>0</v>
      </c>
      <c r="KU27" s="443">
        <v>0</v>
      </c>
      <c r="KV27" s="443">
        <v>0</v>
      </c>
      <c r="KW27" s="443">
        <v>0</v>
      </c>
      <c r="KX27" s="443">
        <v>0</v>
      </c>
      <c r="KY27" s="443">
        <v>0</v>
      </c>
      <c r="KZ27" s="443">
        <v>0</v>
      </c>
      <c r="LA27" s="33">
        <v>0</v>
      </c>
      <c r="LB27" s="27"/>
    </row>
    <row r="28" spans="1:314">
      <c r="A28" s="459" t="s">
        <v>1005</v>
      </c>
      <c r="B28" s="463" t="s">
        <v>1184</v>
      </c>
      <c r="C28" s="463" t="s">
        <v>176</v>
      </c>
      <c r="D28" s="456" t="s">
        <v>194</v>
      </c>
      <c r="E28" s="463"/>
      <c r="F28" s="456"/>
      <c r="G28" s="456"/>
      <c r="H28" s="456"/>
      <c r="I28" s="456"/>
      <c r="J28" s="456" t="s">
        <v>1417</v>
      </c>
      <c r="K28" s="456">
        <v>0</v>
      </c>
      <c r="L28" s="456" t="s">
        <v>899</v>
      </c>
      <c r="M28" s="470">
        <v>1</v>
      </c>
      <c r="N28" s="470">
        <v>1</v>
      </c>
      <c r="O28" s="470">
        <v>1</v>
      </c>
      <c r="P28" s="470">
        <v>1</v>
      </c>
      <c r="Q28" s="470">
        <v>1</v>
      </c>
      <c r="R28" s="470">
        <v>1</v>
      </c>
      <c r="S28" s="470">
        <v>1</v>
      </c>
      <c r="T28" s="470">
        <v>1</v>
      </c>
      <c r="U28" s="470">
        <v>1</v>
      </c>
      <c r="V28" s="470">
        <v>1</v>
      </c>
      <c r="W28" s="470">
        <v>0</v>
      </c>
      <c r="X28" s="457">
        <v>3</v>
      </c>
      <c r="Y28" s="472">
        <v>2751415.2490987354</v>
      </c>
      <c r="Z28" s="472">
        <v>2821055.6601290135</v>
      </c>
      <c r="AA28" s="472">
        <v>2892458.7228891803</v>
      </c>
      <c r="AB28" s="472">
        <v>2965669.0514341346</v>
      </c>
      <c r="AC28" s="472">
        <v>3040732.3890344114</v>
      </c>
      <c r="AD28" s="472">
        <v>3117695.6367574879</v>
      </c>
      <c r="AE28" s="472">
        <v>3196606.8827725039</v>
      </c>
      <c r="AF28" s="472">
        <v>3277515.4323967067</v>
      </c>
      <c r="AG28" s="472">
        <v>3360471.8389023957</v>
      </c>
      <c r="AH28" s="472">
        <v>3445527.935103613</v>
      </c>
      <c r="AI28" s="472">
        <v>0</v>
      </c>
      <c r="AJ28" s="457">
        <v>9</v>
      </c>
      <c r="AK28" s="457">
        <v>12</v>
      </c>
      <c r="AL28" s="457">
        <v>12</v>
      </c>
      <c r="AM28" s="457">
        <v>12</v>
      </c>
      <c r="AN28" s="457">
        <v>12</v>
      </c>
      <c r="AO28" s="457">
        <v>12</v>
      </c>
      <c r="AP28" s="457">
        <v>12</v>
      </c>
      <c r="AQ28" s="457">
        <v>12</v>
      </c>
      <c r="AR28" s="457">
        <v>12</v>
      </c>
      <c r="AS28" s="457">
        <v>12</v>
      </c>
      <c r="AT28" s="457"/>
      <c r="AU28" s="458">
        <v>1</v>
      </c>
      <c r="AV28" s="510">
        <v>1.02531076</v>
      </c>
      <c r="AW28" s="456">
        <v>0</v>
      </c>
      <c r="AX28" s="443">
        <v>362175539.83492208</v>
      </c>
      <c r="AY28" s="443">
        <v>24762737.24188862</v>
      </c>
      <c r="AZ28" s="443">
        <v>33852667.921548165</v>
      </c>
      <c r="BA28" s="443">
        <v>34709504.674670167</v>
      </c>
      <c r="BB28" s="443">
        <v>35588028.617209606</v>
      </c>
      <c r="BC28" s="443">
        <v>36488788.668412946</v>
      </c>
      <c r="BD28" s="443">
        <v>37412347.641089857</v>
      </c>
      <c r="BE28" s="443">
        <v>38359282.593270056</v>
      </c>
      <c r="BF28" s="443">
        <v>39330185.188760482</v>
      </c>
      <c r="BG28" s="443">
        <v>40325662.066828758</v>
      </c>
      <c r="BH28" s="443">
        <v>41346335.221243352</v>
      </c>
      <c r="BI28" s="443">
        <v>0</v>
      </c>
      <c r="BJ28" s="531">
        <v>0</v>
      </c>
      <c r="BK28" s="532">
        <v>0</v>
      </c>
      <c r="BL28" s="532">
        <v>0</v>
      </c>
      <c r="BM28" s="443">
        <v>2751415.2490987354</v>
      </c>
      <c r="BN28" s="443">
        <v>2751415.2490987354</v>
      </c>
      <c r="BO28" s="443">
        <v>2751415.2490987354</v>
      </c>
      <c r="BP28" s="443">
        <v>2751415.2490987354</v>
      </c>
      <c r="BQ28" s="443">
        <v>2751415.2490987354</v>
      </c>
      <c r="BR28" s="443">
        <v>2751415.2490987354</v>
      </c>
      <c r="BS28" s="443">
        <v>2751415.2490987354</v>
      </c>
      <c r="BT28" s="443">
        <v>2751415.2490987354</v>
      </c>
      <c r="BU28" s="443">
        <v>2751415.2490987354</v>
      </c>
      <c r="BV28" s="443">
        <v>2821055.6601290135</v>
      </c>
      <c r="BW28" s="443">
        <v>2821055.6601290135</v>
      </c>
      <c r="BX28" s="443">
        <v>2821055.6601290135</v>
      </c>
      <c r="BY28" s="443">
        <v>2821055.6601290135</v>
      </c>
      <c r="BZ28" s="443">
        <v>2821055.6601290135</v>
      </c>
      <c r="CA28" s="443">
        <v>2821055.6601290135</v>
      </c>
      <c r="CB28" s="443">
        <v>2821055.6601290135</v>
      </c>
      <c r="CC28" s="443">
        <v>2821055.6601290135</v>
      </c>
      <c r="CD28" s="443">
        <v>2821055.6601290135</v>
      </c>
      <c r="CE28" s="443">
        <v>2821055.6601290135</v>
      </c>
      <c r="CF28" s="443">
        <v>2821055.6601290135</v>
      </c>
      <c r="CG28" s="443">
        <v>2821055.6601290135</v>
      </c>
      <c r="CH28" s="443">
        <v>2892458.7228891803</v>
      </c>
      <c r="CI28" s="443">
        <v>2892458.7228891803</v>
      </c>
      <c r="CJ28" s="443">
        <v>2892458.7228891803</v>
      </c>
      <c r="CK28" s="443">
        <v>2892458.7228891803</v>
      </c>
      <c r="CL28" s="443">
        <v>2892458.7228891803</v>
      </c>
      <c r="CM28" s="443">
        <v>2892458.7228891803</v>
      </c>
      <c r="CN28" s="443">
        <v>2892458.7228891803</v>
      </c>
      <c r="CO28" s="443">
        <v>2892458.7228891803</v>
      </c>
      <c r="CP28" s="443">
        <v>2892458.7228891803</v>
      </c>
      <c r="CQ28" s="443">
        <v>2892458.7228891803</v>
      </c>
      <c r="CR28" s="443">
        <v>2892458.7228891803</v>
      </c>
      <c r="CS28" s="443">
        <v>2892458.7228891803</v>
      </c>
      <c r="CT28" s="443">
        <v>2965669.0514341346</v>
      </c>
      <c r="CU28" s="443">
        <v>2965669.0514341346</v>
      </c>
      <c r="CV28" s="443">
        <v>2965669.0514341346</v>
      </c>
      <c r="CW28" s="443">
        <v>2965669.0514341346</v>
      </c>
      <c r="CX28" s="443">
        <v>2965669.0514341346</v>
      </c>
      <c r="CY28" s="443">
        <v>2965669.0514341346</v>
      </c>
      <c r="CZ28" s="443">
        <v>2965669.0514341346</v>
      </c>
      <c r="DA28" s="443">
        <v>2965669.0514341346</v>
      </c>
      <c r="DB28" s="443">
        <v>2965669.0514341346</v>
      </c>
      <c r="DC28" s="443">
        <v>2965669.0514341346</v>
      </c>
      <c r="DD28" s="443">
        <v>2965669.0514341346</v>
      </c>
      <c r="DE28" s="443">
        <v>2965669.0514341346</v>
      </c>
      <c r="DF28" s="443">
        <v>3040732.3890344114</v>
      </c>
      <c r="DG28" s="443">
        <v>3040732.3890344114</v>
      </c>
      <c r="DH28" s="443">
        <v>3040732.3890344114</v>
      </c>
      <c r="DI28" s="443">
        <v>3040732.3890344114</v>
      </c>
      <c r="DJ28" s="443">
        <v>3040732.3890344114</v>
      </c>
      <c r="DK28" s="443">
        <v>3040732.3890344114</v>
      </c>
      <c r="DL28" s="443">
        <v>3040732.3890344114</v>
      </c>
      <c r="DM28" s="443">
        <v>3040732.3890344114</v>
      </c>
      <c r="DN28" s="443">
        <v>3040732.3890344114</v>
      </c>
      <c r="DO28" s="443">
        <v>3040732.3890344114</v>
      </c>
      <c r="DP28" s="443">
        <v>3040732.3890344114</v>
      </c>
      <c r="DQ28" s="443">
        <v>3040732.3890344114</v>
      </c>
      <c r="DR28" s="443">
        <v>3117695.6367574879</v>
      </c>
      <c r="DS28" s="443">
        <v>3117695.6367574879</v>
      </c>
      <c r="DT28" s="443">
        <v>3117695.6367574879</v>
      </c>
      <c r="DU28" s="443">
        <v>3117695.6367574879</v>
      </c>
      <c r="DV28" s="443">
        <v>3117695.6367574879</v>
      </c>
      <c r="DW28" s="443">
        <v>3117695.6367574879</v>
      </c>
      <c r="DX28" s="443">
        <v>3117695.6367574879</v>
      </c>
      <c r="DY28" s="443">
        <v>3117695.6367574879</v>
      </c>
      <c r="DZ28" s="443">
        <v>3117695.6367574879</v>
      </c>
      <c r="EA28" s="443">
        <v>3117695.6367574879</v>
      </c>
      <c r="EB28" s="443">
        <v>3117695.6367574879</v>
      </c>
      <c r="EC28" s="443">
        <v>3117695.6367574879</v>
      </c>
      <c r="ED28" s="443">
        <v>3196606.8827725039</v>
      </c>
      <c r="EE28" s="443">
        <v>3196606.8827725039</v>
      </c>
      <c r="EF28" s="443">
        <v>3196606.8827725039</v>
      </c>
      <c r="EG28" s="443">
        <v>3196606.8827725039</v>
      </c>
      <c r="EH28" s="443">
        <v>3196606.8827725039</v>
      </c>
      <c r="EI28" s="443">
        <v>3196606.8827725039</v>
      </c>
      <c r="EJ28" s="443">
        <v>3196606.8827725039</v>
      </c>
      <c r="EK28" s="443">
        <v>3196606.8827725039</v>
      </c>
      <c r="EL28" s="443">
        <v>3196606.8827725039</v>
      </c>
      <c r="EM28" s="443">
        <v>3196606.8827725039</v>
      </c>
      <c r="EN28" s="443">
        <v>3196606.8827725039</v>
      </c>
      <c r="EO28" s="443">
        <v>3196606.8827725039</v>
      </c>
      <c r="EP28" s="443">
        <v>3277515.4323967067</v>
      </c>
      <c r="EQ28" s="443">
        <v>3277515.4323967067</v>
      </c>
      <c r="ER28" s="443">
        <v>3277515.4323967067</v>
      </c>
      <c r="ES28" s="443">
        <v>3277515.4323967067</v>
      </c>
      <c r="ET28" s="443">
        <v>3277515.4323967067</v>
      </c>
      <c r="EU28" s="443">
        <v>3277515.4323967067</v>
      </c>
      <c r="EV28" s="443">
        <v>3277515.4323967067</v>
      </c>
      <c r="EW28" s="443">
        <v>3277515.4323967067</v>
      </c>
      <c r="EX28" s="443">
        <v>3277515.4323967067</v>
      </c>
      <c r="EY28" s="443">
        <v>3277515.4323967067</v>
      </c>
      <c r="EZ28" s="443">
        <v>3277515.4323967067</v>
      </c>
      <c r="FA28" s="443">
        <v>3277515.4323967067</v>
      </c>
      <c r="FB28" s="443">
        <v>3360471.8389023957</v>
      </c>
      <c r="FC28" s="443">
        <v>3360471.8389023957</v>
      </c>
      <c r="FD28" s="443">
        <v>3360471.8389023957</v>
      </c>
      <c r="FE28" s="443">
        <v>3360471.8389023957</v>
      </c>
      <c r="FF28" s="443">
        <v>3360471.8389023957</v>
      </c>
      <c r="FG28" s="443">
        <v>3360471.8389023957</v>
      </c>
      <c r="FH28" s="443">
        <v>3360471.8389023957</v>
      </c>
      <c r="FI28" s="443">
        <v>3360471.8389023957</v>
      </c>
      <c r="FJ28" s="443">
        <v>3360471.8389023957</v>
      </c>
      <c r="FK28" s="443">
        <v>3360471.8389023957</v>
      </c>
      <c r="FL28" s="443">
        <v>3360471.8389023957</v>
      </c>
      <c r="FM28" s="443">
        <v>3360471.8389023957</v>
      </c>
      <c r="FN28" s="443">
        <v>3445527.935103613</v>
      </c>
      <c r="FO28" s="443">
        <v>3445527.935103613</v>
      </c>
      <c r="FP28" s="443">
        <v>3445527.935103613</v>
      </c>
      <c r="FQ28" s="443">
        <v>3445527.935103613</v>
      </c>
      <c r="FR28" s="443">
        <v>3445527.935103613</v>
      </c>
      <c r="FS28" s="443">
        <v>3445527.935103613</v>
      </c>
      <c r="FT28" s="443">
        <v>3445527.935103613</v>
      </c>
      <c r="FU28" s="443">
        <v>3445527.935103613</v>
      </c>
      <c r="FV28" s="443">
        <v>3445527.935103613</v>
      </c>
      <c r="FW28" s="443">
        <v>3445527.935103613</v>
      </c>
      <c r="FX28" s="443">
        <v>3445527.935103613</v>
      </c>
      <c r="FY28" s="443">
        <v>3445527.935103613</v>
      </c>
      <c r="FZ28" s="443">
        <v>0</v>
      </c>
      <c r="GA28" s="443">
        <v>0</v>
      </c>
      <c r="GB28" s="443">
        <v>0</v>
      </c>
      <c r="GC28" s="443">
        <v>0</v>
      </c>
      <c r="GD28" s="443">
        <v>0</v>
      </c>
      <c r="GE28" s="443">
        <v>0</v>
      </c>
      <c r="GF28" s="443">
        <v>0</v>
      </c>
      <c r="GG28" s="443">
        <v>0</v>
      </c>
      <c r="GH28" s="443">
        <v>0</v>
      </c>
      <c r="GI28" s="443">
        <v>0</v>
      </c>
      <c r="GJ28" s="443">
        <v>0</v>
      </c>
      <c r="GK28" s="443">
        <v>0</v>
      </c>
      <c r="GL28" s="442">
        <v>2751415.2490987354</v>
      </c>
      <c r="GM28" s="443">
        <v>2751415.2490987354</v>
      </c>
      <c r="GN28" s="443">
        <v>2751415.2490987354</v>
      </c>
      <c r="GO28" s="443">
        <v>2751415.2490987354</v>
      </c>
      <c r="GP28" s="443">
        <v>2751415.2490987354</v>
      </c>
      <c r="GQ28" s="443">
        <v>2751415.2490987354</v>
      </c>
      <c r="GR28" s="443">
        <v>2751415.2490987354</v>
      </c>
      <c r="GS28" s="443">
        <v>2751415.2490987354</v>
      </c>
      <c r="GT28" s="443">
        <v>2751415.2490987354</v>
      </c>
      <c r="GU28" s="443">
        <v>2821055.6601290135</v>
      </c>
      <c r="GV28" s="443">
        <v>2821055.6601290135</v>
      </c>
      <c r="GW28" s="443">
        <v>2821055.6601290135</v>
      </c>
      <c r="GX28" s="443">
        <v>2821055.6601290135</v>
      </c>
      <c r="GY28" s="443">
        <v>2821055.6601290135</v>
      </c>
      <c r="GZ28" s="443">
        <v>2821055.6601290135</v>
      </c>
      <c r="HA28" s="443">
        <v>2821055.6601290135</v>
      </c>
      <c r="HB28" s="443">
        <v>2821055.6601290135</v>
      </c>
      <c r="HC28" s="443">
        <v>2821055.6601290135</v>
      </c>
      <c r="HD28" s="443">
        <v>2821055.6601290135</v>
      </c>
      <c r="HE28" s="443">
        <v>2821055.6601290135</v>
      </c>
      <c r="HF28" s="443">
        <v>2821055.6601290135</v>
      </c>
      <c r="HG28" s="443">
        <v>2892458.7228891803</v>
      </c>
      <c r="HH28" s="443">
        <v>2892458.7228891803</v>
      </c>
      <c r="HI28" s="443">
        <v>2892458.7228891803</v>
      </c>
      <c r="HJ28" s="443">
        <v>2892458.7228891803</v>
      </c>
      <c r="HK28" s="443">
        <v>2892458.7228891803</v>
      </c>
      <c r="HL28" s="443">
        <v>2892458.7228891803</v>
      </c>
      <c r="HM28" s="443">
        <v>2892458.7228891803</v>
      </c>
      <c r="HN28" s="443">
        <v>2892458.7228891803</v>
      </c>
      <c r="HO28" s="443">
        <v>2892458.7228891803</v>
      </c>
      <c r="HP28" s="443">
        <v>2892458.7228891803</v>
      </c>
      <c r="HQ28" s="443">
        <v>2892458.7228891803</v>
      </c>
      <c r="HR28" s="443">
        <v>2892458.7228891803</v>
      </c>
      <c r="HS28" s="443">
        <v>2965669.0514341346</v>
      </c>
      <c r="HT28" s="443">
        <v>2965669.0514341346</v>
      </c>
      <c r="HU28" s="443">
        <v>2965669.0514341346</v>
      </c>
      <c r="HV28" s="443">
        <v>2965669.0514341346</v>
      </c>
      <c r="HW28" s="443">
        <v>2965669.0514341346</v>
      </c>
      <c r="HX28" s="443">
        <v>2965669.0514341346</v>
      </c>
      <c r="HY28" s="443">
        <v>2965669.0514341346</v>
      </c>
      <c r="HZ28" s="443">
        <v>2965669.0514341346</v>
      </c>
      <c r="IA28" s="443">
        <v>2965669.0514341346</v>
      </c>
      <c r="IB28" s="443">
        <v>2965669.0514341346</v>
      </c>
      <c r="IC28" s="443">
        <v>2965669.0514341346</v>
      </c>
      <c r="ID28" s="443">
        <v>2965669.0514341346</v>
      </c>
      <c r="IE28" s="443">
        <v>3040732.3890344114</v>
      </c>
      <c r="IF28" s="443">
        <v>3040732.3890344114</v>
      </c>
      <c r="IG28" s="443">
        <v>3040732.3890344114</v>
      </c>
      <c r="IH28" s="443">
        <v>3040732.3890344114</v>
      </c>
      <c r="II28" s="443">
        <v>3040732.3890344114</v>
      </c>
      <c r="IJ28" s="443">
        <v>3040732.3890344114</v>
      </c>
      <c r="IK28" s="443">
        <v>3040732.3890344114</v>
      </c>
      <c r="IL28" s="443">
        <v>3040732.3890344114</v>
      </c>
      <c r="IM28" s="443">
        <v>3040732.3890344114</v>
      </c>
      <c r="IN28" s="443">
        <v>3040732.3890344114</v>
      </c>
      <c r="IO28" s="443">
        <v>3040732.3890344114</v>
      </c>
      <c r="IP28" s="443">
        <v>3040732.3890344114</v>
      </c>
      <c r="IQ28" s="443">
        <v>3117695.6367574879</v>
      </c>
      <c r="IR28" s="443">
        <v>3117695.6367574879</v>
      </c>
      <c r="IS28" s="443">
        <v>3117695.6367574879</v>
      </c>
      <c r="IT28" s="443">
        <v>3117695.6367574879</v>
      </c>
      <c r="IU28" s="443">
        <v>3117695.6367574879</v>
      </c>
      <c r="IV28" s="443">
        <v>3117695.6367574879</v>
      </c>
      <c r="IW28" s="443">
        <v>3117695.6367574879</v>
      </c>
      <c r="IX28" s="443">
        <v>3117695.6367574879</v>
      </c>
      <c r="IY28" s="443">
        <v>3117695.6367574879</v>
      </c>
      <c r="IZ28" s="443">
        <v>3117695.6367574879</v>
      </c>
      <c r="JA28" s="443">
        <v>3117695.6367574879</v>
      </c>
      <c r="JB28" s="443">
        <v>3117695.6367574879</v>
      </c>
      <c r="JC28" s="443">
        <v>3196606.8827725039</v>
      </c>
      <c r="JD28" s="443">
        <v>3196606.8827725039</v>
      </c>
      <c r="JE28" s="443">
        <v>3196606.8827725039</v>
      </c>
      <c r="JF28" s="443">
        <v>3196606.8827725039</v>
      </c>
      <c r="JG28" s="443">
        <v>3196606.8827725039</v>
      </c>
      <c r="JH28" s="443">
        <v>3196606.8827725039</v>
      </c>
      <c r="JI28" s="443">
        <v>3196606.8827725039</v>
      </c>
      <c r="JJ28" s="443">
        <v>3196606.8827725039</v>
      </c>
      <c r="JK28" s="443">
        <v>3196606.8827725039</v>
      </c>
      <c r="JL28" s="443">
        <v>3196606.8827725039</v>
      </c>
      <c r="JM28" s="443">
        <v>3196606.8827725039</v>
      </c>
      <c r="JN28" s="443">
        <v>3196606.8827725039</v>
      </c>
      <c r="JO28" s="443">
        <v>3277515.4323967067</v>
      </c>
      <c r="JP28" s="443">
        <v>3277515.4323967067</v>
      </c>
      <c r="JQ28" s="443">
        <v>3277515.4323967067</v>
      </c>
      <c r="JR28" s="443">
        <v>3277515.4323967067</v>
      </c>
      <c r="JS28" s="443">
        <v>3277515.4323967067</v>
      </c>
      <c r="JT28" s="443">
        <v>3277515.4323967067</v>
      </c>
      <c r="JU28" s="443">
        <v>3277515.4323967067</v>
      </c>
      <c r="JV28" s="443">
        <v>3277515.4323967067</v>
      </c>
      <c r="JW28" s="443">
        <v>3277515.4323967067</v>
      </c>
      <c r="JX28" s="443">
        <v>3277515.4323967067</v>
      </c>
      <c r="JY28" s="443">
        <v>3277515.4323967067</v>
      </c>
      <c r="JZ28" s="443">
        <v>3277515.4323967067</v>
      </c>
      <c r="KA28" s="443">
        <v>3360471.8389023957</v>
      </c>
      <c r="KB28" s="443">
        <v>3360471.8389023957</v>
      </c>
      <c r="KC28" s="443">
        <v>3360471.8389023957</v>
      </c>
      <c r="KD28" s="443">
        <v>3360471.8389023957</v>
      </c>
      <c r="KE28" s="443">
        <v>3360471.8389023957</v>
      </c>
      <c r="KF28" s="443">
        <v>3360471.8389023957</v>
      </c>
      <c r="KG28" s="443">
        <v>3360471.8389023957</v>
      </c>
      <c r="KH28" s="443">
        <v>3360471.8389023957</v>
      </c>
      <c r="KI28" s="443">
        <v>3360471.8389023957</v>
      </c>
      <c r="KJ28" s="443">
        <v>3360471.8389023957</v>
      </c>
      <c r="KK28" s="443">
        <v>3360471.8389023957</v>
      </c>
      <c r="KL28" s="443">
        <v>3360471.8389023957</v>
      </c>
      <c r="KM28" s="443">
        <v>3445527.935103613</v>
      </c>
      <c r="KN28" s="443">
        <v>3445527.935103613</v>
      </c>
      <c r="KO28" s="443">
        <v>3445527.935103613</v>
      </c>
      <c r="KP28" s="443">
        <v>3445527.935103613</v>
      </c>
      <c r="KQ28" s="443">
        <v>3445527.935103613</v>
      </c>
      <c r="KR28" s="443">
        <v>3445527.935103613</v>
      </c>
      <c r="KS28" s="443">
        <v>3445527.935103613</v>
      </c>
      <c r="KT28" s="443">
        <v>3445527.935103613</v>
      </c>
      <c r="KU28" s="443">
        <v>3445527.935103613</v>
      </c>
      <c r="KV28" s="443">
        <v>3445527.935103613</v>
      </c>
      <c r="KW28" s="443">
        <v>3445527.935103613</v>
      </c>
      <c r="KX28" s="443">
        <v>3445527.935103613</v>
      </c>
      <c r="KY28" s="443"/>
      <c r="KZ28" s="442"/>
      <c r="LA28" s="550"/>
    </row>
    <row r="29" spans="1:314">
      <c r="A29" s="459" t="s">
        <v>1006</v>
      </c>
      <c r="B29" s="463" t="s">
        <v>1184</v>
      </c>
      <c r="C29" s="463" t="s">
        <v>176</v>
      </c>
      <c r="D29" s="456" t="s">
        <v>1224</v>
      </c>
      <c r="E29" s="463"/>
      <c r="F29" s="456"/>
      <c r="G29" s="456"/>
      <c r="H29" s="456"/>
      <c r="I29" s="456"/>
      <c r="J29" s="456" t="s">
        <v>1417</v>
      </c>
      <c r="K29" s="456">
        <v>0</v>
      </c>
      <c r="L29" s="456" t="s">
        <v>899</v>
      </c>
      <c r="M29" s="470">
        <v>3</v>
      </c>
      <c r="N29" s="470">
        <v>3</v>
      </c>
      <c r="O29" s="470">
        <v>3</v>
      </c>
      <c r="P29" s="470">
        <v>3</v>
      </c>
      <c r="Q29" s="470">
        <v>3</v>
      </c>
      <c r="R29" s="470">
        <v>3</v>
      </c>
      <c r="S29" s="470">
        <v>3</v>
      </c>
      <c r="T29" s="470">
        <v>3</v>
      </c>
      <c r="U29" s="470">
        <v>3</v>
      </c>
      <c r="V29" s="470">
        <v>3</v>
      </c>
      <c r="W29" s="470">
        <v>0</v>
      </c>
      <c r="X29" s="457">
        <v>3</v>
      </c>
      <c r="Y29" s="472">
        <v>2751415.2490987354</v>
      </c>
      <c r="Z29" s="472">
        <v>2821055.6601290135</v>
      </c>
      <c r="AA29" s="472">
        <v>2892458.7228891803</v>
      </c>
      <c r="AB29" s="472">
        <v>2965669.0514341346</v>
      </c>
      <c r="AC29" s="472">
        <v>3040732.3890344114</v>
      </c>
      <c r="AD29" s="472">
        <v>3117695.6367574879</v>
      </c>
      <c r="AE29" s="472">
        <v>3196606.8827725039</v>
      </c>
      <c r="AF29" s="472">
        <v>3277515.4323967067</v>
      </c>
      <c r="AG29" s="472">
        <v>3360471.8389023957</v>
      </c>
      <c r="AH29" s="472">
        <v>3445527.935103613</v>
      </c>
      <c r="AI29" s="472">
        <v>0</v>
      </c>
      <c r="AJ29" s="457">
        <v>9</v>
      </c>
      <c r="AK29" s="457">
        <v>12</v>
      </c>
      <c r="AL29" s="457">
        <v>12</v>
      </c>
      <c r="AM29" s="457">
        <v>12</v>
      </c>
      <c r="AN29" s="457">
        <v>12</v>
      </c>
      <c r="AO29" s="457">
        <v>12</v>
      </c>
      <c r="AP29" s="457">
        <v>12</v>
      </c>
      <c r="AQ29" s="457">
        <v>12</v>
      </c>
      <c r="AR29" s="457">
        <v>12</v>
      </c>
      <c r="AS29" s="457">
        <v>12</v>
      </c>
      <c r="AT29" s="457"/>
      <c r="AU29" s="458">
        <v>1</v>
      </c>
      <c r="AV29" s="510">
        <v>1.02531076</v>
      </c>
      <c r="AW29" s="456">
        <v>0</v>
      </c>
      <c r="AX29" s="443">
        <v>1086526619.5047657</v>
      </c>
      <c r="AY29" s="443">
        <v>74288211.725665867</v>
      </c>
      <c r="AZ29" s="443">
        <v>101558003.76464444</v>
      </c>
      <c r="BA29" s="443">
        <v>104128514.02401048</v>
      </c>
      <c r="BB29" s="443">
        <v>106764085.85162884</v>
      </c>
      <c r="BC29" s="443">
        <v>109466366.00523879</v>
      </c>
      <c r="BD29" s="443">
        <v>112237042.92326957</v>
      </c>
      <c r="BE29" s="443">
        <v>115077847.77981018</v>
      </c>
      <c r="BF29" s="443">
        <v>117990555.56628142</v>
      </c>
      <c r="BG29" s="443">
        <v>120976986.20048623</v>
      </c>
      <c r="BH29" s="443">
        <v>124039005.66373008</v>
      </c>
      <c r="BI29" s="443">
        <v>0</v>
      </c>
      <c r="BJ29" s="531">
        <v>0</v>
      </c>
      <c r="BK29" s="532">
        <v>0</v>
      </c>
      <c r="BL29" s="532">
        <v>0</v>
      </c>
      <c r="BM29" s="443">
        <v>8254245.7472962067</v>
      </c>
      <c r="BN29" s="443">
        <v>8254245.7472962067</v>
      </c>
      <c r="BO29" s="443">
        <v>8254245.7472962067</v>
      </c>
      <c r="BP29" s="443">
        <v>8254245.7472962067</v>
      </c>
      <c r="BQ29" s="443">
        <v>8254245.7472962067</v>
      </c>
      <c r="BR29" s="443">
        <v>8254245.7472962067</v>
      </c>
      <c r="BS29" s="443">
        <v>8254245.7472962067</v>
      </c>
      <c r="BT29" s="443">
        <v>8254245.7472962067</v>
      </c>
      <c r="BU29" s="443">
        <v>8254245.7472962067</v>
      </c>
      <c r="BV29" s="443">
        <v>8463166.9803870395</v>
      </c>
      <c r="BW29" s="443">
        <v>8463166.9803870395</v>
      </c>
      <c r="BX29" s="443">
        <v>8463166.9803870395</v>
      </c>
      <c r="BY29" s="443">
        <v>8463166.9803870395</v>
      </c>
      <c r="BZ29" s="443">
        <v>8463166.9803870395</v>
      </c>
      <c r="CA29" s="443">
        <v>8463166.9803870395</v>
      </c>
      <c r="CB29" s="443">
        <v>8463166.9803870395</v>
      </c>
      <c r="CC29" s="443">
        <v>8463166.9803870395</v>
      </c>
      <c r="CD29" s="443">
        <v>8463166.9803870395</v>
      </c>
      <c r="CE29" s="443">
        <v>8463166.9803870395</v>
      </c>
      <c r="CF29" s="443">
        <v>8463166.9803870395</v>
      </c>
      <c r="CG29" s="443">
        <v>8463166.9803870395</v>
      </c>
      <c r="CH29" s="443">
        <v>8677376.16866754</v>
      </c>
      <c r="CI29" s="443">
        <v>8677376.16866754</v>
      </c>
      <c r="CJ29" s="443">
        <v>8677376.16866754</v>
      </c>
      <c r="CK29" s="443">
        <v>8677376.16866754</v>
      </c>
      <c r="CL29" s="443">
        <v>8677376.16866754</v>
      </c>
      <c r="CM29" s="443">
        <v>8677376.16866754</v>
      </c>
      <c r="CN29" s="443">
        <v>8677376.16866754</v>
      </c>
      <c r="CO29" s="443">
        <v>8677376.16866754</v>
      </c>
      <c r="CP29" s="443">
        <v>8677376.16866754</v>
      </c>
      <c r="CQ29" s="443">
        <v>8677376.16866754</v>
      </c>
      <c r="CR29" s="443">
        <v>8677376.16866754</v>
      </c>
      <c r="CS29" s="443">
        <v>8677376.16866754</v>
      </c>
      <c r="CT29" s="443">
        <v>8897007.1543024033</v>
      </c>
      <c r="CU29" s="443">
        <v>8897007.1543024033</v>
      </c>
      <c r="CV29" s="443">
        <v>8897007.1543024033</v>
      </c>
      <c r="CW29" s="443">
        <v>8897007.1543024033</v>
      </c>
      <c r="CX29" s="443">
        <v>8897007.1543024033</v>
      </c>
      <c r="CY29" s="443">
        <v>8897007.1543024033</v>
      </c>
      <c r="CZ29" s="443">
        <v>8897007.1543024033</v>
      </c>
      <c r="DA29" s="443">
        <v>8897007.1543024033</v>
      </c>
      <c r="DB29" s="443">
        <v>8897007.1543024033</v>
      </c>
      <c r="DC29" s="443">
        <v>8897007.1543024033</v>
      </c>
      <c r="DD29" s="443">
        <v>8897007.1543024033</v>
      </c>
      <c r="DE29" s="443">
        <v>8897007.1543024033</v>
      </c>
      <c r="DF29" s="443">
        <v>9122197.1671032347</v>
      </c>
      <c r="DG29" s="443">
        <v>9122197.1671032347</v>
      </c>
      <c r="DH29" s="443">
        <v>9122197.1671032347</v>
      </c>
      <c r="DI29" s="443">
        <v>9122197.1671032347</v>
      </c>
      <c r="DJ29" s="443">
        <v>9122197.1671032347</v>
      </c>
      <c r="DK29" s="443">
        <v>9122197.1671032347</v>
      </c>
      <c r="DL29" s="443">
        <v>9122197.1671032347</v>
      </c>
      <c r="DM29" s="443">
        <v>9122197.1671032347</v>
      </c>
      <c r="DN29" s="443">
        <v>9122197.1671032347</v>
      </c>
      <c r="DO29" s="443">
        <v>9122197.1671032347</v>
      </c>
      <c r="DP29" s="443">
        <v>9122197.1671032347</v>
      </c>
      <c r="DQ29" s="443">
        <v>9122197.1671032347</v>
      </c>
      <c r="DR29" s="443">
        <v>9353086.9102724642</v>
      </c>
      <c r="DS29" s="443">
        <v>9353086.9102724642</v>
      </c>
      <c r="DT29" s="443">
        <v>9353086.9102724642</v>
      </c>
      <c r="DU29" s="443">
        <v>9353086.9102724642</v>
      </c>
      <c r="DV29" s="443">
        <v>9353086.9102724642</v>
      </c>
      <c r="DW29" s="443">
        <v>9353086.9102724642</v>
      </c>
      <c r="DX29" s="443">
        <v>9353086.9102724642</v>
      </c>
      <c r="DY29" s="443">
        <v>9353086.9102724642</v>
      </c>
      <c r="DZ29" s="443">
        <v>9353086.9102724642</v>
      </c>
      <c r="EA29" s="443">
        <v>9353086.9102724642</v>
      </c>
      <c r="EB29" s="443">
        <v>9353086.9102724642</v>
      </c>
      <c r="EC29" s="443">
        <v>9353086.9102724642</v>
      </c>
      <c r="ED29" s="443">
        <v>9589820.6483175121</v>
      </c>
      <c r="EE29" s="443">
        <v>9589820.6483175121</v>
      </c>
      <c r="EF29" s="443">
        <v>9589820.6483175121</v>
      </c>
      <c r="EG29" s="443">
        <v>9589820.6483175121</v>
      </c>
      <c r="EH29" s="443">
        <v>9589820.6483175121</v>
      </c>
      <c r="EI29" s="443">
        <v>9589820.6483175121</v>
      </c>
      <c r="EJ29" s="443">
        <v>9589820.6483175121</v>
      </c>
      <c r="EK29" s="443">
        <v>9589820.6483175121</v>
      </c>
      <c r="EL29" s="443">
        <v>9589820.6483175121</v>
      </c>
      <c r="EM29" s="443">
        <v>9589820.6483175121</v>
      </c>
      <c r="EN29" s="443">
        <v>9589820.6483175121</v>
      </c>
      <c r="EO29" s="443">
        <v>9589820.6483175121</v>
      </c>
      <c r="EP29" s="443">
        <v>9832546.2971901204</v>
      </c>
      <c r="EQ29" s="443">
        <v>9832546.2971901204</v>
      </c>
      <c r="ER29" s="443">
        <v>9832546.2971901204</v>
      </c>
      <c r="ES29" s="443">
        <v>9832546.2971901204</v>
      </c>
      <c r="ET29" s="443">
        <v>9832546.2971901204</v>
      </c>
      <c r="EU29" s="443">
        <v>9832546.2971901204</v>
      </c>
      <c r="EV29" s="443">
        <v>9832546.2971901204</v>
      </c>
      <c r="EW29" s="443">
        <v>9832546.2971901204</v>
      </c>
      <c r="EX29" s="443">
        <v>9832546.2971901204</v>
      </c>
      <c r="EY29" s="443">
        <v>9832546.2971901204</v>
      </c>
      <c r="EZ29" s="443">
        <v>9832546.2971901204</v>
      </c>
      <c r="FA29" s="443">
        <v>9832546.2971901204</v>
      </c>
      <c r="FB29" s="443">
        <v>10081415.516707188</v>
      </c>
      <c r="FC29" s="443">
        <v>10081415.516707188</v>
      </c>
      <c r="FD29" s="443">
        <v>10081415.516707188</v>
      </c>
      <c r="FE29" s="443">
        <v>10081415.516707188</v>
      </c>
      <c r="FF29" s="443">
        <v>10081415.516707188</v>
      </c>
      <c r="FG29" s="443">
        <v>10081415.516707188</v>
      </c>
      <c r="FH29" s="443">
        <v>10081415.516707188</v>
      </c>
      <c r="FI29" s="443">
        <v>10081415.516707188</v>
      </c>
      <c r="FJ29" s="443">
        <v>10081415.516707188</v>
      </c>
      <c r="FK29" s="443">
        <v>10081415.516707188</v>
      </c>
      <c r="FL29" s="443">
        <v>10081415.516707188</v>
      </c>
      <c r="FM29" s="443">
        <v>10081415.516707188</v>
      </c>
      <c r="FN29" s="443">
        <v>10336583.805310838</v>
      </c>
      <c r="FO29" s="443">
        <v>10336583.805310838</v>
      </c>
      <c r="FP29" s="443">
        <v>10336583.805310838</v>
      </c>
      <c r="FQ29" s="443">
        <v>10336583.805310838</v>
      </c>
      <c r="FR29" s="443">
        <v>10336583.805310838</v>
      </c>
      <c r="FS29" s="443">
        <v>10336583.805310838</v>
      </c>
      <c r="FT29" s="443">
        <v>10336583.805310838</v>
      </c>
      <c r="FU29" s="443">
        <v>10336583.805310838</v>
      </c>
      <c r="FV29" s="443">
        <v>10336583.805310838</v>
      </c>
      <c r="FW29" s="443">
        <v>10336583.805310838</v>
      </c>
      <c r="FX29" s="443">
        <v>10336583.805310838</v>
      </c>
      <c r="FY29" s="443">
        <v>10336583.805310838</v>
      </c>
      <c r="FZ29" s="443">
        <v>0</v>
      </c>
      <c r="GA29" s="443">
        <v>0</v>
      </c>
      <c r="GB29" s="443">
        <v>0</v>
      </c>
      <c r="GC29" s="443">
        <v>0</v>
      </c>
      <c r="GD29" s="443">
        <v>0</v>
      </c>
      <c r="GE29" s="443">
        <v>0</v>
      </c>
      <c r="GF29" s="443">
        <v>0</v>
      </c>
      <c r="GG29" s="443">
        <v>0</v>
      </c>
      <c r="GH29" s="443">
        <v>0</v>
      </c>
      <c r="GI29" s="443">
        <v>0</v>
      </c>
      <c r="GJ29" s="443">
        <v>0</v>
      </c>
      <c r="GK29" s="443">
        <v>0</v>
      </c>
      <c r="GL29" s="442">
        <v>8254245.7472962067</v>
      </c>
      <c r="GM29" s="443">
        <v>8254245.7472962067</v>
      </c>
      <c r="GN29" s="443">
        <v>8254245.7472962067</v>
      </c>
      <c r="GO29" s="443">
        <v>8254245.7472962067</v>
      </c>
      <c r="GP29" s="443">
        <v>8254245.7472962067</v>
      </c>
      <c r="GQ29" s="443">
        <v>8254245.7472962067</v>
      </c>
      <c r="GR29" s="443">
        <v>8254245.7472962067</v>
      </c>
      <c r="GS29" s="443">
        <v>8254245.7472962067</v>
      </c>
      <c r="GT29" s="443">
        <v>8254245.7472962067</v>
      </c>
      <c r="GU29" s="443">
        <v>8463166.9803870395</v>
      </c>
      <c r="GV29" s="443">
        <v>8463166.9803870395</v>
      </c>
      <c r="GW29" s="443">
        <v>8463166.9803870395</v>
      </c>
      <c r="GX29" s="443">
        <v>8463166.9803870395</v>
      </c>
      <c r="GY29" s="443">
        <v>8463166.9803870395</v>
      </c>
      <c r="GZ29" s="443">
        <v>8463166.9803870395</v>
      </c>
      <c r="HA29" s="443">
        <v>8463166.9803870395</v>
      </c>
      <c r="HB29" s="443">
        <v>8463166.9803870395</v>
      </c>
      <c r="HC29" s="443">
        <v>8463166.9803870395</v>
      </c>
      <c r="HD29" s="443">
        <v>8463166.9803870395</v>
      </c>
      <c r="HE29" s="443">
        <v>8463166.9803870395</v>
      </c>
      <c r="HF29" s="443">
        <v>8463166.9803870395</v>
      </c>
      <c r="HG29" s="443">
        <v>8677376.16866754</v>
      </c>
      <c r="HH29" s="443">
        <v>8677376.16866754</v>
      </c>
      <c r="HI29" s="443">
        <v>8677376.16866754</v>
      </c>
      <c r="HJ29" s="443">
        <v>8677376.16866754</v>
      </c>
      <c r="HK29" s="443">
        <v>8677376.16866754</v>
      </c>
      <c r="HL29" s="443">
        <v>8677376.16866754</v>
      </c>
      <c r="HM29" s="443">
        <v>8677376.16866754</v>
      </c>
      <c r="HN29" s="443">
        <v>8677376.16866754</v>
      </c>
      <c r="HO29" s="443">
        <v>8677376.16866754</v>
      </c>
      <c r="HP29" s="443">
        <v>8677376.16866754</v>
      </c>
      <c r="HQ29" s="443">
        <v>8677376.16866754</v>
      </c>
      <c r="HR29" s="443">
        <v>8677376.16866754</v>
      </c>
      <c r="HS29" s="443">
        <v>8897007.1543024033</v>
      </c>
      <c r="HT29" s="443">
        <v>8897007.1543024033</v>
      </c>
      <c r="HU29" s="443">
        <v>8897007.1543024033</v>
      </c>
      <c r="HV29" s="443">
        <v>8897007.1543024033</v>
      </c>
      <c r="HW29" s="443">
        <v>8897007.1543024033</v>
      </c>
      <c r="HX29" s="443">
        <v>8897007.1543024033</v>
      </c>
      <c r="HY29" s="443">
        <v>8897007.1543024033</v>
      </c>
      <c r="HZ29" s="443">
        <v>8897007.1543024033</v>
      </c>
      <c r="IA29" s="443">
        <v>8897007.1543024033</v>
      </c>
      <c r="IB29" s="443">
        <v>8897007.1543024033</v>
      </c>
      <c r="IC29" s="443">
        <v>8897007.1543024033</v>
      </c>
      <c r="ID29" s="443">
        <v>8897007.1543024033</v>
      </c>
      <c r="IE29" s="443">
        <v>9122197.1671032347</v>
      </c>
      <c r="IF29" s="443">
        <v>9122197.1671032347</v>
      </c>
      <c r="IG29" s="443">
        <v>9122197.1671032347</v>
      </c>
      <c r="IH29" s="443">
        <v>9122197.1671032347</v>
      </c>
      <c r="II29" s="443">
        <v>9122197.1671032347</v>
      </c>
      <c r="IJ29" s="443">
        <v>9122197.1671032347</v>
      </c>
      <c r="IK29" s="443">
        <v>9122197.1671032347</v>
      </c>
      <c r="IL29" s="443">
        <v>9122197.1671032347</v>
      </c>
      <c r="IM29" s="443">
        <v>9122197.1671032347</v>
      </c>
      <c r="IN29" s="443">
        <v>9122197.1671032347</v>
      </c>
      <c r="IO29" s="443">
        <v>9122197.1671032347</v>
      </c>
      <c r="IP29" s="443">
        <v>9122197.1671032347</v>
      </c>
      <c r="IQ29" s="443">
        <v>9353086.9102724642</v>
      </c>
      <c r="IR29" s="443">
        <v>9353086.9102724642</v>
      </c>
      <c r="IS29" s="443">
        <v>9353086.9102724642</v>
      </c>
      <c r="IT29" s="443">
        <v>9353086.9102724642</v>
      </c>
      <c r="IU29" s="443">
        <v>9353086.9102724642</v>
      </c>
      <c r="IV29" s="443">
        <v>9353086.9102724642</v>
      </c>
      <c r="IW29" s="443">
        <v>9353086.9102724642</v>
      </c>
      <c r="IX29" s="443">
        <v>9353086.9102724642</v>
      </c>
      <c r="IY29" s="443">
        <v>9353086.9102724642</v>
      </c>
      <c r="IZ29" s="443">
        <v>9353086.9102724642</v>
      </c>
      <c r="JA29" s="443">
        <v>9353086.9102724642</v>
      </c>
      <c r="JB29" s="443">
        <v>9353086.9102724642</v>
      </c>
      <c r="JC29" s="443">
        <v>9589820.6483175121</v>
      </c>
      <c r="JD29" s="443">
        <v>9589820.6483175121</v>
      </c>
      <c r="JE29" s="443">
        <v>9589820.6483175121</v>
      </c>
      <c r="JF29" s="443">
        <v>9589820.6483175121</v>
      </c>
      <c r="JG29" s="443">
        <v>9589820.6483175121</v>
      </c>
      <c r="JH29" s="443">
        <v>9589820.6483175121</v>
      </c>
      <c r="JI29" s="443">
        <v>9589820.6483175121</v>
      </c>
      <c r="JJ29" s="443">
        <v>9589820.6483175121</v>
      </c>
      <c r="JK29" s="443">
        <v>9589820.6483175121</v>
      </c>
      <c r="JL29" s="443">
        <v>9589820.6483175121</v>
      </c>
      <c r="JM29" s="443">
        <v>9589820.6483175121</v>
      </c>
      <c r="JN29" s="443">
        <v>9589820.6483175121</v>
      </c>
      <c r="JO29" s="443">
        <v>9832546.2971901204</v>
      </c>
      <c r="JP29" s="443">
        <v>9832546.2971901204</v>
      </c>
      <c r="JQ29" s="443">
        <v>9832546.2971901204</v>
      </c>
      <c r="JR29" s="443">
        <v>9832546.2971901204</v>
      </c>
      <c r="JS29" s="443">
        <v>9832546.2971901204</v>
      </c>
      <c r="JT29" s="443">
        <v>9832546.2971901204</v>
      </c>
      <c r="JU29" s="443">
        <v>9832546.2971901204</v>
      </c>
      <c r="JV29" s="443">
        <v>9832546.2971901204</v>
      </c>
      <c r="JW29" s="443">
        <v>9832546.2971901204</v>
      </c>
      <c r="JX29" s="443">
        <v>9832546.2971901204</v>
      </c>
      <c r="JY29" s="443">
        <v>9832546.2971901204</v>
      </c>
      <c r="JZ29" s="443">
        <v>9832546.2971901204</v>
      </c>
      <c r="KA29" s="443">
        <v>10081415.516707188</v>
      </c>
      <c r="KB29" s="443">
        <v>10081415.516707188</v>
      </c>
      <c r="KC29" s="443">
        <v>10081415.516707188</v>
      </c>
      <c r="KD29" s="443">
        <v>10081415.516707188</v>
      </c>
      <c r="KE29" s="443">
        <v>10081415.516707188</v>
      </c>
      <c r="KF29" s="443">
        <v>10081415.516707188</v>
      </c>
      <c r="KG29" s="443">
        <v>10081415.516707188</v>
      </c>
      <c r="KH29" s="443">
        <v>10081415.516707188</v>
      </c>
      <c r="KI29" s="443">
        <v>10081415.516707188</v>
      </c>
      <c r="KJ29" s="443">
        <v>10081415.516707188</v>
      </c>
      <c r="KK29" s="443">
        <v>10081415.516707188</v>
      </c>
      <c r="KL29" s="443">
        <v>10081415.516707188</v>
      </c>
      <c r="KM29" s="443">
        <v>10336583.805310838</v>
      </c>
      <c r="KN29" s="443">
        <v>10336583.805310838</v>
      </c>
      <c r="KO29" s="443">
        <v>10336583.805310838</v>
      </c>
      <c r="KP29" s="443">
        <v>10336583.805310838</v>
      </c>
      <c r="KQ29" s="443">
        <v>10336583.805310838</v>
      </c>
      <c r="KR29" s="443">
        <v>10336583.805310838</v>
      </c>
      <c r="KS29" s="443">
        <v>10336583.805310838</v>
      </c>
      <c r="KT29" s="443">
        <v>10336583.805310838</v>
      </c>
      <c r="KU29" s="443">
        <v>10336583.805310838</v>
      </c>
      <c r="KV29" s="443">
        <v>10336583.805310838</v>
      </c>
      <c r="KW29" s="443">
        <v>10336583.805310838</v>
      </c>
      <c r="KX29" s="443">
        <v>10336583.805310838</v>
      </c>
      <c r="KY29" s="443"/>
      <c r="KZ29" s="442"/>
      <c r="LA29" s="550"/>
    </row>
    <row r="30" spans="1:314">
      <c r="A30" s="459" t="s">
        <v>1007</v>
      </c>
      <c r="B30" s="463" t="s">
        <v>1184</v>
      </c>
      <c r="C30" s="463" t="s">
        <v>176</v>
      </c>
      <c r="D30" s="456" t="s">
        <v>1225</v>
      </c>
      <c r="E30" s="463"/>
      <c r="F30" s="456"/>
      <c r="G30" s="456"/>
      <c r="H30" s="456"/>
      <c r="I30" s="456"/>
      <c r="J30" s="456" t="s">
        <v>1417</v>
      </c>
      <c r="K30" s="456">
        <v>0</v>
      </c>
      <c r="L30" s="456" t="s">
        <v>899</v>
      </c>
      <c r="M30" s="470">
        <v>3</v>
      </c>
      <c r="N30" s="470">
        <v>3</v>
      </c>
      <c r="O30" s="470">
        <v>3</v>
      </c>
      <c r="P30" s="470">
        <v>3</v>
      </c>
      <c r="Q30" s="470">
        <v>3</v>
      </c>
      <c r="R30" s="470">
        <v>3</v>
      </c>
      <c r="S30" s="470">
        <v>3</v>
      </c>
      <c r="T30" s="470">
        <v>3</v>
      </c>
      <c r="U30" s="470">
        <v>3</v>
      </c>
      <c r="V30" s="470">
        <v>3</v>
      </c>
      <c r="W30" s="470">
        <v>0</v>
      </c>
      <c r="X30" s="457">
        <v>3</v>
      </c>
      <c r="Y30" s="472">
        <v>2751415.2490987401</v>
      </c>
      <c r="Z30" s="472">
        <v>2821055.6601290102</v>
      </c>
      <c r="AA30" s="472">
        <v>2892458.7228891798</v>
      </c>
      <c r="AB30" s="472">
        <v>2965669.0514341299</v>
      </c>
      <c r="AC30" s="472">
        <v>3040732.38903441</v>
      </c>
      <c r="AD30" s="472">
        <v>3117695.6367574902</v>
      </c>
      <c r="AE30" s="472">
        <v>3196606.8827725002</v>
      </c>
      <c r="AF30" s="472">
        <v>3277515.4323967099</v>
      </c>
      <c r="AG30" s="472">
        <v>3360471.8389023999</v>
      </c>
      <c r="AH30" s="472">
        <v>3445527.9351036102</v>
      </c>
      <c r="AI30" s="472">
        <v>0</v>
      </c>
      <c r="AJ30" s="457">
        <v>9</v>
      </c>
      <c r="AK30" s="457">
        <v>12</v>
      </c>
      <c r="AL30" s="457">
        <v>12</v>
      </c>
      <c r="AM30" s="457">
        <v>12</v>
      </c>
      <c r="AN30" s="457">
        <v>12</v>
      </c>
      <c r="AO30" s="457">
        <v>12</v>
      </c>
      <c r="AP30" s="457">
        <v>12</v>
      </c>
      <c r="AQ30" s="457">
        <v>12</v>
      </c>
      <c r="AR30" s="457">
        <v>12</v>
      </c>
      <c r="AS30" s="457">
        <v>12</v>
      </c>
      <c r="AT30" s="457"/>
      <c r="AU30" s="458">
        <v>1</v>
      </c>
      <c r="AV30" s="510">
        <v>1.02531076</v>
      </c>
      <c r="AW30" s="456">
        <v>0</v>
      </c>
      <c r="AX30" s="443">
        <v>1086526619.5047657</v>
      </c>
      <c r="AY30" s="443">
        <v>74288211.725665987</v>
      </c>
      <c r="AZ30" s="443">
        <v>101558003.76464437</v>
      </c>
      <c r="BA30" s="443">
        <v>104128514.02401048</v>
      </c>
      <c r="BB30" s="443">
        <v>106764085.85162868</v>
      </c>
      <c r="BC30" s="443">
        <v>109466366.00523877</v>
      </c>
      <c r="BD30" s="443">
        <v>112237042.92326969</v>
      </c>
      <c r="BE30" s="443">
        <v>115077847.77981001</v>
      </c>
      <c r="BF30" s="443">
        <v>117990555.56628156</v>
      </c>
      <c r="BG30" s="443">
        <v>120976986.20048638</v>
      </c>
      <c r="BH30" s="443">
        <v>124039005.66372997</v>
      </c>
      <c r="BI30" s="443">
        <v>0</v>
      </c>
      <c r="BJ30" s="531">
        <v>0</v>
      </c>
      <c r="BK30" s="532">
        <v>0</v>
      </c>
      <c r="BL30" s="532">
        <v>0</v>
      </c>
      <c r="BM30" s="443">
        <v>8254245.7472962197</v>
      </c>
      <c r="BN30" s="443">
        <v>8254245.7472962197</v>
      </c>
      <c r="BO30" s="443">
        <v>8254245.7472962197</v>
      </c>
      <c r="BP30" s="443">
        <v>8254245.7472962197</v>
      </c>
      <c r="BQ30" s="443">
        <v>8254245.7472962197</v>
      </c>
      <c r="BR30" s="443">
        <v>8254245.7472962197</v>
      </c>
      <c r="BS30" s="443">
        <v>8254245.7472962197</v>
      </c>
      <c r="BT30" s="443">
        <v>8254245.7472962197</v>
      </c>
      <c r="BU30" s="443">
        <v>8254245.7472962197</v>
      </c>
      <c r="BV30" s="443">
        <v>8463166.9803870302</v>
      </c>
      <c r="BW30" s="443">
        <v>8463166.9803870302</v>
      </c>
      <c r="BX30" s="443">
        <v>8463166.9803870302</v>
      </c>
      <c r="BY30" s="443">
        <v>8463166.9803870302</v>
      </c>
      <c r="BZ30" s="443">
        <v>8463166.9803870302</v>
      </c>
      <c r="CA30" s="443">
        <v>8463166.9803870302</v>
      </c>
      <c r="CB30" s="443">
        <v>8463166.9803870302</v>
      </c>
      <c r="CC30" s="443">
        <v>8463166.9803870302</v>
      </c>
      <c r="CD30" s="443">
        <v>8463166.9803870302</v>
      </c>
      <c r="CE30" s="443">
        <v>8463166.9803870302</v>
      </c>
      <c r="CF30" s="443">
        <v>8463166.9803870302</v>
      </c>
      <c r="CG30" s="443">
        <v>8463166.9803870302</v>
      </c>
      <c r="CH30" s="443">
        <v>8677376.16866754</v>
      </c>
      <c r="CI30" s="443">
        <v>8677376.16866754</v>
      </c>
      <c r="CJ30" s="443">
        <v>8677376.16866754</v>
      </c>
      <c r="CK30" s="443">
        <v>8677376.16866754</v>
      </c>
      <c r="CL30" s="443">
        <v>8677376.16866754</v>
      </c>
      <c r="CM30" s="443">
        <v>8677376.16866754</v>
      </c>
      <c r="CN30" s="443">
        <v>8677376.16866754</v>
      </c>
      <c r="CO30" s="443">
        <v>8677376.16866754</v>
      </c>
      <c r="CP30" s="443">
        <v>8677376.16866754</v>
      </c>
      <c r="CQ30" s="443">
        <v>8677376.16866754</v>
      </c>
      <c r="CR30" s="443">
        <v>8677376.16866754</v>
      </c>
      <c r="CS30" s="443">
        <v>8677376.16866754</v>
      </c>
      <c r="CT30" s="443">
        <v>8897007.1543023903</v>
      </c>
      <c r="CU30" s="443">
        <v>8897007.1543023903</v>
      </c>
      <c r="CV30" s="443">
        <v>8897007.1543023903</v>
      </c>
      <c r="CW30" s="443">
        <v>8897007.1543023903</v>
      </c>
      <c r="CX30" s="443">
        <v>8897007.1543023903</v>
      </c>
      <c r="CY30" s="443">
        <v>8897007.1543023903</v>
      </c>
      <c r="CZ30" s="443">
        <v>8897007.1543023903</v>
      </c>
      <c r="DA30" s="443">
        <v>8897007.1543023903</v>
      </c>
      <c r="DB30" s="443">
        <v>8897007.1543023903</v>
      </c>
      <c r="DC30" s="443">
        <v>8897007.1543023903</v>
      </c>
      <c r="DD30" s="443">
        <v>8897007.1543023903</v>
      </c>
      <c r="DE30" s="443">
        <v>8897007.1543023903</v>
      </c>
      <c r="DF30" s="443">
        <v>9122197.167103231</v>
      </c>
      <c r="DG30" s="443">
        <v>9122197.167103231</v>
      </c>
      <c r="DH30" s="443">
        <v>9122197.167103231</v>
      </c>
      <c r="DI30" s="443">
        <v>9122197.167103231</v>
      </c>
      <c r="DJ30" s="443">
        <v>9122197.167103231</v>
      </c>
      <c r="DK30" s="443">
        <v>9122197.167103231</v>
      </c>
      <c r="DL30" s="443">
        <v>9122197.167103231</v>
      </c>
      <c r="DM30" s="443">
        <v>9122197.167103231</v>
      </c>
      <c r="DN30" s="443">
        <v>9122197.167103231</v>
      </c>
      <c r="DO30" s="443">
        <v>9122197.167103231</v>
      </c>
      <c r="DP30" s="443">
        <v>9122197.167103231</v>
      </c>
      <c r="DQ30" s="443">
        <v>9122197.167103231</v>
      </c>
      <c r="DR30" s="443">
        <v>9353086.9102724716</v>
      </c>
      <c r="DS30" s="443">
        <v>9353086.9102724716</v>
      </c>
      <c r="DT30" s="443">
        <v>9353086.9102724716</v>
      </c>
      <c r="DU30" s="443">
        <v>9353086.9102724716</v>
      </c>
      <c r="DV30" s="443">
        <v>9353086.9102724716</v>
      </c>
      <c r="DW30" s="443">
        <v>9353086.9102724716</v>
      </c>
      <c r="DX30" s="443">
        <v>9353086.9102724716</v>
      </c>
      <c r="DY30" s="443">
        <v>9353086.9102724716</v>
      </c>
      <c r="DZ30" s="443">
        <v>9353086.9102724716</v>
      </c>
      <c r="EA30" s="443">
        <v>9353086.9102724716</v>
      </c>
      <c r="EB30" s="443">
        <v>9353086.9102724716</v>
      </c>
      <c r="EC30" s="443">
        <v>9353086.9102724716</v>
      </c>
      <c r="ED30" s="443">
        <v>9589820.6483175009</v>
      </c>
      <c r="EE30" s="443">
        <v>9589820.6483175009</v>
      </c>
      <c r="EF30" s="443">
        <v>9589820.6483175009</v>
      </c>
      <c r="EG30" s="443">
        <v>9589820.6483175009</v>
      </c>
      <c r="EH30" s="443">
        <v>9589820.6483175009</v>
      </c>
      <c r="EI30" s="443">
        <v>9589820.6483175009</v>
      </c>
      <c r="EJ30" s="443">
        <v>9589820.6483175009</v>
      </c>
      <c r="EK30" s="443">
        <v>9589820.6483175009</v>
      </c>
      <c r="EL30" s="443">
        <v>9589820.6483175009</v>
      </c>
      <c r="EM30" s="443">
        <v>9589820.6483175009</v>
      </c>
      <c r="EN30" s="443">
        <v>9589820.6483175009</v>
      </c>
      <c r="EO30" s="443">
        <v>9589820.6483175009</v>
      </c>
      <c r="EP30" s="443">
        <v>9832546.2971901298</v>
      </c>
      <c r="EQ30" s="443">
        <v>9832546.2971901298</v>
      </c>
      <c r="ER30" s="443">
        <v>9832546.2971901298</v>
      </c>
      <c r="ES30" s="443">
        <v>9832546.2971901298</v>
      </c>
      <c r="ET30" s="443">
        <v>9832546.2971901298</v>
      </c>
      <c r="EU30" s="443">
        <v>9832546.2971901298</v>
      </c>
      <c r="EV30" s="443">
        <v>9832546.2971901298</v>
      </c>
      <c r="EW30" s="443">
        <v>9832546.2971901298</v>
      </c>
      <c r="EX30" s="443">
        <v>9832546.2971901298</v>
      </c>
      <c r="EY30" s="443">
        <v>9832546.2971901298</v>
      </c>
      <c r="EZ30" s="443">
        <v>9832546.2971901298</v>
      </c>
      <c r="FA30" s="443">
        <v>9832546.2971901298</v>
      </c>
      <c r="FB30" s="443">
        <v>10081415.516707201</v>
      </c>
      <c r="FC30" s="443">
        <v>10081415.516707201</v>
      </c>
      <c r="FD30" s="443">
        <v>10081415.516707201</v>
      </c>
      <c r="FE30" s="443">
        <v>10081415.516707201</v>
      </c>
      <c r="FF30" s="443">
        <v>10081415.516707201</v>
      </c>
      <c r="FG30" s="443">
        <v>10081415.516707201</v>
      </c>
      <c r="FH30" s="443">
        <v>10081415.516707201</v>
      </c>
      <c r="FI30" s="443">
        <v>10081415.516707201</v>
      </c>
      <c r="FJ30" s="443">
        <v>10081415.516707201</v>
      </c>
      <c r="FK30" s="443">
        <v>10081415.516707201</v>
      </c>
      <c r="FL30" s="443">
        <v>10081415.516707201</v>
      </c>
      <c r="FM30" s="443">
        <v>10081415.516707201</v>
      </c>
      <c r="FN30" s="443">
        <v>10336583.80531083</v>
      </c>
      <c r="FO30" s="443">
        <v>10336583.80531083</v>
      </c>
      <c r="FP30" s="443">
        <v>10336583.80531083</v>
      </c>
      <c r="FQ30" s="443">
        <v>10336583.80531083</v>
      </c>
      <c r="FR30" s="443">
        <v>10336583.80531083</v>
      </c>
      <c r="FS30" s="443">
        <v>10336583.80531083</v>
      </c>
      <c r="FT30" s="443">
        <v>10336583.80531083</v>
      </c>
      <c r="FU30" s="443">
        <v>10336583.80531083</v>
      </c>
      <c r="FV30" s="443">
        <v>10336583.80531083</v>
      </c>
      <c r="FW30" s="443">
        <v>10336583.80531083</v>
      </c>
      <c r="FX30" s="443">
        <v>10336583.80531083</v>
      </c>
      <c r="FY30" s="443">
        <v>10336583.80531083</v>
      </c>
      <c r="FZ30" s="443">
        <v>0</v>
      </c>
      <c r="GA30" s="443">
        <v>0</v>
      </c>
      <c r="GB30" s="443">
        <v>0</v>
      </c>
      <c r="GC30" s="443">
        <v>0</v>
      </c>
      <c r="GD30" s="443">
        <v>0</v>
      </c>
      <c r="GE30" s="443">
        <v>0</v>
      </c>
      <c r="GF30" s="443">
        <v>0</v>
      </c>
      <c r="GG30" s="443">
        <v>0</v>
      </c>
      <c r="GH30" s="443">
        <v>0</v>
      </c>
      <c r="GI30" s="443">
        <v>0</v>
      </c>
      <c r="GJ30" s="443">
        <v>0</v>
      </c>
      <c r="GK30" s="443">
        <v>0</v>
      </c>
      <c r="GL30" s="442">
        <v>8254245.7472962197</v>
      </c>
      <c r="GM30" s="443">
        <v>8254245.7472962197</v>
      </c>
      <c r="GN30" s="443">
        <v>8254245.7472962197</v>
      </c>
      <c r="GO30" s="443">
        <v>8254245.7472962197</v>
      </c>
      <c r="GP30" s="443">
        <v>8254245.7472962197</v>
      </c>
      <c r="GQ30" s="443">
        <v>8254245.7472962197</v>
      </c>
      <c r="GR30" s="443">
        <v>8254245.7472962197</v>
      </c>
      <c r="GS30" s="443">
        <v>8254245.7472962197</v>
      </c>
      <c r="GT30" s="443">
        <v>8254245.7472962197</v>
      </c>
      <c r="GU30" s="443">
        <v>8463166.9803870302</v>
      </c>
      <c r="GV30" s="443">
        <v>8463166.9803870302</v>
      </c>
      <c r="GW30" s="443">
        <v>8463166.9803870302</v>
      </c>
      <c r="GX30" s="443">
        <v>8463166.9803870302</v>
      </c>
      <c r="GY30" s="443">
        <v>8463166.9803870302</v>
      </c>
      <c r="GZ30" s="443">
        <v>8463166.9803870302</v>
      </c>
      <c r="HA30" s="443">
        <v>8463166.9803870302</v>
      </c>
      <c r="HB30" s="443">
        <v>8463166.9803870302</v>
      </c>
      <c r="HC30" s="443">
        <v>8463166.9803870302</v>
      </c>
      <c r="HD30" s="443">
        <v>8463166.9803870302</v>
      </c>
      <c r="HE30" s="443">
        <v>8463166.9803870302</v>
      </c>
      <c r="HF30" s="443">
        <v>8463166.9803870302</v>
      </c>
      <c r="HG30" s="443">
        <v>8677376.16866754</v>
      </c>
      <c r="HH30" s="443">
        <v>8677376.16866754</v>
      </c>
      <c r="HI30" s="443">
        <v>8677376.16866754</v>
      </c>
      <c r="HJ30" s="443">
        <v>8677376.16866754</v>
      </c>
      <c r="HK30" s="443">
        <v>8677376.16866754</v>
      </c>
      <c r="HL30" s="443">
        <v>8677376.16866754</v>
      </c>
      <c r="HM30" s="443">
        <v>8677376.16866754</v>
      </c>
      <c r="HN30" s="443">
        <v>8677376.16866754</v>
      </c>
      <c r="HO30" s="443">
        <v>8677376.16866754</v>
      </c>
      <c r="HP30" s="443">
        <v>8677376.16866754</v>
      </c>
      <c r="HQ30" s="443">
        <v>8677376.16866754</v>
      </c>
      <c r="HR30" s="443">
        <v>8677376.16866754</v>
      </c>
      <c r="HS30" s="443">
        <v>8897007.1543023903</v>
      </c>
      <c r="HT30" s="443">
        <v>8897007.1543023903</v>
      </c>
      <c r="HU30" s="443">
        <v>8897007.1543023903</v>
      </c>
      <c r="HV30" s="443">
        <v>8897007.1543023903</v>
      </c>
      <c r="HW30" s="443">
        <v>8897007.1543023903</v>
      </c>
      <c r="HX30" s="443">
        <v>8897007.1543023903</v>
      </c>
      <c r="HY30" s="443">
        <v>8897007.1543023903</v>
      </c>
      <c r="HZ30" s="443">
        <v>8897007.1543023903</v>
      </c>
      <c r="IA30" s="443">
        <v>8897007.1543023903</v>
      </c>
      <c r="IB30" s="443">
        <v>8897007.1543023903</v>
      </c>
      <c r="IC30" s="443">
        <v>8897007.1543023903</v>
      </c>
      <c r="ID30" s="443">
        <v>8897007.1543023903</v>
      </c>
      <c r="IE30" s="443">
        <v>9122197.167103231</v>
      </c>
      <c r="IF30" s="443">
        <v>9122197.167103231</v>
      </c>
      <c r="IG30" s="443">
        <v>9122197.167103231</v>
      </c>
      <c r="IH30" s="443">
        <v>9122197.167103231</v>
      </c>
      <c r="II30" s="443">
        <v>9122197.167103231</v>
      </c>
      <c r="IJ30" s="443">
        <v>9122197.167103231</v>
      </c>
      <c r="IK30" s="443">
        <v>9122197.167103231</v>
      </c>
      <c r="IL30" s="443">
        <v>9122197.167103231</v>
      </c>
      <c r="IM30" s="443">
        <v>9122197.167103231</v>
      </c>
      <c r="IN30" s="443">
        <v>9122197.167103231</v>
      </c>
      <c r="IO30" s="443">
        <v>9122197.167103231</v>
      </c>
      <c r="IP30" s="443">
        <v>9122197.167103231</v>
      </c>
      <c r="IQ30" s="443">
        <v>9353086.9102724716</v>
      </c>
      <c r="IR30" s="443">
        <v>9353086.9102724716</v>
      </c>
      <c r="IS30" s="443">
        <v>9353086.9102724716</v>
      </c>
      <c r="IT30" s="443">
        <v>9353086.9102724716</v>
      </c>
      <c r="IU30" s="443">
        <v>9353086.9102724716</v>
      </c>
      <c r="IV30" s="443">
        <v>9353086.9102724716</v>
      </c>
      <c r="IW30" s="443">
        <v>9353086.9102724716</v>
      </c>
      <c r="IX30" s="443">
        <v>9353086.9102724716</v>
      </c>
      <c r="IY30" s="443">
        <v>9353086.9102724716</v>
      </c>
      <c r="IZ30" s="443">
        <v>9353086.9102724716</v>
      </c>
      <c r="JA30" s="443">
        <v>9353086.9102724716</v>
      </c>
      <c r="JB30" s="443">
        <v>9353086.9102724716</v>
      </c>
      <c r="JC30" s="443">
        <v>9589820.6483175009</v>
      </c>
      <c r="JD30" s="443">
        <v>9589820.6483175009</v>
      </c>
      <c r="JE30" s="443">
        <v>9589820.6483175009</v>
      </c>
      <c r="JF30" s="443">
        <v>9589820.6483175009</v>
      </c>
      <c r="JG30" s="443">
        <v>9589820.6483175009</v>
      </c>
      <c r="JH30" s="443">
        <v>9589820.6483175009</v>
      </c>
      <c r="JI30" s="443">
        <v>9589820.6483175009</v>
      </c>
      <c r="JJ30" s="443">
        <v>9589820.6483175009</v>
      </c>
      <c r="JK30" s="443">
        <v>9589820.6483175009</v>
      </c>
      <c r="JL30" s="443">
        <v>9589820.6483175009</v>
      </c>
      <c r="JM30" s="443">
        <v>9589820.6483175009</v>
      </c>
      <c r="JN30" s="443">
        <v>9589820.6483175009</v>
      </c>
      <c r="JO30" s="443">
        <v>9832546.2971901298</v>
      </c>
      <c r="JP30" s="443">
        <v>9832546.2971901298</v>
      </c>
      <c r="JQ30" s="443">
        <v>9832546.2971901298</v>
      </c>
      <c r="JR30" s="443">
        <v>9832546.2971901298</v>
      </c>
      <c r="JS30" s="443">
        <v>9832546.2971901298</v>
      </c>
      <c r="JT30" s="443">
        <v>9832546.2971901298</v>
      </c>
      <c r="JU30" s="443">
        <v>9832546.2971901298</v>
      </c>
      <c r="JV30" s="443">
        <v>9832546.2971901298</v>
      </c>
      <c r="JW30" s="443">
        <v>9832546.2971901298</v>
      </c>
      <c r="JX30" s="443">
        <v>9832546.2971901298</v>
      </c>
      <c r="JY30" s="443">
        <v>9832546.2971901298</v>
      </c>
      <c r="JZ30" s="443">
        <v>9832546.2971901298</v>
      </c>
      <c r="KA30" s="443">
        <v>10081415.516707201</v>
      </c>
      <c r="KB30" s="443">
        <v>10081415.516707201</v>
      </c>
      <c r="KC30" s="443">
        <v>10081415.516707201</v>
      </c>
      <c r="KD30" s="443">
        <v>10081415.516707201</v>
      </c>
      <c r="KE30" s="443">
        <v>10081415.516707201</v>
      </c>
      <c r="KF30" s="443">
        <v>10081415.516707201</v>
      </c>
      <c r="KG30" s="443">
        <v>10081415.516707201</v>
      </c>
      <c r="KH30" s="443">
        <v>10081415.516707201</v>
      </c>
      <c r="KI30" s="443">
        <v>10081415.516707201</v>
      </c>
      <c r="KJ30" s="443">
        <v>10081415.516707201</v>
      </c>
      <c r="KK30" s="443">
        <v>10081415.516707201</v>
      </c>
      <c r="KL30" s="443">
        <v>10081415.516707201</v>
      </c>
      <c r="KM30" s="443">
        <v>10336583.80531083</v>
      </c>
      <c r="KN30" s="443">
        <v>10336583.80531083</v>
      </c>
      <c r="KO30" s="443">
        <v>10336583.80531083</v>
      </c>
      <c r="KP30" s="443">
        <v>10336583.80531083</v>
      </c>
      <c r="KQ30" s="443">
        <v>10336583.80531083</v>
      </c>
      <c r="KR30" s="443">
        <v>10336583.80531083</v>
      </c>
      <c r="KS30" s="443">
        <v>10336583.80531083</v>
      </c>
      <c r="KT30" s="443">
        <v>10336583.80531083</v>
      </c>
      <c r="KU30" s="443">
        <v>10336583.80531083</v>
      </c>
      <c r="KV30" s="443">
        <v>10336583.80531083</v>
      </c>
      <c r="KW30" s="443">
        <v>10336583.80531083</v>
      </c>
      <c r="KX30" s="443">
        <v>10336583.80531083</v>
      </c>
      <c r="KY30" s="443"/>
      <c r="KZ30" s="442"/>
      <c r="LA30" s="550"/>
    </row>
    <row r="31" spans="1:314">
      <c r="A31" s="459" t="s">
        <v>1008</v>
      </c>
      <c r="B31" s="463" t="s">
        <v>1184</v>
      </c>
      <c r="C31" s="463" t="s">
        <v>176</v>
      </c>
      <c r="D31" s="456" t="s">
        <v>1439</v>
      </c>
      <c r="E31" s="463"/>
      <c r="F31" s="456"/>
      <c r="G31" s="456"/>
      <c r="H31" s="456"/>
      <c r="I31" s="456"/>
      <c r="J31" s="456" t="s">
        <v>1417</v>
      </c>
      <c r="K31" s="456">
        <v>0</v>
      </c>
      <c r="L31" s="456" t="s">
        <v>899</v>
      </c>
      <c r="M31" s="470">
        <v>2</v>
      </c>
      <c r="N31" s="470">
        <v>2</v>
      </c>
      <c r="O31" s="470">
        <v>2</v>
      </c>
      <c r="P31" s="470">
        <v>2</v>
      </c>
      <c r="Q31" s="470">
        <v>2</v>
      </c>
      <c r="R31" s="470">
        <v>2</v>
      </c>
      <c r="S31" s="470">
        <v>2</v>
      </c>
      <c r="T31" s="470">
        <v>2</v>
      </c>
      <c r="U31" s="470">
        <v>2</v>
      </c>
      <c r="V31" s="470">
        <v>2</v>
      </c>
      <c r="W31" s="470">
        <v>0</v>
      </c>
      <c r="X31" s="457">
        <v>3</v>
      </c>
      <c r="Y31" s="472">
        <v>2751415.2490987401</v>
      </c>
      <c r="Z31" s="472">
        <v>2821055.6601290102</v>
      </c>
      <c r="AA31" s="472">
        <v>2892458.7228891798</v>
      </c>
      <c r="AB31" s="472">
        <v>2965669.0514341299</v>
      </c>
      <c r="AC31" s="472">
        <v>3040732.38903441</v>
      </c>
      <c r="AD31" s="472">
        <v>3117695.6367574902</v>
      </c>
      <c r="AE31" s="472">
        <v>3196606.8827725002</v>
      </c>
      <c r="AF31" s="472">
        <v>3277515.4323967099</v>
      </c>
      <c r="AG31" s="472">
        <v>3360471.8389023999</v>
      </c>
      <c r="AH31" s="472">
        <v>3445527.9351036102</v>
      </c>
      <c r="AI31" s="472">
        <v>0</v>
      </c>
      <c r="AJ31" s="457">
        <v>9</v>
      </c>
      <c r="AK31" s="457">
        <v>12</v>
      </c>
      <c r="AL31" s="457">
        <v>12</v>
      </c>
      <c r="AM31" s="457">
        <v>12</v>
      </c>
      <c r="AN31" s="457">
        <v>12</v>
      </c>
      <c r="AO31" s="457">
        <v>12</v>
      </c>
      <c r="AP31" s="457">
        <v>12</v>
      </c>
      <c r="AQ31" s="457">
        <v>12</v>
      </c>
      <c r="AR31" s="457">
        <v>12</v>
      </c>
      <c r="AS31" s="457">
        <v>12</v>
      </c>
      <c r="AT31" s="457"/>
      <c r="AU31" s="458">
        <v>1</v>
      </c>
      <c r="AV31" s="510">
        <v>1.02531076</v>
      </c>
      <c r="AW31" s="456">
        <v>0</v>
      </c>
      <c r="AX31" s="443">
        <v>724351079.66984391</v>
      </c>
      <c r="AY31" s="443">
        <v>49525474.483777322</v>
      </c>
      <c r="AZ31" s="443">
        <v>67705335.843096241</v>
      </c>
      <c r="BA31" s="443">
        <v>69419009.349340335</v>
      </c>
      <c r="BB31" s="443">
        <v>71176057.234419122</v>
      </c>
      <c r="BC31" s="443">
        <v>72977577.336825833</v>
      </c>
      <c r="BD31" s="443">
        <v>74824695.282179758</v>
      </c>
      <c r="BE31" s="443">
        <v>76718565.186540008</v>
      </c>
      <c r="BF31" s="443">
        <v>78660370.377521038</v>
      </c>
      <c r="BG31" s="443">
        <v>80651324.13365759</v>
      </c>
      <c r="BH31" s="443">
        <v>82692670.442486644</v>
      </c>
      <c r="BI31" s="443">
        <v>0</v>
      </c>
      <c r="BJ31" s="531">
        <v>0</v>
      </c>
      <c r="BK31" s="532">
        <v>0</v>
      </c>
      <c r="BL31" s="532">
        <v>0</v>
      </c>
      <c r="BM31" s="443">
        <v>5502830.4981974801</v>
      </c>
      <c r="BN31" s="443">
        <v>5502830.4981974801</v>
      </c>
      <c r="BO31" s="443">
        <v>5502830.4981974801</v>
      </c>
      <c r="BP31" s="443">
        <v>5502830.4981974801</v>
      </c>
      <c r="BQ31" s="443">
        <v>5502830.4981974801</v>
      </c>
      <c r="BR31" s="443">
        <v>5502830.4981974801</v>
      </c>
      <c r="BS31" s="443">
        <v>5502830.4981974801</v>
      </c>
      <c r="BT31" s="443">
        <v>5502830.4981974801</v>
      </c>
      <c r="BU31" s="443">
        <v>5502830.4981974801</v>
      </c>
      <c r="BV31" s="443">
        <v>5642111.3202580204</v>
      </c>
      <c r="BW31" s="443">
        <v>5642111.3202580204</v>
      </c>
      <c r="BX31" s="443">
        <v>5642111.3202580204</v>
      </c>
      <c r="BY31" s="443">
        <v>5642111.3202580204</v>
      </c>
      <c r="BZ31" s="443">
        <v>5642111.3202580204</v>
      </c>
      <c r="CA31" s="443">
        <v>5642111.3202580204</v>
      </c>
      <c r="CB31" s="443">
        <v>5642111.3202580204</v>
      </c>
      <c r="CC31" s="443">
        <v>5642111.3202580204</v>
      </c>
      <c r="CD31" s="443">
        <v>5642111.3202580204</v>
      </c>
      <c r="CE31" s="443">
        <v>5642111.3202580204</v>
      </c>
      <c r="CF31" s="443">
        <v>5642111.3202580204</v>
      </c>
      <c r="CG31" s="443">
        <v>5642111.3202580204</v>
      </c>
      <c r="CH31" s="443">
        <v>5784917.4457783597</v>
      </c>
      <c r="CI31" s="443">
        <v>5784917.4457783597</v>
      </c>
      <c r="CJ31" s="443">
        <v>5784917.4457783597</v>
      </c>
      <c r="CK31" s="443">
        <v>5784917.4457783597</v>
      </c>
      <c r="CL31" s="443">
        <v>5784917.4457783597</v>
      </c>
      <c r="CM31" s="443">
        <v>5784917.4457783597</v>
      </c>
      <c r="CN31" s="443">
        <v>5784917.4457783597</v>
      </c>
      <c r="CO31" s="443">
        <v>5784917.4457783597</v>
      </c>
      <c r="CP31" s="443">
        <v>5784917.4457783597</v>
      </c>
      <c r="CQ31" s="443">
        <v>5784917.4457783597</v>
      </c>
      <c r="CR31" s="443">
        <v>5784917.4457783597</v>
      </c>
      <c r="CS31" s="443">
        <v>5784917.4457783597</v>
      </c>
      <c r="CT31" s="443">
        <v>5931338.1028682599</v>
      </c>
      <c r="CU31" s="443">
        <v>5931338.1028682599</v>
      </c>
      <c r="CV31" s="443">
        <v>5931338.1028682599</v>
      </c>
      <c r="CW31" s="443">
        <v>5931338.1028682599</v>
      </c>
      <c r="CX31" s="443">
        <v>5931338.1028682599</v>
      </c>
      <c r="CY31" s="443">
        <v>5931338.1028682599</v>
      </c>
      <c r="CZ31" s="443">
        <v>5931338.1028682599</v>
      </c>
      <c r="DA31" s="443">
        <v>5931338.1028682599</v>
      </c>
      <c r="DB31" s="443">
        <v>5931338.1028682599</v>
      </c>
      <c r="DC31" s="443">
        <v>5931338.1028682599</v>
      </c>
      <c r="DD31" s="443">
        <v>5931338.1028682599</v>
      </c>
      <c r="DE31" s="443">
        <v>5931338.1028682599</v>
      </c>
      <c r="DF31" s="443">
        <v>6081464.77806882</v>
      </c>
      <c r="DG31" s="443">
        <v>6081464.77806882</v>
      </c>
      <c r="DH31" s="443">
        <v>6081464.77806882</v>
      </c>
      <c r="DI31" s="443">
        <v>6081464.77806882</v>
      </c>
      <c r="DJ31" s="443">
        <v>6081464.77806882</v>
      </c>
      <c r="DK31" s="443">
        <v>6081464.77806882</v>
      </c>
      <c r="DL31" s="443">
        <v>6081464.77806882</v>
      </c>
      <c r="DM31" s="443">
        <v>6081464.77806882</v>
      </c>
      <c r="DN31" s="443">
        <v>6081464.77806882</v>
      </c>
      <c r="DO31" s="443">
        <v>6081464.77806882</v>
      </c>
      <c r="DP31" s="443">
        <v>6081464.77806882</v>
      </c>
      <c r="DQ31" s="443">
        <v>6081464.77806882</v>
      </c>
      <c r="DR31" s="443">
        <v>6235391.2735149805</v>
      </c>
      <c r="DS31" s="443">
        <v>6235391.2735149805</v>
      </c>
      <c r="DT31" s="443">
        <v>6235391.2735149805</v>
      </c>
      <c r="DU31" s="443">
        <v>6235391.2735149805</v>
      </c>
      <c r="DV31" s="443">
        <v>6235391.2735149805</v>
      </c>
      <c r="DW31" s="443">
        <v>6235391.2735149805</v>
      </c>
      <c r="DX31" s="443">
        <v>6235391.2735149805</v>
      </c>
      <c r="DY31" s="443">
        <v>6235391.2735149805</v>
      </c>
      <c r="DZ31" s="443">
        <v>6235391.2735149805</v>
      </c>
      <c r="EA31" s="443">
        <v>6235391.2735149805</v>
      </c>
      <c r="EB31" s="443">
        <v>6235391.2735149805</v>
      </c>
      <c r="EC31" s="443">
        <v>6235391.2735149805</v>
      </c>
      <c r="ED31" s="443">
        <v>6393213.7655450003</v>
      </c>
      <c r="EE31" s="443">
        <v>6393213.7655450003</v>
      </c>
      <c r="EF31" s="443">
        <v>6393213.7655450003</v>
      </c>
      <c r="EG31" s="443">
        <v>6393213.7655450003</v>
      </c>
      <c r="EH31" s="443">
        <v>6393213.7655450003</v>
      </c>
      <c r="EI31" s="443">
        <v>6393213.7655450003</v>
      </c>
      <c r="EJ31" s="443">
        <v>6393213.7655450003</v>
      </c>
      <c r="EK31" s="443">
        <v>6393213.7655450003</v>
      </c>
      <c r="EL31" s="443">
        <v>6393213.7655450003</v>
      </c>
      <c r="EM31" s="443">
        <v>6393213.7655450003</v>
      </c>
      <c r="EN31" s="443">
        <v>6393213.7655450003</v>
      </c>
      <c r="EO31" s="443">
        <v>6393213.7655450003</v>
      </c>
      <c r="EP31" s="443">
        <v>6555030.8647934198</v>
      </c>
      <c r="EQ31" s="443">
        <v>6555030.8647934198</v>
      </c>
      <c r="ER31" s="443">
        <v>6555030.8647934198</v>
      </c>
      <c r="ES31" s="443">
        <v>6555030.8647934198</v>
      </c>
      <c r="ET31" s="443">
        <v>6555030.8647934198</v>
      </c>
      <c r="EU31" s="443">
        <v>6555030.8647934198</v>
      </c>
      <c r="EV31" s="443">
        <v>6555030.8647934198</v>
      </c>
      <c r="EW31" s="443">
        <v>6555030.8647934198</v>
      </c>
      <c r="EX31" s="443">
        <v>6555030.8647934198</v>
      </c>
      <c r="EY31" s="443">
        <v>6555030.8647934198</v>
      </c>
      <c r="EZ31" s="443">
        <v>6555030.8647934198</v>
      </c>
      <c r="FA31" s="443">
        <v>6555030.8647934198</v>
      </c>
      <c r="FB31" s="443">
        <v>6720943.6778047998</v>
      </c>
      <c r="FC31" s="443">
        <v>6720943.6778047998</v>
      </c>
      <c r="FD31" s="443">
        <v>6720943.6778047998</v>
      </c>
      <c r="FE31" s="443">
        <v>6720943.6778047998</v>
      </c>
      <c r="FF31" s="443">
        <v>6720943.6778047998</v>
      </c>
      <c r="FG31" s="443">
        <v>6720943.6778047998</v>
      </c>
      <c r="FH31" s="443">
        <v>6720943.6778047998</v>
      </c>
      <c r="FI31" s="443">
        <v>6720943.6778047998</v>
      </c>
      <c r="FJ31" s="443">
        <v>6720943.6778047998</v>
      </c>
      <c r="FK31" s="443">
        <v>6720943.6778047998</v>
      </c>
      <c r="FL31" s="443">
        <v>6720943.6778047998</v>
      </c>
      <c r="FM31" s="443">
        <v>6720943.6778047998</v>
      </c>
      <c r="FN31" s="443">
        <v>6891055.8702072203</v>
      </c>
      <c r="FO31" s="443">
        <v>6891055.8702072203</v>
      </c>
      <c r="FP31" s="443">
        <v>6891055.8702072203</v>
      </c>
      <c r="FQ31" s="443">
        <v>6891055.8702072203</v>
      </c>
      <c r="FR31" s="443">
        <v>6891055.8702072203</v>
      </c>
      <c r="FS31" s="443">
        <v>6891055.8702072203</v>
      </c>
      <c r="FT31" s="443">
        <v>6891055.8702072203</v>
      </c>
      <c r="FU31" s="443">
        <v>6891055.8702072203</v>
      </c>
      <c r="FV31" s="443">
        <v>6891055.8702072203</v>
      </c>
      <c r="FW31" s="443">
        <v>6891055.8702072203</v>
      </c>
      <c r="FX31" s="443">
        <v>6891055.8702072203</v>
      </c>
      <c r="FY31" s="443">
        <v>6891055.8702072203</v>
      </c>
      <c r="FZ31" s="443">
        <v>0</v>
      </c>
      <c r="GA31" s="443">
        <v>0</v>
      </c>
      <c r="GB31" s="443">
        <v>0</v>
      </c>
      <c r="GC31" s="443">
        <v>0</v>
      </c>
      <c r="GD31" s="443">
        <v>0</v>
      </c>
      <c r="GE31" s="443">
        <v>0</v>
      </c>
      <c r="GF31" s="443">
        <v>0</v>
      </c>
      <c r="GG31" s="443">
        <v>0</v>
      </c>
      <c r="GH31" s="443">
        <v>0</v>
      </c>
      <c r="GI31" s="443">
        <v>0</v>
      </c>
      <c r="GJ31" s="443">
        <v>0</v>
      </c>
      <c r="GK31" s="443">
        <v>0</v>
      </c>
      <c r="GL31" s="442">
        <v>5502830.4981974801</v>
      </c>
      <c r="GM31" s="443">
        <v>5502830.4981974801</v>
      </c>
      <c r="GN31" s="443">
        <v>5502830.4981974801</v>
      </c>
      <c r="GO31" s="443">
        <v>5502830.4981974801</v>
      </c>
      <c r="GP31" s="443">
        <v>5502830.4981974801</v>
      </c>
      <c r="GQ31" s="443">
        <v>5502830.4981974801</v>
      </c>
      <c r="GR31" s="443">
        <v>5502830.4981974801</v>
      </c>
      <c r="GS31" s="443">
        <v>5502830.4981974801</v>
      </c>
      <c r="GT31" s="443">
        <v>5502830.4981974801</v>
      </c>
      <c r="GU31" s="443">
        <v>5642111.3202580204</v>
      </c>
      <c r="GV31" s="443">
        <v>5642111.3202580204</v>
      </c>
      <c r="GW31" s="443">
        <v>5642111.3202580204</v>
      </c>
      <c r="GX31" s="443">
        <v>5642111.3202580204</v>
      </c>
      <c r="GY31" s="443">
        <v>5642111.3202580204</v>
      </c>
      <c r="GZ31" s="443">
        <v>5642111.3202580204</v>
      </c>
      <c r="HA31" s="443">
        <v>5642111.3202580204</v>
      </c>
      <c r="HB31" s="443">
        <v>5642111.3202580204</v>
      </c>
      <c r="HC31" s="443">
        <v>5642111.3202580204</v>
      </c>
      <c r="HD31" s="443">
        <v>5642111.3202580204</v>
      </c>
      <c r="HE31" s="443">
        <v>5642111.3202580204</v>
      </c>
      <c r="HF31" s="443">
        <v>5642111.3202580204</v>
      </c>
      <c r="HG31" s="443">
        <v>5784917.4457783597</v>
      </c>
      <c r="HH31" s="443">
        <v>5784917.4457783597</v>
      </c>
      <c r="HI31" s="443">
        <v>5784917.4457783597</v>
      </c>
      <c r="HJ31" s="443">
        <v>5784917.4457783597</v>
      </c>
      <c r="HK31" s="443">
        <v>5784917.4457783597</v>
      </c>
      <c r="HL31" s="443">
        <v>5784917.4457783597</v>
      </c>
      <c r="HM31" s="443">
        <v>5784917.4457783597</v>
      </c>
      <c r="HN31" s="443">
        <v>5784917.4457783597</v>
      </c>
      <c r="HO31" s="443">
        <v>5784917.4457783597</v>
      </c>
      <c r="HP31" s="443">
        <v>5784917.4457783597</v>
      </c>
      <c r="HQ31" s="443">
        <v>5784917.4457783597</v>
      </c>
      <c r="HR31" s="443">
        <v>5784917.4457783597</v>
      </c>
      <c r="HS31" s="443">
        <v>5931338.1028682599</v>
      </c>
      <c r="HT31" s="443">
        <v>5931338.1028682599</v>
      </c>
      <c r="HU31" s="443">
        <v>5931338.1028682599</v>
      </c>
      <c r="HV31" s="443">
        <v>5931338.1028682599</v>
      </c>
      <c r="HW31" s="443">
        <v>5931338.1028682599</v>
      </c>
      <c r="HX31" s="443">
        <v>5931338.1028682599</v>
      </c>
      <c r="HY31" s="443">
        <v>5931338.1028682599</v>
      </c>
      <c r="HZ31" s="443">
        <v>5931338.1028682599</v>
      </c>
      <c r="IA31" s="443">
        <v>5931338.1028682599</v>
      </c>
      <c r="IB31" s="443">
        <v>5931338.1028682599</v>
      </c>
      <c r="IC31" s="443">
        <v>5931338.1028682599</v>
      </c>
      <c r="ID31" s="443">
        <v>5931338.1028682599</v>
      </c>
      <c r="IE31" s="443">
        <v>6081464.77806882</v>
      </c>
      <c r="IF31" s="443">
        <v>6081464.77806882</v>
      </c>
      <c r="IG31" s="443">
        <v>6081464.77806882</v>
      </c>
      <c r="IH31" s="443">
        <v>6081464.77806882</v>
      </c>
      <c r="II31" s="443">
        <v>6081464.77806882</v>
      </c>
      <c r="IJ31" s="443">
        <v>6081464.77806882</v>
      </c>
      <c r="IK31" s="443">
        <v>6081464.77806882</v>
      </c>
      <c r="IL31" s="443">
        <v>6081464.77806882</v>
      </c>
      <c r="IM31" s="443">
        <v>6081464.77806882</v>
      </c>
      <c r="IN31" s="443">
        <v>6081464.77806882</v>
      </c>
      <c r="IO31" s="443">
        <v>6081464.77806882</v>
      </c>
      <c r="IP31" s="443">
        <v>6081464.77806882</v>
      </c>
      <c r="IQ31" s="443">
        <v>6235391.2735149805</v>
      </c>
      <c r="IR31" s="443">
        <v>6235391.2735149805</v>
      </c>
      <c r="IS31" s="443">
        <v>6235391.2735149805</v>
      </c>
      <c r="IT31" s="443">
        <v>6235391.2735149805</v>
      </c>
      <c r="IU31" s="443">
        <v>6235391.2735149805</v>
      </c>
      <c r="IV31" s="443">
        <v>6235391.2735149805</v>
      </c>
      <c r="IW31" s="443">
        <v>6235391.2735149805</v>
      </c>
      <c r="IX31" s="443">
        <v>6235391.2735149805</v>
      </c>
      <c r="IY31" s="443">
        <v>6235391.2735149805</v>
      </c>
      <c r="IZ31" s="443">
        <v>6235391.2735149805</v>
      </c>
      <c r="JA31" s="443">
        <v>6235391.2735149805</v>
      </c>
      <c r="JB31" s="443">
        <v>6235391.2735149805</v>
      </c>
      <c r="JC31" s="443">
        <v>6393213.7655450003</v>
      </c>
      <c r="JD31" s="443">
        <v>6393213.7655450003</v>
      </c>
      <c r="JE31" s="443">
        <v>6393213.7655450003</v>
      </c>
      <c r="JF31" s="443">
        <v>6393213.7655450003</v>
      </c>
      <c r="JG31" s="443">
        <v>6393213.7655450003</v>
      </c>
      <c r="JH31" s="443">
        <v>6393213.7655450003</v>
      </c>
      <c r="JI31" s="443">
        <v>6393213.7655450003</v>
      </c>
      <c r="JJ31" s="443">
        <v>6393213.7655450003</v>
      </c>
      <c r="JK31" s="443">
        <v>6393213.7655450003</v>
      </c>
      <c r="JL31" s="443">
        <v>6393213.7655450003</v>
      </c>
      <c r="JM31" s="443">
        <v>6393213.7655450003</v>
      </c>
      <c r="JN31" s="443">
        <v>6393213.7655450003</v>
      </c>
      <c r="JO31" s="443">
        <v>6555030.8647934198</v>
      </c>
      <c r="JP31" s="443">
        <v>6555030.8647934198</v>
      </c>
      <c r="JQ31" s="443">
        <v>6555030.8647934198</v>
      </c>
      <c r="JR31" s="443">
        <v>6555030.8647934198</v>
      </c>
      <c r="JS31" s="443">
        <v>6555030.8647934198</v>
      </c>
      <c r="JT31" s="443">
        <v>6555030.8647934198</v>
      </c>
      <c r="JU31" s="443">
        <v>6555030.8647934198</v>
      </c>
      <c r="JV31" s="443">
        <v>6555030.8647934198</v>
      </c>
      <c r="JW31" s="443">
        <v>6555030.8647934198</v>
      </c>
      <c r="JX31" s="443">
        <v>6555030.8647934198</v>
      </c>
      <c r="JY31" s="443">
        <v>6555030.8647934198</v>
      </c>
      <c r="JZ31" s="443">
        <v>6555030.8647934198</v>
      </c>
      <c r="KA31" s="443">
        <v>6720943.6778047998</v>
      </c>
      <c r="KB31" s="443">
        <v>6720943.6778047998</v>
      </c>
      <c r="KC31" s="443">
        <v>6720943.6778047998</v>
      </c>
      <c r="KD31" s="443">
        <v>6720943.6778047998</v>
      </c>
      <c r="KE31" s="443">
        <v>6720943.6778047998</v>
      </c>
      <c r="KF31" s="443">
        <v>6720943.6778047998</v>
      </c>
      <c r="KG31" s="443">
        <v>6720943.6778047998</v>
      </c>
      <c r="KH31" s="443">
        <v>6720943.6778047998</v>
      </c>
      <c r="KI31" s="443">
        <v>6720943.6778047998</v>
      </c>
      <c r="KJ31" s="443">
        <v>6720943.6778047998</v>
      </c>
      <c r="KK31" s="443">
        <v>6720943.6778047998</v>
      </c>
      <c r="KL31" s="443">
        <v>6720943.6778047998</v>
      </c>
      <c r="KM31" s="443">
        <v>6891055.8702072203</v>
      </c>
      <c r="KN31" s="443">
        <v>6891055.8702072203</v>
      </c>
      <c r="KO31" s="443">
        <v>6891055.8702072203</v>
      </c>
      <c r="KP31" s="443">
        <v>6891055.8702072203</v>
      </c>
      <c r="KQ31" s="443">
        <v>6891055.8702072203</v>
      </c>
      <c r="KR31" s="443">
        <v>6891055.8702072203</v>
      </c>
      <c r="KS31" s="443">
        <v>6891055.8702072203</v>
      </c>
      <c r="KT31" s="443">
        <v>6891055.8702072203</v>
      </c>
      <c r="KU31" s="443">
        <v>6891055.8702072203</v>
      </c>
      <c r="KV31" s="443">
        <v>6891055.8702072203</v>
      </c>
      <c r="KW31" s="443">
        <v>6891055.8702072203</v>
      </c>
      <c r="KX31" s="443">
        <v>6891055.8702072203</v>
      </c>
      <c r="KY31" s="443"/>
      <c r="KZ31" s="442"/>
      <c r="LA31" s="550"/>
    </row>
    <row r="32" spans="1:314">
      <c r="A32" s="459" t="s">
        <v>1009</v>
      </c>
      <c r="B32" s="463" t="s">
        <v>1184</v>
      </c>
      <c r="C32" s="463" t="s">
        <v>176</v>
      </c>
      <c r="D32" s="456" t="s">
        <v>1223</v>
      </c>
      <c r="E32" s="463"/>
      <c r="F32" s="456"/>
      <c r="G32" s="456"/>
      <c r="H32" s="456"/>
      <c r="I32" s="456"/>
      <c r="J32" s="456" t="s">
        <v>1417</v>
      </c>
      <c r="K32" s="456">
        <v>0</v>
      </c>
      <c r="L32" s="456" t="s">
        <v>899</v>
      </c>
      <c r="M32" s="470">
        <v>1</v>
      </c>
      <c r="N32" s="470">
        <v>1</v>
      </c>
      <c r="O32" s="470">
        <v>1</v>
      </c>
      <c r="P32" s="470">
        <v>1</v>
      </c>
      <c r="Q32" s="470">
        <v>1</v>
      </c>
      <c r="R32" s="470">
        <v>1</v>
      </c>
      <c r="S32" s="470">
        <v>1</v>
      </c>
      <c r="T32" s="470">
        <v>1</v>
      </c>
      <c r="U32" s="470">
        <v>1</v>
      </c>
      <c r="V32" s="470">
        <v>1</v>
      </c>
      <c r="W32" s="470">
        <v>0</v>
      </c>
      <c r="X32" s="457">
        <v>3</v>
      </c>
      <c r="Y32" s="472">
        <v>2751415.2490987401</v>
      </c>
      <c r="Z32" s="472">
        <v>2821055.6601290102</v>
      </c>
      <c r="AA32" s="472">
        <v>2892458.7228891798</v>
      </c>
      <c r="AB32" s="472">
        <v>2965669.0514341299</v>
      </c>
      <c r="AC32" s="472">
        <v>3040732.38903441</v>
      </c>
      <c r="AD32" s="472">
        <v>3117695.6367574902</v>
      </c>
      <c r="AE32" s="472">
        <v>3196606.8827725002</v>
      </c>
      <c r="AF32" s="472">
        <v>3277515.4323967099</v>
      </c>
      <c r="AG32" s="472">
        <v>3360471.8389023999</v>
      </c>
      <c r="AH32" s="472">
        <v>3445527.9351036102</v>
      </c>
      <c r="AI32" s="472">
        <v>0</v>
      </c>
      <c r="AJ32" s="457">
        <v>9</v>
      </c>
      <c r="AK32" s="457">
        <v>12</v>
      </c>
      <c r="AL32" s="457">
        <v>12</v>
      </c>
      <c r="AM32" s="457">
        <v>12</v>
      </c>
      <c r="AN32" s="457">
        <v>12</v>
      </c>
      <c r="AO32" s="457">
        <v>12</v>
      </c>
      <c r="AP32" s="457">
        <v>12</v>
      </c>
      <c r="AQ32" s="457">
        <v>12</v>
      </c>
      <c r="AR32" s="457">
        <v>12</v>
      </c>
      <c r="AS32" s="457">
        <v>12</v>
      </c>
      <c r="AT32" s="457"/>
      <c r="AU32" s="458">
        <v>1</v>
      </c>
      <c r="AV32" s="510">
        <v>1.02531076</v>
      </c>
      <c r="AW32" s="456">
        <v>0</v>
      </c>
      <c r="AX32" s="443">
        <v>362175539.83492196</v>
      </c>
      <c r="AY32" s="443">
        <v>24762737.241888661</v>
      </c>
      <c r="AZ32" s="443">
        <v>33852667.921548121</v>
      </c>
      <c r="BA32" s="443">
        <v>34709504.674670167</v>
      </c>
      <c r="BB32" s="443">
        <v>35588028.617209561</v>
      </c>
      <c r="BC32" s="443">
        <v>36488788.668412916</v>
      </c>
      <c r="BD32" s="443">
        <v>37412347.641089879</v>
      </c>
      <c r="BE32" s="443">
        <v>38359282.593270004</v>
      </c>
      <c r="BF32" s="443">
        <v>39330185.188760519</v>
      </c>
      <c r="BG32" s="443">
        <v>40325662.066828795</v>
      </c>
      <c r="BH32" s="443">
        <v>41346335.221243322</v>
      </c>
      <c r="BI32" s="443">
        <v>0</v>
      </c>
      <c r="BJ32" s="531">
        <v>0</v>
      </c>
      <c r="BK32" s="532">
        <v>0</v>
      </c>
      <c r="BL32" s="532">
        <v>0</v>
      </c>
      <c r="BM32" s="443">
        <v>2751415.2490987401</v>
      </c>
      <c r="BN32" s="443">
        <v>2751415.2490987401</v>
      </c>
      <c r="BO32" s="443">
        <v>2751415.2490987401</v>
      </c>
      <c r="BP32" s="443">
        <v>2751415.2490987401</v>
      </c>
      <c r="BQ32" s="443">
        <v>2751415.2490987401</v>
      </c>
      <c r="BR32" s="443">
        <v>2751415.2490987401</v>
      </c>
      <c r="BS32" s="443">
        <v>2751415.2490987401</v>
      </c>
      <c r="BT32" s="443">
        <v>2751415.2490987401</v>
      </c>
      <c r="BU32" s="443">
        <v>2751415.2490987401</v>
      </c>
      <c r="BV32" s="443">
        <v>2821055.6601290102</v>
      </c>
      <c r="BW32" s="443">
        <v>2821055.6601290102</v>
      </c>
      <c r="BX32" s="443">
        <v>2821055.6601290102</v>
      </c>
      <c r="BY32" s="443">
        <v>2821055.6601290102</v>
      </c>
      <c r="BZ32" s="443">
        <v>2821055.6601290102</v>
      </c>
      <c r="CA32" s="443">
        <v>2821055.6601290102</v>
      </c>
      <c r="CB32" s="443">
        <v>2821055.6601290102</v>
      </c>
      <c r="CC32" s="443">
        <v>2821055.6601290102</v>
      </c>
      <c r="CD32" s="443">
        <v>2821055.6601290102</v>
      </c>
      <c r="CE32" s="443">
        <v>2821055.6601290102</v>
      </c>
      <c r="CF32" s="443">
        <v>2821055.6601290102</v>
      </c>
      <c r="CG32" s="443">
        <v>2821055.6601290102</v>
      </c>
      <c r="CH32" s="443">
        <v>2892458.7228891798</v>
      </c>
      <c r="CI32" s="443">
        <v>2892458.7228891798</v>
      </c>
      <c r="CJ32" s="443">
        <v>2892458.7228891798</v>
      </c>
      <c r="CK32" s="443">
        <v>2892458.7228891798</v>
      </c>
      <c r="CL32" s="443">
        <v>2892458.7228891798</v>
      </c>
      <c r="CM32" s="443">
        <v>2892458.7228891798</v>
      </c>
      <c r="CN32" s="443">
        <v>2892458.7228891798</v>
      </c>
      <c r="CO32" s="443">
        <v>2892458.7228891798</v>
      </c>
      <c r="CP32" s="443">
        <v>2892458.7228891798</v>
      </c>
      <c r="CQ32" s="443">
        <v>2892458.7228891798</v>
      </c>
      <c r="CR32" s="443">
        <v>2892458.7228891798</v>
      </c>
      <c r="CS32" s="443">
        <v>2892458.7228891798</v>
      </c>
      <c r="CT32" s="443">
        <v>2965669.0514341299</v>
      </c>
      <c r="CU32" s="443">
        <v>2965669.0514341299</v>
      </c>
      <c r="CV32" s="443">
        <v>2965669.0514341299</v>
      </c>
      <c r="CW32" s="443">
        <v>2965669.0514341299</v>
      </c>
      <c r="CX32" s="443">
        <v>2965669.0514341299</v>
      </c>
      <c r="CY32" s="443">
        <v>2965669.0514341299</v>
      </c>
      <c r="CZ32" s="443">
        <v>2965669.0514341299</v>
      </c>
      <c r="DA32" s="443">
        <v>2965669.0514341299</v>
      </c>
      <c r="DB32" s="443">
        <v>2965669.0514341299</v>
      </c>
      <c r="DC32" s="443">
        <v>2965669.0514341299</v>
      </c>
      <c r="DD32" s="443">
        <v>2965669.0514341299</v>
      </c>
      <c r="DE32" s="443">
        <v>2965669.0514341299</v>
      </c>
      <c r="DF32" s="443">
        <v>3040732.38903441</v>
      </c>
      <c r="DG32" s="443">
        <v>3040732.38903441</v>
      </c>
      <c r="DH32" s="443">
        <v>3040732.38903441</v>
      </c>
      <c r="DI32" s="443">
        <v>3040732.38903441</v>
      </c>
      <c r="DJ32" s="443">
        <v>3040732.38903441</v>
      </c>
      <c r="DK32" s="443">
        <v>3040732.38903441</v>
      </c>
      <c r="DL32" s="443">
        <v>3040732.38903441</v>
      </c>
      <c r="DM32" s="443">
        <v>3040732.38903441</v>
      </c>
      <c r="DN32" s="443">
        <v>3040732.38903441</v>
      </c>
      <c r="DO32" s="443">
        <v>3040732.38903441</v>
      </c>
      <c r="DP32" s="443">
        <v>3040732.38903441</v>
      </c>
      <c r="DQ32" s="443">
        <v>3040732.38903441</v>
      </c>
      <c r="DR32" s="443">
        <v>3117695.6367574902</v>
      </c>
      <c r="DS32" s="443">
        <v>3117695.6367574902</v>
      </c>
      <c r="DT32" s="443">
        <v>3117695.6367574902</v>
      </c>
      <c r="DU32" s="443">
        <v>3117695.6367574902</v>
      </c>
      <c r="DV32" s="443">
        <v>3117695.6367574902</v>
      </c>
      <c r="DW32" s="443">
        <v>3117695.6367574902</v>
      </c>
      <c r="DX32" s="443">
        <v>3117695.6367574902</v>
      </c>
      <c r="DY32" s="443">
        <v>3117695.6367574902</v>
      </c>
      <c r="DZ32" s="443">
        <v>3117695.6367574902</v>
      </c>
      <c r="EA32" s="443">
        <v>3117695.6367574902</v>
      </c>
      <c r="EB32" s="443">
        <v>3117695.6367574902</v>
      </c>
      <c r="EC32" s="443">
        <v>3117695.6367574902</v>
      </c>
      <c r="ED32" s="443">
        <v>3196606.8827725002</v>
      </c>
      <c r="EE32" s="443">
        <v>3196606.8827725002</v>
      </c>
      <c r="EF32" s="443">
        <v>3196606.8827725002</v>
      </c>
      <c r="EG32" s="443">
        <v>3196606.8827725002</v>
      </c>
      <c r="EH32" s="443">
        <v>3196606.8827725002</v>
      </c>
      <c r="EI32" s="443">
        <v>3196606.8827725002</v>
      </c>
      <c r="EJ32" s="443">
        <v>3196606.8827725002</v>
      </c>
      <c r="EK32" s="443">
        <v>3196606.8827725002</v>
      </c>
      <c r="EL32" s="443">
        <v>3196606.8827725002</v>
      </c>
      <c r="EM32" s="443">
        <v>3196606.8827725002</v>
      </c>
      <c r="EN32" s="443">
        <v>3196606.8827725002</v>
      </c>
      <c r="EO32" s="443">
        <v>3196606.8827725002</v>
      </c>
      <c r="EP32" s="443">
        <v>3277515.4323967099</v>
      </c>
      <c r="EQ32" s="443">
        <v>3277515.4323967099</v>
      </c>
      <c r="ER32" s="443">
        <v>3277515.4323967099</v>
      </c>
      <c r="ES32" s="443">
        <v>3277515.4323967099</v>
      </c>
      <c r="ET32" s="443">
        <v>3277515.4323967099</v>
      </c>
      <c r="EU32" s="443">
        <v>3277515.4323967099</v>
      </c>
      <c r="EV32" s="443">
        <v>3277515.4323967099</v>
      </c>
      <c r="EW32" s="443">
        <v>3277515.4323967099</v>
      </c>
      <c r="EX32" s="443">
        <v>3277515.4323967099</v>
      </c>
      <c r="EY32" s="443">
        <v>3277515.4323967099</v>
      </c>
      <c r="EZ32" s="443">
        <v>3277515.4323967099</v>
      </c>
      <c r="FA32" s="443">
        <v>3277515.4323967099</v>
      </c>
      <c r="FB32" s="443">
        <v>3360471.8389023999</v>
      </c>
      <c r="FC32" s="443">
        <v>3360471.8389023999</v>
      </c>
      <c r="FD32" s="443">
        <v>3360471.8389023999</v>
      </c>
      <c r="FE32" s="443">
        <v>3360471.8389023999</v>
      </c>
      <c r="FF32" s="443">
        <v>3360471.8389023999</v>
      </c>
      <c r="FG32" s="443">
        <v>3360471.8389023999</v>
      </c>
      <c r="FH32" s="443">
        <v>3360471.8389023999</v>
      </c>
      <c r="FI32" s="443">
        <v>3360471.8389023999</v>
      </c>
      <c r="FJ32" s="443">
        <v>3360471.8389023999</v>
      </c>
      <c r="FK32" s="443">
        <v>3360471.8389023999</v>
      </c>
      <c r="FL32" s="443">
        <v>3360471.8389023999</v>
      </c>
      <c r="FM32" s="443">
        <v>3360471.8389023999</v>
      </c>
      <c r="FN32" s="443">
        <v>3445527.9351036102</v>
      </c>
      <c r="FO32" s="443">
        <v>3445527.9351036102</v>
      </c>
      <c r="FP32" s="443">
        <v>3445527.9351036102</v>
      </c>
      <c r="FQ32" s="443">
        <v>3445527.9351036102</v>
      </c>
      <c r="FR32" s="443">
        <v>3445527.9351036102</v>
      </c>
      <c r="FS32" s="443">
        <v>3445527.9351036102</v>
      </c>
      <c r="FT32" s="443">
        <v>3445527.9351036102</v>
      </c>
      <c r="FU32" s="443">
        <v>3445527.9351036102</v>
      </c>
      <c r="FV32" s="443">
        <v>3445527.9351036102</v>
      </c>
      <c r="FW32" s="443">
        <v>3445527.9351036102</v>
      </c>
      <c r="FX32" s="443">
        <v>3445527.9351036102</v>
      </c>
      <c r="FY32" s="443">
        <v>3445527.9351036102</v>
      </c>
      <c r="FZ32" s="443">
        <v>0</v>
      </c>
      <c r="GA32" s="443">
        <v>0</v>
      </c>
      <c r="GB32" s="443">
        <v>0</v>
      </c>
      <c r="GC32" s="443">
        <v>0</v>
      </c>
      <c r="GD32" s="443">
        <v>0</v>
      </c>
      <c r="GE32" s="443">
        <v>0</v>
      </c>
      <c r="GF32" s="443">
        <v>0</v>
      </c>
      <c r="GG32" s="443">
        <v>0</v>
      </c>
      <c r="GH32" s="443">
        <v>0</v>
      </c>
      <c r="GI32" s="443">
        <v>0</v>
      </c>
      <c r="GJ32" s="443">
        <v>0</v>
      </c>
      <c r="GK32" s="443">
        <v>0</v>
      </c>
      <c r="GL32" s="442">
        <v>2751415.2490987401</v>
      </c>
      <c r="GM32" s="443">
        <v>2751415.2490987401</v>
      </c>
      <c r="GN32" s="443">
        <v>2751415.2490987401</v>
      </c>
      <c r="GO32" s="443">
        <v>2751415.2490987401</v>
      </c>
      <c r="GP32" s="443">
        <v>2751415.2490987401</v>
      </c>
      <c r="GQ32" s="443">
        <v>2751415.2490987401</v>
      </c>
      <c r="GR32" s="443">
        <v>2751415.2490987401</v>
      </c>
      <c r="GS32" s="443">
        <v>2751415.2490987401</v>
      </c>
      <c r="GT32" s="443">
        <v>2751415.2490987401</v>
      </c>
      <c r="GU32" s="443">
        <v>2821055.6601290102</v>
      </c>
      <c r="GV32" s="443">
        <v>2821055.6601290102</v>
      </c>
      <c r="GW32" s="443">
        <v>2821055.6601290102</v>
      </c>
      <c r="GX32" s="443">
        <v>2821055.6601290102</v>
      </c>
      <c r="GY32" s="443">
        <v>2821055.6601290102</v>
      </c>
      <c r="GZ32" s="443">
        <v>2821055.6601290102</v>
      </c>
      <c r="HA32" s="443">
        <v>2821055.6601290102</v>
      </c>
      <c r="HB32" s="443">
        <v>2821055.6601290102</v>
      </c>
      <c r="HC32" s="443">
        <v>2821055.6601290102</v>
      </c>
      <c r="HD32" s="443">
        <v>2821055.6601290102</v>
      </c>
      <c r="HE32" s="443">
        <v>2821055.6601290102</v>
      </c>
      <c r="HF32" s="443">
        <v>2821055.6601290102</v>
      </c>
      <c r="HG32" s="443">
        <v>2892458.7228891798</v>
      </c>
      <c r="HH32" s="443">
        <v>2892458.7228891798</v>
      </c>
      <c r="HI32" s="443">
        <v>2892458.7228891798</v>
      </c>
      <c r="HJ32" s="443">
        <v>2892458.7228891798</v>
      </c>
      <c r="HK32" s="443">
        <v>2892458.7228891798</v>
      </c>
      <c r="HL32" s="443">
        <v>2892458.7228891798</v>
      </c>
      <c r="HM32" s="443">
        <v>2892458.7228891798</v>
      </c>
      <c r="HN32" s="443">
        <v>2892458.7228891798</v>
      </c>
      <c r="HO32" s="443">
        <v>2892458.7228891798</v>
      </c>
      <c r="HP32" s="443">
        <v>2892458.7228891798</v>
      </c>
      <c r="HQ32" s="443">
        <v>2892458.7228891798</v>
      </c>
      <c r="HR32" s="443">
        <v>2892458.7228891798</v>
      </c>
      <c r="HS32" s="443">
        <v>2965669.0514341299</v>
      </c>
      <c r="HT32" s="443">
        <v>2965669.0514341299</v>
      </c>
      <c r="HU32" s="443">
        <v>2965669.0514341299</v>
      </c>
      <c r="HV32" s="443">
        <v>2965669.0514341299</v>
      </c>
      <c r="HW32" s="443">
        <v>2965669.0514341299</v>
      </c>
      <c r="HX32" s="443">
        <v>2965669.0514341299</v>
      </c>
      <c r="HY32" s="443">
        <v>2965669.0514341299</v>
      </c>
      <c r="HZ32" s="443">
        <v>2965669.0514341299</v>
      </c>
      <c r="IA32" s="443">
        <v>2965669.0514341299</v>
      </c>
      <c r="IB32" s="443">
        <v>2965669.0514341299</v>
      </c>
      <c r="IC32" s="443">
        <v>2965669.0514341299</v>
      </c>
      <c r="ID32" s="443">
        <v>2965669.0514341299</v>
      </c>
      <c r="IE32" s="443">
        <v>3040732.38903441</v>
      </c>
      <c r="IF32" s="443">
        <v>3040732.38903441</v>
      </c>
      <c r="IG32" s="443">
        <v>3040732.38903441</v>
      </c>
      <c r="IH32" s="443">
        <v>3040732.38903441</v>
      </c>
      <c r="II32" s="443">
        <v>3040732.38903441</v>
      </c>
      <c r="IJ32" s="443">
        <v>3040732.38903441</v>
      </c>
      <c r="IK32" s="443">
        <v>3040732.38903441</v>
      </c>
      <c r="IL32" s="443">
        <v>3040732.38903441</v>
      </c>
      <c r="IM32" s="443">
        <v>3040732.38903441</v>
      </c>
      <c r="IN32" s="443">
        <v>3040732.38903441</v>
      </c>
      <c r="IO32" s="443">
        <v>3040732.38903441</v>
      </c>
      <c r="IP32" s="443">
        <v>3040732.38903441</v>
      </c>
      <c r="IQ32" s="443">
        <v>3117695.6367574902</v>
      </c>
      <c r="IR32" s="443">
        <v>3117695.6367574902</v>
      </c>
      <c r="IS32" s="443">
        <v>3117695.6367574902</v>
      </c>
      <c r="IT32" s="443">
        <v>3117695.6367574902</v>
      </c>
      <c r="IU32" s="443">
        <v>3117695.6367574902</v>
      </c>
      <c r="IV32" s="443">
        <v>3117695.6367574902</v>
      </c>
      <c r="IW32" s="443">
        <v>3117695.6367574902</v>
      </c>
      <c r="IX32" s="443">
        <v>3117695.6367574902</v>
      </c>
      <c r="IY32" s="443">
        <v>3117695.6367574902</v>
      </c>
      <c r="IZ32" s="443">
        <v>3117695.6367574902</v>
      </c>
      <c r="JA32" s="443">
        <v>3117695.6367574902</v>
      </c>
      <c r="JB32" s="443">
        <v>3117695.6367574902</v>
      </c>
      <c r="JC32" s="443">
        <v>3196606.8827725002</v>
      </c>
      <c r="JD32" s="443">
        <v>3196606.8827725002</v>
      </c>
      <c r="JE32" s="443">
        <v>3196606.8827725002</v>
      </c>
      <c r="JF32" s="443">
        <v>3196606.8827725002</v>
      </c>
      <c r="JG32" s="443">
        <v>3196606.8827725002</v>
      </c>
      <c r="JH32" s="443">
        <v>3196606.8827725002</v>
      </c>
      <c r="JI32" s="443">
        <v>3196606.8827725002</v>
      </c>
      <c r="JJ32" s="443">
        <v>3196606.8827725002</v>
      </c>
      <c r="JK32" s="443">
        <v>3196606.8827725002</v>
      </c>
      <c r="JL32" s="443">
        <v>3196606.8827725002</v>
      </c>
      <c r="JM32" s="443">
        <v>3196606.8827725002</v>
      </c>
      <c r="JN32" s="443">
        <v>3196606.8827725002</v>
      </c>
      <c r="JO32" s="443">
        <v>3277515.4323967099</v>
      </c>
      <c r="JP32" s="443">
        <v>3277515.4323967099</v>
      </c>
      <c r="JQ32" s="443">
        <v>3277515.4323967099</v>
      </c>
      <c r="JR32" s="443">
        <v>3277515.4323967099</v>
      </c>
      <c r="JS32" s="443">
        <v>3277515.4323967099</v>
      </c>
      <c r="JT32" s="443">
        <v>3277515.4323967099</v>
      </c>
      <c r="JU32" s="443">
        <v>3277515.4323967099</v>
      </c>
      <c r="JV32" s="443">
        <v>3277515.4323967099</v>
      </c>
      <c r="JW32" s="443">
        <v>3277515.4323967099</v>
      </c>
      <c r="JX32" s="443">
        <v>3277515.4323967099</v>
      </c>
      <c r="JY32" s="443">
        <v>3277515.4323967099</v>
      </c>
      <c r="JZ32" s="443">
        <v>3277515.4323967099</v>
      </c>
      <c r="KA32" s="443">
        <v>3360471.8389023999</v>
      </c>
      <c r="KB32" s="443">
        <v>3360471.8389023999</v>
      </c>
      <c r="KC32" s="443">
        <v>3360471.8389023999</v>
      </c>
      <c r="KD32" s="443">
        <v>3360471.8389023999</v>
      </c>
      <c r="KE32" s="443">
        <v>3360471.8389023999</v>
      </c>
      <c r="KF32" s="443">
        <v>3360471.8389023999</v>
      </c>
      <c r="KG32" s="443">
        <v>3360471.8389023999</v>
      </c>
      <c r="KH32" s="443">
        <v>3360471.8389023999</v>
      </c>
      <c r="KI32" s="443">
        <v>3360471.8389023999</v>
      </c>
      <c r="KJ32" s="443">
        <v>3360471.8389023999</v>
      </c>
      <c r="KK32" s="443">
        <v>3360471.8389023999</v>
      </c>
      <c r="KL32" s="443">
        <v>3360471.8389023999</v>
      </c>
      <c r="KM32" s="443">
        <v>3445527.9351036102</v>
      </c>
      <c r="KN32" s="443">
        <v>3445527.9351036102</v>
      </c>
      <c r="KO32" s="443">
        <v>3445527.9351036102</v>
      </c>
      <c r="KP32" s="443">
        <v>3445527.9351036102</v>
      </c>
      <c r="KQ32" s="443">
        <v>3445527.9351036102</v>
      </c>
      <c r="KR32" s="443">
        <v>3445527.9351036102</v>
      </c>
      <c r="KS32" s="443">
        <v>3445527.9351036102</v>
      </c>
      <c r="KT32" s="443">
        <v>3445527.9351036102</v>
      </c>
      <c r="KU32" s="443">
        <v>3445527.9351036102</v>
      </c>
      <c r="KV32" s="443">
        <v>3445527.9351036102</v>
      </c>
      <c r="KW32" s="443">
        <v>3445527.9351036102</v>
      </c>
      <c r="KX32" s="443">
        <v>3445527.9351036102</v>
      </c>
      <c r="KY32" s="443"/>
      <c r="KZ32" s="442"/>
      <c r="LA32" s="550"/>
    </row>
    <row r="33" spans="1:314">
      <c r="A33" s="459" t="s">
        <v>1010</v>
      </c>
      <c r="B33" s="463" t="s">
        <v>1184</v>
      </c>
      <c r="C33" s="463" t="s">
        <v>176</v>
      </c>
      <c r="D33" s="456" t="s">
        <v>978</v>
      </c>
      <c r="E33" s="463"/>
      <c r="F33" s="456"/>
      <c r="G33" s="456"/>
      <c r="H33" s="456"/>
      <c r="I33" s="456"/>
      <c r="J33" s="456" t="s">
        <v>1417</v>
      </c>
      <c r="K33" s="456">
        <v>0</v>
      </c>
      <c r="L33" s="456" t="s">
        <v>899</v>
      </c>
      <c r="M33" s="470"/>
      <c r="N33" s="470">
        <v>1</v>
      </c>
      <c r="O33" s="470">
        <v>1</v>
      </c>
      <c r="P33" s="470">
        <v>1</v>
      </c>
      <c r="Q33" s="470">
        <v>1</v>
      </c>
      <c r="R33" s="470">
        <v>1</v>
      </c>
      <c r="S33" s="470">
        <v>1</v>
      </c>
      <c r="T33" s="470">
        <v>1</v>
      </c>
      <c r="U33" s="470">
        <v>1</v>
      </c>
      <c r="V33" s="470">
        <v>1</v>
      </c>
      <c r="W33" s="470">
        <v>0</v>
      </c>
      <c r="X33" s="457">
        <v>3</v>
      </c>
      <c r="Y33" s="472">
        <v>2751415.2490987401</v>
      </c>
      <c r="Z33" s="472">
        <v>2821055.6601290102</v>
      </c>
      <c r="AA33" s="472">
        <v>2892458.7228891798</v>
      </c>
      <c r="AB33" s="472">
        <v>2965669.0514341299</v>
      </c>
      <c r="AC33" s="472">
        <v>3040732.38903441</v>
      </c>
      <c r="AD33" s="472">
        <v>3117695.6367574902</v>
      </c>
      <c r="AE33" s="472">
        <v>3196606.8827725002</v>
      </c>
      <c r="AF33" s="472">
        <v>3277515.4323967099</v>
      </c>
      <c r="AG33" s="472">
        <v>3360471.8389023999</v>
      </c>
      <c r="AH33" s="472">
        <v>3445527.9351036102</v>
      </c>
      <c r="AI33" s="472">
        <v>0</v>
      </c>
      <c r="AJ33" s="457">
        <v>9</v>
      </c>
      <c r="AK33" s="457">
        <v>12</v>
      </c>
      <c r="AL33" s="457">
        <v>12</v>
      </c>
      <c r="AM33" s="457">
        <v>12</v>
      </c>
      <c r="AN33" s="457">
        <v>12</v>
      </c>
      <c r="AO33" s="457">
        <v>12</v>
      </c>
      <c r="AP33" s="457">
        <v>12</v>
      </c>
      <c r="AQ33" s="457">
        <v>12</v>
      </c>
      <c r="AR33" s="457">
        <v>12</v>
      </c>
      <c r="AS33" s="457">
        <v>12</v>
      </c>
      <c r="AT33" s="457"/>
      <c r="AU33" s="458">
        <v>1</v>
      </c>
      <c r="AV33" s="510">
        <v>1.02531076</v>
      </c>
      <c r="AW33" s="456">
        <v>0</v>
      </c>
      <c r="AX33" s="443">
        <v>337412802.59303331</v>
      </c>
      <c r="AY33" s="443">
        <v>0</v>
      </c>
      <c r="AZ33" s="443">
        <v>33852667.921548121</v>
      </c>
      <c r="BA33" s="443">
        <v>34709504.674670167</v>
      </c>
      <c r="BB33" s="443">
        <v>35588028.617209561</v>
      </c>
      <c r="BC33" s="443">
        <v>36488788.668412916</v>
      </c>
      <c r="BD33" s="443">
        <v>37412347.641089879</v>
      </c>
      <c r="BE33" s="443">
        <v>38359282.593270004</v>
      </c>
      <c r="BF33" s="443">
        <v>39330185.188760519</v>
      </c>
      <c r="BG33" s="443">
        <v>40325662.066828795</v>
      </c>
      <c r="BH33" s="443">
        <v>41346335.221243322</v>
      </c>
      <c r="BI33" s="443">
        <v>0</v>
      </c>
      <c r="BJ33" s="531">
        <v>0</v>
      </c>
      <c r="BK33" s="532">
        <v>0</v>
      </c>
      <c r="BL33" s="532">
        <v>0</v>
      </c>
      <c r="BM33" s="443">
        <v>0</v>
      </c>
      <c r="BN33" s="443">
        <v>0</v>
      </c>
      <c r="BO33" s="443">
        <v>0</v>
      </c>
      <c r="BP33" s="443">
        <v>0</v>
      </c>
      <c r="BQ33" s="443">
        <v>0</v>
      </c>
      <c r="BR33" s="443">
        <v>0</v>
      </c>
      <c r="BS33" s="443">
        <v>0</v>
      </c>
      <c r="BT33" s="443">
        <v>0</v>
      </c>
      <c r="BU33" s="443">
        <v>0</v>
      </c>
      <c r="BV33" s="443">
        <v>2821055.6601290102</v>
      </c>
      <c r="BW33" s="443">
        <v>2821055.6601290102</v>
      </c>
      <c r="BX33" s="443">
        <v>2821055.6601290102</v>
      </c>
      <c r="BY33" s="443">
        <v>2821055.6601290102</v>
      </c>
      <c r="BZ33" s="443">
        <v>2821055.6601290102</v>
      </c>
      <c r="CA33" s="443">
        <v>2821055.6601290102</v>
      </c>
      <c r="CB33" s="443">
        <v>2821055.6601290102</v>
      </c>
      <c r="CC33" s="443">
        <v>2821055.6601290102</v>
      </c>
      <c r="CD33" s="443">
        <v>2821055.6601290102</v>
      </c>
      <c r="CE33" s="443">
        <v>2821055.6601290102</v>
      </c>
      <c r="CF33" s="443">
        <v>2821055.6601290102</v>
      </c>
      <c r="CG33" s="443">
        <v>2821055.6601290102</v>
      </c>
      <c r="CH33" s="443">
        <v>2892458.7228891798</v>
      </c>
      <c r="CI33" s="443">
        <v>2892458.7228891798</v>
      </c>
      <c r="CJ33" s="443">
        <v>2892458.7228891798</v>
      </c>
      <c r="CK33" s="443">
        <v>2892458.7228891798</v>
      </c>
      <c r="CL33" s="443">
        <v>2892458.7228891798</v>
      </c>
      <c r="CM33" s="443">
        <v>2892458.7228891798</v>
      </c>
      <c r="CN33" s="443">
        <v>2892458.7228891798</v>
      </c>
      <c r="CO33" s="443">
        <v>2892458.7228891798</v>
      </c>
      <c r="CP33" s="443">
        <v>2892458.7228891798</v>
      </c>
      <c r="CQ33" s="443">
        <v>2892458.7228891798</v>
      </c>
      <c r="CR33" s="443">
        <v>2892458.7228891798</v>
      </c>
      <c r="CS33" s="443">
        <v>2892458.7228891798</v>
      </c>
      <c r="CT33" s="443">
        <v>2965669.0514341299</v>
      </c>
      <c r="CU33" s="443">
        <v>2965669.0514341299</v>
      </c>
      <c r="CV33" s="443">
        <v>2965669.0514341299</v>
      </c>
      <c r="CW33" s="443">
        <v>2965669.0514341299</v>
      </c>
      <c r="CX33" s="443">
        <v>2965669.0514341299</v>
      </c>
      <c r="CY33" s="443">
        <v>2965669.0514341299</v>
      </c>
      <c r="CZ33" s="443">
        <v>2965669.0514341299</v>
      </c>
      <c r="DA33" s="443">
        <v>2965669.0514341299</v>
      </c>
      <c r="DB33" s="443">
        <v>2965669.0514341299</v>
      </c>
      <c r="DC33" s="443">
        <v>2965669.0514341299</v>
      </c>
      <c r="DD33" s="443">
        <v>2965669.0514341299</v>
      </c>
      <c r="DE33" s="443">
        <v>2965669.0514341299</v>
      </c>
      <c r="DF33" s="443">
        <v>3040732.38903441</v>
      </c>
      <c r="DG33" s="443">
        <v>3040732.38903441</v>
      </c>
      <c r="DH33" s="443">
        <v>3040732.38903441</v>
      </c>
      <c r="DI33" s="443">
        <v>3040732.38903441</v>
      </c>
      <c r="DJ33" s="443">
        <v>3040732.38903441</v>
      </c>
      <c r="DK33" s="443">
        <v>3040732.38903441</v>
      </c>
      <c r="DL33" s="443">
        <v>3040732.38903441</v>
      </c>
      <c r="DM33" s="443">
        <v>3040732.38903441</v>
      </c>
      <c r="DN33" s="443">
        <v>3040732.38903441</v>
      </c>
      <c r="DO33" s="443">
        <v>3040732.38903441</v>
      </c>
      <c r="DP33" s="443">
        <v>3040732.38903441</v>
      </c>
      <c r="DQ33" s="443">
        <v>3040732.38903441</v>
      </c>
      <c r="DR33" s="443">
        <v>3117695.6367574902</v>
      </c>
      <c r="DS33" s="443">
        <v>3117695.6367574902</v>
      </c>
      <c r="DT33" s="443">
        <v>3117695.6367574902</v>
      </c>
      <c r="DU33" s="443">
        <v>3117695.6367574902</v>
      </c>
      <c r="DV33" s="443">
        <v>3117695.6367574902</v>
      </c>
      <c r="DW33" s="443">
        <v>3117695.6367574902</v>
      </c>
      <c r="DX33" s="443">
        <v>3117695.6367574902</v>
      </c>
      <c r="DY33" s="443">
        <v>3117695.6367574902</v>
      </c>
      <c r="DZ33" s="443">
        <v>3117695.6367574902</v>
      </c>
      <c r="EA33" s="443">
        <v>3117695.6367574902</v>
      </c>
      <c r="EB33" s="443">
        <v>3117695.6367574902</v>
      </c>
      <c r="EC33" s="443">
        <v>3117695.6367574902</v>
      </c>
      <c r="ED33" s="443">
        <v>3196606.8827725002</v>
      </c>
      <c r="EE33" s="443">
        <v>3196606.8827725002</v>
      </c>
      <c r="EF33" s="443">
        <v>3196606.8827725002</v>
      </c>
      <c r="EG33" s="443">
        <v>3196606.8827725002</v>
      </c>
      <c r="EH33" s="443">
        <v>3196606.8827725002</v>
      </c>
      <c r="EI33" s="443">
        <v>3196606.8827725002</v>
      </c>
      <c r="EJ33" s="443">
        <v>3196606.8827725002</v>
      </c>
      <c r="EK33" s="443">
        <v>3196606.8827725002</v>
      </c>
      <c r="EL33" s="443">
        <v>3196606.8827725002</v>
      </c>
      <c r="EM33" s="443">
        <v>3196606.8827725002</v>
      </c>
      <c r="EN33" s="443">
        <v>3196606.8827725002</v>
      </c>
      <c r="EO33" s="443">
        <v>3196606.8827725002</v>
      </c>
      <c r="EP33" s="443">
        <v>3277515.4323967099</v>
      </c>
      <c r="EQ33" s="443">
        <v>3277515.4323967099</v>
      </c>
      <c r="ER33" s="443">
        <v>3277515.4323967099</v>
      </c>
      <c r="ES33" s="443">
        <v>3277515.4323967099</v>
      </c>
      <c r="ET33" s="443">
        <v>3277515.4323967099</v>
      </c>
      <c r="EU33" s="443">
        <v>3277515.4323967099</v>
      </c>
      <c r="EV33" s="443">
        <v>3277515.4323967099</v>
      </c>
      <c r="EW33" s="443">
        <v>3277515.4323967099</v>
      </c>
      <c r="EX33" s="443">
        <v>3277515.4323967099</v>
      </c>
      <c r="EY33" s="443">
        <v>3277515.4323967099</v>
      </c>
      <c r="EZ33" s="443">
        <v>3277515.4323967099</v>
      </c>
      <c r="FA33" s="443">
        <v>3277515.4323967099</v>
      </c>
      <c r="FB33" s="443">
        <v>3360471.8389023999</v>
      </c>
      <c r="FC33" s="443">
        <v>3360471.8389023999</v>
      </c>
      <c r="FD33" s="443">
        <v>3360471.8389023999</v>
      </c>
      <c r="FE33" s="443">
        <v>3360471.8389023999</v>
      </c>
      <c r="FF33" s="443">
        <v>3360471.8389023999</v>
      </c>
      <c r="FG33" s="443">
        <v>3360471.8389023999</v>
      </c>
      <c r="FH33" s="443">
        <v>3360471.8389023999</v>
      </c>
      <c r="FI33" s="443">
        <v>3360471.8389023999</v>
      </c>
      <c r="FJ33" s="443">
        <v>3360471.8389023999</v>
      </c>
      <c r="FK33" s="443">
        <v>3360471.8389023999</v>
      </c>
      <c r="FL33" s="443">
        <v>3360471.8389023999</v>
      </c>
      <c r="FM33" s="443">
        <v>3360471.8389023999</v>
      </c>
      <c r="FN33" s="443">
        <v>3445527.9351036102</v>
      </c>
      <c r="FO33" s="443">
        <v>3445527.9351036102</v>
      </c>
      <c r="FP33" s="443">
        <v>3445527.9351036102</v>
      </c>
      <c r="FQ33" s="443">
        <v>3445527.9351036102</v>
      </c>
      <c r="FR33" s="443">
        <v>3445527.9351036102</v>
      </c>
      <c r="FS33" s="443">
        <v>3445527.9351036102</v>
      </c>
      <c r="FT33" s="443">
        <v>3445527.9351036102</v>
      </c>
      <c r="FU33" s="443">
        <v>3445527.9351036102</v>
      </c>
      <c r="FV33" s="443">
        <v>3445527.9351036102</v>
      </c>
      <c r="FW33" s="443">
        <v>3445527.9351036102</v>
      </c>
      <c r="FX33" s="443">
        <v>3445527.9351036102</v>
      </c>
      <c r="FY33" s="443">
        <v>3445527.9351036102</v>
      </c>
      <c r="FZ33" s="443">
        <v>0</v>
      </c>
      <c r="GA33" s="443">
        <v>0</v>
      </c>
      <c r="GB33" s="443">
        <v>0</v>
      </c>
      <c r="GC33" s="443">
        <v>0</v>
      </c>
      <c r="GD33" s="443">
        <v>0</v>
      </c>
      <c r="GE33" s="443">
        <v>0</v>
      </c>
      <c r="GF33" s="443">
        <v>0</v>
      </c>
      <c r="GG33" s="443">
        <v>0</v>
      </c>
      <c r="GH33" s="443">
        <v>0</v>
      </c>
      <c r="GI33" s="443">
        <v>0</v>
      </c>
      <c r="GJ33" s="443">
        <v>0</v>
      </c>
      <c r="GK33" s="443">
        <v>0</v>
      </c>
      <c r="GL33" s="442">
        <v>0</v>
      </c>
      <c r="GM33" s="443">
        <v>0</v>
      </c>
      <c r="GN33" s="443">
        <v>0</v>
      </c>
      <c r="GO33" s="443">
        <v>0</v>
      </c>
      <c r="GP33" s="443">
        <v>0</v>
      </c>
      <c r="GQ33" s="443">
        <v>0</v>
      </c>
      <c r="GR33" s="443">
        <v>0</v>
      </c>
      <c r="GS33" s="443">
        <v>0</v>
      </c>
      <c r="GT33" s="443">
        <v>0</v>
      </c>
      <c r="GU33" s="443">
        <v>2821055.6601290102</v>
      </c>
      <c r="GV33" s="443">
        <v>2821055.6601290102</v>
      </c>
      <c r="GW33" s="443">
        <v>2821055.6601290102</v>
      </c>
      <c r="GX33" s="443">
        <v>2821055.6601290102</v>
      </c>
      <c r="GY33" s="443">
        <v>2821055.6601290102</v>
      </c>
      <c r="GZ33" s="443">
        <v>2821055.6601290102</v>
      </c>
      <c r="HA33" s="443">
        <v>2821055.6601290102</v>
      </c>
      <c r="HB33" s="443">
        <v>2821055.6601290102</v>
      </c>
      <c r="HC33" s="443">
        <v>2821055.6601290102</v>
      </c>
      <c r="HD33" s="443">
        <v>2821055.6601290102</v>
      </c>
      <c r="HE33" s="443">
        <v>2821055.6601290102</v>
      </c>
      <c r="HF33" s="443">
        <v>2821055.6601290102</v>
      </c>
      <c r="HG33" s="443">
        <v>2892458.7228891798</v>
      </c>
      <c r="HH33" s="443">
        <v>2892458.7228891798</v>
      </c>
      <c r="HI33" s="443">
        <v>2892458.7228891798</v>
      </c>
      <c r="HJ33" s="443">
        <v>2892458.7228891798</v>
      </c>
      <c r="HK33" s="443">
        <v>2892458.7228891798</v>
      </c>
      <c r="HL33" s="443">
        <v>2892458.7228891798</v>
      </c>
      <c r="HM33" s="443">
        <v>2892458.7228891798</v>
      </c>
      <c r="HN33" s="443">
        <v>2892458.7228891798</v>
      </c>
      <c r="HO33" s="443">
        <v>2892458.7228891798</v>
      </c>
      <c r="HP33" s="443">
        <v>2892458.7228891798</v>
      </c>
      <c r="HQ33" s="443">
        <v>2892458.7228891798</v>
      </c>
      <c r="HR33" s="443">
        <v>2892458.7228891798</v>
      </c>
      <c r="HS33" s="443">
        <v>2965669.0514341299</v>
      </c>
      <c r="HT33" s="443">
        <v>2965669.0514341299</v>
      </c>
      <c r="HU33" s="443">
        <v>2965669.0514341299</v>
      </c>
      <c r="HV33" s="443">
        <v>2965669.0514341299</v>
      </c>
      <c r="HW33" s="443">
        <v>2965669.0514341299</v>
      </c>
      <c r="HX33" s="443">
        <v>2965669.0514341299</v>
      </c>
      <c r="HY33" s="443">
        <v>2965669.0514341299</v>
      </c>
      <c r="HZ33" s="443">
        <v>2965669.0514341299</v>
      </c>
      <c r="IA33" s="443">
        <v>2965669.0514341299</v>
      </c>
      <c r="IB33" s="443">
        <v>2965669.0514341299</v>
      </c>
      <c r="IC33" s="443">
        <v>2965669.0514341299</v>
      </c>
      <c r="ID33" s="443">
        <v>2965669.0514341299</v>
      </c>
      <c r="IE33" s="443">
        <v>3040732.38903441</v>
      </c>
      <c r="IF33" s="443">
        <v>3040732.38903441</v>
      </c>
      <c r="IG33" s="443">
        <v>3040732.38903441</v>
      </c>
      <c r="IH33" s="443">
        <v>3040732.38903441</v>
      </c>
      <c r="II33" s="443">
        <v>3040732.38903441</v>
      </c>
      <c r="IJ33" s="443">
        <v>3040732.38903441</v>
      </c>
      <c r="IK33" s="443">
        <v>3040732.38903441</v>
      </c>
      <c r="IL33" s="443">
        <v>3040732.38903441</v>
      </c>
      <c r="IM33" s="443">
        <v>3040732.38903441</v>
      </c>
      <c r="IN33" s="443">
        <v>3040732.38903441</v>
      </c>
      <c r="IO33" s="443">
        <v>3040732.38903441</v>
      </c>
      <c r="IP33" s="443">
        <v>3040732.38903441</v>
      </c>
      <c r="IQ33" s="443">
        <v>3117695.6367574902</v>
      </c>
      <c r="IR33" s="443">
        <v>3117695.6367574902</v>
      </c>
      <c r="IS33" s="443">
        <v>3117695.6367574902</v>
      </c>
      <c r="IT33" s="443">
        <v>3117695.6367574902</v>
      </c>
      <c r="IU33" s="443">
        <v>3117695.6367574902</v>
      </c>
      <c r="IV33" s="443">
        <v>3117695.6367574902</v>
      </c>
      <c r="IW33" s="443">
        <v>3117695.6367574902</v>
      </c>
      <c r="IX33" s="443">
        <v>3117695.6367574902</v>
      </c>
      <c r="IY33" s="443">
        <v>3117695.6367574902</v>
      </c>
      <c r="IZ33" s="443">
        <v>3117695.6367574902</v>
      </c>
      <c r="JA33" s="443">
        <v>3117695.6367574902</v>
      </c>
      <c r="JB33" s="443">
        <v>3117695.6367574902</v>
      </c>
      <c r="JC33" s="443">
        <v>3196606.8827725002</v>
      </c>
      <c r="JD33" s="443">
        <v>3196606.8827725002</v>
      </c>
      <c r="JE33" s="443">
        <v>3196606.8827725002</v>
      </c>
      <c r="JF33" s="443">
        <v>3196606.8827725002</v>
      </c>
      <c r="JG33" s="443">
        <v>3196606.8827725002</v>
      </c>
      <c r="JH33" s="443">
        <v>3196606.8827725002</v>
      </c>
      <c r="JI33" s="443">
        <v>3196606.8827725002</v>
      </c>
      <c r="JJ33" s="443">
        <v>3196606.8827725002</v>
      </c>
      <c r="JK33" s="443">
        <v>3196606.8827725002</v>
      </c>
      <c r="JL33" s="443">
        <v>3196606.8827725002</v>
      </c>
      <c r="JM33" s="443">
        <v>3196606.8827725002</v>
      </c>
      <c r="JN33" s="443">
        <v>3196606.8827725002</v>
      </c>
      <c r="JO33" s="443">
        <v>3277515.4323967099</v>
      </c>
      <c r="JP33" s="443">
        <v>3277515.4323967099</v>
      </c>
      <c r="JQ33" s="443">
        <v>3277515.4323967099</v>
      </c>
      <c r="JR33" s="443">
        <v>3277515.4323967099</v>
      </c>
      <c r="JS33" s="443">
        <v>3277515.4323967099</v>
      </c>
      <c r="JT33" s="443">
        <v>3277515.4323967099</v>
      </c>
      <c r="JU33" s="443">
        <v>3277515.4323967099</v>
      </c>
      <c r="JV33" s="443">
        <v>3277515.4323967099</v>
      </c>
      <c r="JW33" s="443">
        <v>3277515.4323967099</v>
      </c>
      <c r="JX33" s="443">
        <v>3277515.4323967099</v>
      </c>
      <c r="JY33" s="443">
        <v>3277515.4323967099</v>
      </c>
      <c r="JZ33" s="443">
        <v>3277515.4323967099</v>
      </c>
      <c r="KA33" s="443">
        <v>3360471.8389023999</v>
      </c>
      <c r="KB33" s="443">
        <v>3360471.8389023999</v>
      </c>
      <c r="KC33" s="443">
        <v>3360471.8389023999</v>
      </c>
      <c r="KD33" s="443">
        <v>3360471.8389023999</v>
      </c>
      <c r="KE33" s="443">
        <v>3360471.8389023999</v>
      </c>
      <c r="KF33" s="443">
        <v>3360471.8389023999</v>
      </c>
      <c r="KG33" s="443">
        <v>3360471.8389023999</v>
      </c>
      <c r="KH33" s="443">
        <v>3360471.8389023999</v>
      </c>
      <c r="KI33" s="443">
        <v>3360471.8389023999</v>
      </c>
      <c r="KJ33" s="443">
        <v>3360471.8389023999</v>
      </c>
      <c r="KK33" s="443">
        <v>3360471.8389023999</v>
      </c>
      <c r="KL33" s="443">
        <v>3360471.8389023999</v>
      </c>
      <c r="KM33" s="443">
        <v>3445527.9351036102</v>
      </c>
      <c r="KN33" s="443">
        <v>3445527.9351036102</v>
      </c>
      <c r="KO33" s="443">
        <v>3445527.9351036102</v>
      </c>
      <c r="KP33" s="443">
        <v>3445527.9351036102</v>
      </c>
      <c r="KQ33" s="443">
        <v>3445527.9351036102</v>
      </c>
      <c r="KR33" s="443">
        <v>3445527.9351036102</v>
      </c>
      <c r="KS33" s="443">
        <v>3445527.9351036102</v>
      </c>
      <c r="KT33" s="443">
        <v>3445527.9351036102</v>
      </c>
      <c r="KU33" s="443">
        <v>3445527.9351036102</v>
      </c>
      <c r="KV33" s="443">
        <v>3445527.9351036102</v>
      </c>
      <c r="KW33" s="443">
        <v>3445527.9351036102</v>
      </c>
      <c r="KX33" s="443">
        <v>3445527.9351036102</v>
      </c>
      <c r="KY33" s="443"/>
      <c r="KZ33" s="442"/>
      <c r="LA33" s="550"/>
    </row>
    <row r="34" spans="1:314">
      <c r="A34" s="459" t="s">
        <v>1011</v>
      </c>
      <c r="B34" s="463" t="s">
        <v>1184</v>
      </c>
      <c r="C34" s="463" t="s">
        <v>159</v>
      </c>
      <c r="D34" s="456" t="s">
        <v>1216</v>
      </c>
      <c r="E34" s="463"/>
      <c r="F34" s="456"/>
      <c r="G34" s="456"/>
      <c r="H34" s="456"/>
      <c r="I34" s="456"/>
      <c r="J34" s="456" t="s">
        <v>1417</v>
      </c>
      <c r="K34" s="456">
        <v>0</v>
      </c>
      <c r="L34" s="456" t="s">
        <v>899</v>
      </c>
      <c r="M34" s="470">
        <v>15</v>
      </c>
      <c r="N34" s="470">
        <v>15</v>
      </c>
      <c r="O34" s="470">
        <v>15</v>
      </c>
      <c r="P34" s="470">
        <v>15</v>
      </c>
      <c r="Q34" s="470">
        <v>15</v>
      </c>
      <c r="R34" s="470">
        <v>15</v>
      </c>
      <c r="S34" s="470">
        <v>15</v>
      </c>
      <c r="T34" s="470">
        <v>15</v>
      </c>
      <c r="U34" s="470">
        <v>15</v>
      </c>
      <c r="V34" s="470">
        <v>15</v>
      </c>
      <c r="W34" s="470">
        <v>0</v>
      </c>
      <c r="X34" s="457">
        <v>3</v>
      </c>
      <c r="Y34" s="472">
        <v>2751415.2490987401</v>
      </c>
      <c r="Z34" s="472">
        <v>2821055.6601290102</v>
      </c>
      <c r="AA34" s="472">
        <v>2892458.7228891798</v>
      </c>
      <c r="AB34" s="472">
        <v>2965669.0514341299</v>
      </c>
      <c r="AC34" s="472">
        <v>3040732.38903441</v>
      </c>
      <c r="AD34" s="472">
        <v>3117695.6367574902</v>
      </c>
      <c r="AE34" s="472">
        <v>3196606.8827725002</v>
      </c>
      <c r="AF34" s="472">
        <v>3277515.4323967099</v>
      </c>
      <c r="AG34" s="472">
        <v>3360471.8389023999</v>
      </c>
      <c r="AH34" s="472">
        <v>3445527.9351036102</v>
      </c>
      <c r="AI34" s="472">
        <v>0</v>
      </c>
      <c r="AJ34" s="457">
        <v>9</v>
      </c>
      <c r="AK34" s="457">
        <v>12</v>
      </c>
      <c r="AL34" s="457">
        <v>12</v>
      </c>
      <c r="AM34" s="457">
        <v>12</v>
      </c>
      <c r="AN34" s="457">
        <v>12</v>
      </c>
      <c r="AO34" s="457">
        <v>12</v>
      </c>
      <c r="AP34" s="457">
        <v>12</v>
      </c>
      <c r="AQ34" s="457">
        <v>12</v>
      </c>
      <c r="AR34" s="457">
        <v>12</v>
      </c>
      <c r="AS34" s="457">
        <v>12</v>
      </c>
      <c r="AT34" s="457"/>
      <c r="AU34" s="458">
        <v>1</v>
      </c>
      <c r="AV34" s="510">
        <v>1.02531076</v>
      </c>
      <c r="AW34" s="456">
        <v>0</v>
      </c>
      <c r="AX34" s="443">
        <v>5432633097.5238295</v>
      </c>
      <c r="AY34" s="443">
        <v>371441058.62832987</v>
      </c>
      <c r="AZ34" s="443">
        <v>507790018.82322186</v>
      </c>
      <c r="BA34" s="443">
        <v>520642570.12005252</v>
      </c>
      <c r="BB34" s="443">
        <v>533820429.25814348</v>
      </c>
      <c r="BC34" s="443">
        <v>547331830.02619374</v>
      </c>
      <c r="BD34" s="443">
        <v>561185214.61634815</v>
      </c>
      <c r="BE34" s="443">
        <v>575389238.89905012</v>
      </c>
      <c r="BF34" s="443">
        <v>589952777.83140779</v>
      </c>
      <c r="BG34" s="443">
        <v>604884931.00243211</v>
      </c>
      <c r="BH34" s="443">
        <v>620195028.31864989</v>
      </c>
      <c r="BI34" s="443">
        <v>0</v>
      </c>
      <c r="BJ34" s="531">
        <v>0</v>
      </c>
      <c r="BK34" s="532">
        <v>0</v>
      </c>
      <c r="BL34" s="532">
        <v>0</v>
      </c>
      <c r="BM34" s="443">
        <v>41271228.7364811</v>
      </c>
      <c r="BN34" s="443">
        <v>41271228.7364811</v>
      </c>
      <c r="BO34" s="443">
        <v>41271228.7364811</v>
      </c>
      <c r="BP34" s="443">
        <v>41271228.7364811</v>
      </c>
      <c r="BQ34" s="443">
        <v>41271228.7364811</v>
      </c>
      <c r="BR34" s="443">
        <v>41271228.7364811</v>
      </c>
      <c r="BS34" s="443">
        <v>41271228.7364811</v>
      </c>
      <c r="BT34" s="443">
        <v>41271228.7364811</v>
      </c>
      <c r="BU34" s="443">
        <v>41271228.7364811</v>
      </c>
      <c r="BV34" s="443">
        <v>42315834.901935153</v>
      </c>
      <c r="BW34" s="443">
        <v>42315834.901935153</v>
      </c>
      <c r="BX34" s="443">
        <v>42315834.901935153</v>
      </c>
      <c r="BY34" s="443">
        <v>42315834.901935153</v>
      </c>
      <c r="BZ34" s="443">
        <v>42315834.901935153</v>
      </c>
      <c r="CA34" s="443">
        <v>42315834.901935153</v>
      </c>
      <c r="CB34" s="443">
        <v>42315834.901935153</v>
      </c>
      <c r="CC34" s="443">
        <v>42315834.901935153</v>
      </c>
      <c r="CD34" s="443">
        <v>42315834.901935153</v>
      </c>
      <c r="CE34" s="443">
        <v>42315834.901935153</v>
      </c>
      <c r="CF34" s="443">
        <v>42315834.901935153</v>
      </c>
      <c r="CG34" s="443">
        <v>42315834.901935153</v>
      </c>
      <c r="CH34" s="443">
        <v>43386880.8433377</v>
      </c>
      <c r="CI34" s="443">
        <v>43386880.8433377</v>
      </c>
      <c r="CJ34" s="443">
        <v>43386880.8433377</v>
      </c>
      <c r="CK34" s="443">
        <v>43386880.8433377</v>
      </c>
      <c r="CL34" s="443">
        <v>43386880.8433377</v>
      </c>
      <c r="CM34" s="443">
        <v>43386880.8433377</v>
      </c>
      <c r="CN34" s="443">
        <v>43386880.8433377</v>
      </c>
      <c r="CO34" s="443">
        <v>43386880.8433377</v>
      </c>
      <c r="CP34" s="443">
        <v>43386880.8433377</v>
      </c>
      <c r="CQ34" s="443">
        <v>43386880.8433377</v>
      </c>
      <c r="CR34" s="443">
        <v>43386880.8433377</v>
      </c>
      <c r="CS34" s="443">
        <v>43386880.8433377</v>
      </c>
      <c r="CT34" s="443">
        <v>44485035.77151195</v>
      </c>
      <c r="CU34" s="443">
        <v>44485035.77151195</v>
      </c>
      <c r="CV34" s="443">
        <v>44485035.77151195</v>
      </c>
      <c r="CW34" s="443">
        <v>44485035.77151195</v>
      </c>
      <c r="CX34" s="443">
        <v>44485035.77151195</v>
      </c>
      <c r="CY34" s="443">
        <v>44485035.77151195</v>
      </c>
      <c r="CZ34" s="443">
        <v>44485035.77151195</v>
      </c>
      <c r="DA34" s="443">
        <v>44485035.77151195</v>
      </c>
      <c r="DB34" s="443">
        <v>44485035.77151195</v>
      </c>
      <c r="DC34" s="443">
        <v>44485035.77151195</v>
      </c>
      <c r="DD34" s="443">
        <v>44485035.77151195</v>
      </c>
      <c r="DE34" s="443">
        <v>44485035.77151195</v>
      </c>
      <c r="DF34" s="443">
        <v>45610985.835516147</v>
      </c>
      <c r="DG34" s="443">
        <v>45610985.835516147</v>
      </c>
      <c r="DH34" s="443">
        <v>45610985.835516147</v>
      </c>
      <c r="DI34" s="443">
        <v>45610985.835516147</v>
      </c>
      <c r="DJ34" s="443">
        <v>45610985.835516147</v>
      </c>
      <c r="DK34" s="443">
        <v>45610985.835516147</v>
      </c>
      <c r="DL34" s="443">
        <v>45610985.835516147</v>
      </c>
      <c r="DM34" s="443">
        <v>45610985.835516147</v>
      </c>
      <c r="DN34" s="443">
        <v>45610985.835516147</v>
      </c>
      <c r="DO34" s="443">
        <v>45610985.835516147</v>
      </c>
      <c r="DP34" s="443">
        <v>45610985.835516147</v>
      </c>
      <c r="DQ34" s="443">
        <v>45610985.835516147</v>
      </c>
      <c r="DR34" s="443">
        <v>46765434.551362351</v>
      </c>
      <c r="DS34" s="443">
        <v>46765434.551362351</v>
      </c>
      <c r="DT34" s="443">
        <v>46765434.551362351</v>
      </c>
      <c r="DU34" s="443">
        <v>46765434.551362351</v>
      </c>
      <c r="DV34" s="443">
        <v>46765434.551362351</v>
      </c>
      <c r="DW34" s="443">
        <v>46765434.551362351</v>
      </c>
      <c r="DX34" s="443">
        <v>46765434.551362351</v>
      </c>
      <c r="DY34" s="443">
        <v>46765434.551362351</v>
      </c>
      <c r="DZ34" s="443">
        <v>46765434.551362351</v>
      </c>
      <c r="EA34" s="443">
        <v>46765434.551362351</v>
      </c>
      <c r="EB34" s="443">
        <v>46765434.551362351</v>
      </c>
      <c r="EC34" s="443">
        <v>46765434.551362351</v>
      </c>
      <c r="ED34" s="443">
        <v>47949103.241587505</v>
      </c>
      <c r="EE34" s="443">
        <v>47949103.241587505</v>
      </c>
      <c r="EF34" s="443">
        <v>47949103.241587505</v>
      </c>
      <c r="EG34" s="443">
        <v>47949103.241587505</v>
      </c>
      <c r="EH34" s="443">
        <v>47949103.241587505</v>
      </c>
      <c r="EI34" s="443">
        <v>47949103.241587505</v>
      </c>
      <c r="EJ34" s="443">
        <v>47949103.241587505</v>
      </c>
      <c r="EK34" s="443">
        <v>47949103.241587505</v>
      </c>
      <c r="EL34" s="443">
        <v>47949103.241587505</v>
      </c>
      <c r="EM34" s="443">
        <v>47949103.241587505</v>
      </c>
      <c r="EN34" s="443">
        <v>47949103.241587505</v>
      </c>
      <c r="EO34" s="443">
        <v>47949103.241587505</v>
      </c>
      <c r="EP34" s="443">
        <v>49162731.485950649</v>
      </c>
      <c r="EQ34" s="443">
        <v>49162731.485950649</v>
      </c>
      <c r="ER34" s="443">
        <v>49162731.485950649</v>
      </c>
      <c r="ES34" s="443">
        <v>49162731.485950649</v>
      </c>
      <c r="ET34" s="443">
        <v>49162731.485950649</v>
      </c>
      <c r="EU34" s="443">
        <v>49162731.485950649</v>
      </c>
      <c r="EV34" s="443">
        <v>49162731.485950649</v>
      </c>
      <c r="EW34" s="443">
        <v>49162731.485950649</v>
      </c>
      <c r="EX34" s="443">
        <v>49162731.485950649</v>
      </c>
      <c r="EY34" s="443">
        <v>49162731.485950649</v>
      </c>
      <c r="EZ34" s="443">
        <v>49162731.485950649</v>
      </c>
      <c r="FA34" s="443">
        <v>49162731.485950649</v>
      </c>
      <c r="FB34" s="443">
        <v>50407077.583535999</v>
      </c>
      <c r="FC34" s="443">
        <v>50407077.583535999</v>
      </c>
      <c r="FD34" s="443">
        <v>50407077.583535999</v>
      </c>
      <c r="FE34" s="443">
        <v>50407077.583535999</v>
      </c>
      <c r="FF34" s="443">
        <v>50407077.583535999</v>
      </c>
      <c r="FG34" s="443">
        <v>50407077.583535999</v>
      </c>
      <c r="FH34" s="443">
        <v>50407077.583535999</v>
      </c>
      <c r="FI34" s="443">
        <v>50407077.583535999</v>
      </c>
      <c r="FJ34" s="443">
        <v>50407077.583535999</v>
      </c>
      <c r="FK34" s="443">
        <v>50407077.583535999</v>
      </c>
      <c r="FL34" s="443">
        <v>50407077.583535999</v>
      </c>
      <c r="FM34" s="443">
        <v>50407077.583535999</v>
      </c>
      <c r="FN34" s="443">
        <v>51682919.026554152</v>
      </c>
      <c r="FO34" s="443">
        <v>51682919.026554152</v>
      </c>
      <c r="FP34" s="443">
        <v>51682919.026554152</v>
      </c>
      <c r="FQ34" s="443">
        <v>51682919.026554152</v>
      </c>
      <c r="FR34" s="443">
        <v>51682919.026554152</v>
      </c>
      <c r="FS34" s="443">
        <v>51682919.026554152</v>
      </c>
      <c r="FT34" s="443">
        <v>51682919.026554152</v>
      </c>
      <c r="FU34" s="443">
        <v>51682919.026554152</v>
      </c>
      <c r="FV34" s="443">
        <v>51682919.026554152</v>
      </c>
      <c r="FW34" s="443">
        <v>51682919.026554152</v>
      </c>
      <c r="FX34" s="443">
        <v>51682919.026554152</v>
      </c>
      <c r="FY34" s="443">
        <v>51682919.026554152</v>
      </c>
      <c r="FZ34" s="443">
        <v>0</v>
      </c>
      <c r="GA34" s="443">
        <v>0</v>
      </c>
      <c r="GB34" s="443">
        <v>0</v>
      </c>
      <c r="GC34" s="443">
        <v>0</v>
      </c>
      <c r="GD34" s="443">
        <v>0</v>
      </c>
      <c r="GE34" s="443">
        <v>0</v>
      </c>
      <c r="GF34" s="443">
        <v>0</v>
      </c>
      <c r="GG34" s="443">
        <v>0</v>
      </c>
      <c r="GH34" s="443">
        <v>0</v>
      </c>
      <c r="GI34" s="443">
        <v>0</v>
      </c>
      <c r="GJ34" s="443">
        <v>0</v>
      </c>
      <c r="GK34" s="443">
        <v>0</v>
      </c>
      <c r="GL34" s="442">
        <v>41271228.7364811</v>
      </c>
      <c r="GM34" s="443">
        <v>41271228.7364811</v>
      </c>
      <c r="GN34" s="443">
        <v>41271228.7364811</v>
      </c>
      <c r="GO34" s="443">
        <v>41271228.7364811</v>
      </c>
      <c r="GP34" s="443">
        <v>41271228.7364811</v>
      </c>
      <c r="GQ34" s="443">
        <v>41271228.7364811</v>
      </c>
      <c r="GR34" s="443">
        <v>41271228.7364811</v>
      </c>
      <c r="GS34" s="443">
        <v>41271228.7364811</v>
      </c>
      <c r="GT34" s="443">
        <v>41271228.7364811</v>
      </c>
      <c r="GU34" s="443">
        <v>42315834.901935153</v>
      </c>
      <c r="GV34" s="443">
        <v>42315834.901935153</v>
      </c>
      <c r="GW34" s="443">
        <v>42315834.901935153</v>
      </c>
      <c r="GX34" s="443">
        <v>42315834.901935153</v>
      </c>
      <c r="GY34" s="443">
        <v>42315834.901935153</v>
      </c>
      <c r="GZ34" s="443">
        <v>42315834.901935153</v>
      </c>
      <c r="HA34" s="443">
        <v>42315834.901935153</v>
      </c>
      <c r="HB34" s="443">
        <v>42315834.901935153</v>
      </c>
      <c r="HC34" s="443">
        <v>42315834.901935153</v>
      </c>
      <c r="HD34" s="443">
        <v>42315834.901935153</v>
      </c>
      <c r="HE34" s="443">
        <v>42315834.901935153</v>
      </c>
      <c r="HF34" s="443">
        <v>42315834.901935153</v>
      </c>
      <c r="HG34" s="443">
        <v>43386880.8433377</v>
      </c>
      <c r="HH34" s="443">
        <v>43386880.8433377</v>
      </c>
      <c r="HI34" s="443">
        <v>43386880.8433377</v>
      </c>
      <c r="HJ34" s="443">
        <v>43386880.8433377</v>
      </c>
      <c r="HK34" s="443">
        <v>43386880.8433377</v>
      </c>
      <c r="HL34" s="443">
        <v>43386880.8433377</v>
      </c>
      <c r="HM34" s="443">
        <v>43386880.8433377</v>
      </c>
      <c r="HN34" s="443">
        <v>43386880.8433377</v>
      </c>
      <c r="HO34" s="443">
        <v>43386880.8433377</v>
      </c>
      <c r="HP34" s="443">
        <v>43386880.8433377</v>
      </c>
      <c r="HQ34" s="443">
        <v>43386880.8433377</v>
      </c>
      <c r="HR34" s="443">
        <v>43386880.8433377</v>
      </c>
      <c r="HS34" s="443">
        <v>44485035.77151195</v>
      </c>
      <c r="HT34" s="443">
        <v>44485035.77151195</v>
      </c>
      <c r="HU34" s="443">
        <v>44485035.77151195</v>
      </c>
      <c r="HV34" s="443">
        <v>44485035.77151195</v>
      </c>
      <c r="HW34" s="443">
        <v>44485035.77151195</v>
      </c>
      <c r="HX34" s="443">
        <v>44485035.77151195</v>
      </c>
      <c r="HY34" s="443">
        <v>44485035.77151195</v>
      </c>
      <c r="HZ34" s="443">
        <v>44485035.77151195</v>
      </c>
      <c r="IA34" s="443">
        <v>44485035.77151195</v>
      </c>
      <c r="IB34" s="443">
        <v>44485035.77151195</v>
      </c>
      <c r="IC34" s="443">
        <v>44485035.77151195</v>
      </c>
      <c r="ID34" s="443">
        <v>44485035.77151195</v>
      </c>
      <c r="IE34" s="443">
        <v>45610985.835516147</v>
      </c>
      <c r="IF34" s="443">
        <v>45610985.835516147</v>
      </c>
      <c r="IG34" s="443">
        <v>45610985.835516147</v>
      </c>
      <c r="IH34" s="443">
        <v>45610985.835516147</v>
      </c>
      <c r="II34" s="443">
        <v>45610985.835516147</v>
      </c>
      <c r="IJ34" s="443">
        <v>45610985.835516147</v>
      </c>
      <c r="IK34" s="443">
        <v>45610985.835516147</v>
      </c>
      <c r="IL34" s="443">
        <v>45610985.835516147</v>
      </c>
      <c r="IM34" s="443">
        <v>45610985.835516147</v>
      </c>
      <c r="IN34" s="443">
        <v>45610985.835516147</v>
      </c>
      <c r="IO34" s="443">
        <v>45610985.835516147</v>
      </c>
      <c r="IP34" s="443">
        <v>45610985.835516147</v>
      </c>
      <c r="IQ34" s="443">
        <v>46765434.551362351</v>
      </c>
      <c r="IR34" s="443">
        <v>46765434.551362351</v>
      </c>
      <c r="IS34" s="443">
        <v>46765434.551362351</v>
      </c>
      <c r="IT34" s="443">
        <v>46765434.551362351</v>
      </c>
      <c r="IU34" s="443">
        <v>46765434.551362351</v>
      </c>
      <c r="IV34" s="443">
        <v>46765434.551362351</v>
      </c>
      <c r="IW34" s="443">
        <v>46765434.551362351</v>
      </c>
      <c r="IX34" s="443">
        <v>46765434.551362351</v>
      </c>
      <c r="IY34" s="443">
        <v>46765434.551362351</v>
      </c>
      <c r="IZ34" s="443">
        <v>46765434.551362351</v>
      </c>
      <c r="JA34" s="443">
        <v>46765434.551362351</v>
      </c>
      <c r="JB34" s="443">
        <v>46765434.551362351</v>
      </c>
      <c r="JC34" s="443">
        <v>47949103.241587505</v>
      </c>
      <c r="JD34" s="443">
        <v>47949103.241587505</v>
      </c>
      <c r="JE34" s="443">
        <v>47949103.241587505</v>
      </c>
      <c r="JF34" s="443">
        <v>47949103.241587505</v>
      </c>
      <c r="JG34" s="443">
        <v>47949103.241587505</v>
      </c>
      <c r="JH34" s="443">
        <v>47949103.241587505</v>
      </c>
      <c r="JI34" s="443">
        <v>47949103.241587505</v>
      </c>
      <c r="JJ34" s="443">
        <v>47949103.241587505</v>
      </c>
      <c r="JK34" s="443">
        <v>47949103.241587505</v>
      </c>
      <c r="JL34" s="443">
        <v>47949103.241587505</v>
      </c>
      <c r="JM34" s="443">
        <v>47949103.241587505</v>
      </c>
      <c r="JN34" s="443">
        <v>47949103.241587505</v>
      </c>
      <c r="JO34" s="443">
        <v>49162731.485950649</v>
      </c>
      <c r="JP34" s="443">
        <v>49162731.485950649</v>
      </c>
      <c r="JQ34" s="443">
        <v>49162731.485950649</v>
      </c>
      <c r="JR34" s="443">
        <v>49162731.485950649</v>
      </c>
      <c r="JS34" s="443">
        <v>49162731.485950649</v>
      </c>
      <c r="JT34" s="443">
        <v>49162731.485950649</v>
      </c>
      <c r="JU34" s="443">
        <v>49162731.485950649</v>
      </c>
      <c r="JV34" s="443">
        <v>49162731.485950649</v>
      </c>
      <c r="JW34" s="443">
        <v>49162731.485950649</v>
      </c>
      <c r="JX34" s="443">
        <v>49162731.485950649</v>
      </c>
      <c r="JY34" s="443">
        <v>49162731.485950649</v>
      </c>
      <c r="JZ34" s="443">
        <v>49162731.485950649</v>
      </c>
      <c r="KA34" s="443">
        <v>50407077.583535999</v>
      </c>
      <c r="KB34" s="443">
        <v>50407077.583535999</v>
      </c>
      <c r="KC34" s="443">
        <v>50407077.583535999</v>
      </c>
      <c r="KD34" s="443">
        <v>50407077.583535999</v>
      </c>
      <c r="KE34" s="443">
        <v>50407077.583535999</v>
      </c>
      <c r="KF34" s="443">
        <v>50407077.583535999</v>
      </c>
      <c r="KG34" s="443">
        <v>50407077.583535999</v>
      </c>
      <c r="KH34" s="443">
        <v>50407077.583535999</v>
      </c>
      <c r="KI34" s="443">
        <v>50407077.583535999</v>
      </c>
      <c r="KJ34" s="443">
        <v>50407077.583535999</v>
      </c>
      <c r="KK34" s="443">
        <v>50407077.583535999</v>
      </c>
      <c r="KL34" s="443">
        <v>50407077.583535999</v>
      </c>
      <c r="KM34" s="443">
        <v>51682919.026554152</v>
      </c>
      <c r="KN34" s="443">
        <v>51682919.026554152</v>
      </c>
      <c r="KO34" s="443">
        <v>51682919.026554152</v>
      </c>
      <c r="KP34" s="443">
        <v>51682919.026554152</v>
      </c>
      <c r="KQ34" s="443">
        <v>51682919.026554152</v>
      </c>
      <c r="KR34" s="443">
        <v>51682919.026554152</v>
      </c>
      <c r="KS34" s="443">
        <v>51682919.026554152</v>
      </c>
      <c r="KT34" s="443">
        <v>51682919.026554152</v>
      </c>
      <c r="KU34" s="443">
        <v>51682919.026554152</v>
      </c>
      <c r="KV34" s="443">
        <v>51682919.026554152</v>
      </c>
      <c r="KW34" s="443">
        <v>51682919.026554152</v>
      </c>
      <c r="KX34" s="443">
        <v>51682919.026554152</v>
      </c>
      <c r="KY34" s="443"/>
      <c r="KZ34" s="442"/>
      <c r="LA34" s="550"/>
    </row>
    <row r="35" spans="1:314">
      <c r="A35" s="459" t="s">
        <v>1229</v>
      </c>
      <c r="B35" s="463" t="s">
        <v>1184</v>
      </c>
      <c r="C35" s="463" t="s">
        <v>159</v>
      </c>
      <c r="D35" s="456" t="s">
        <v>1218</v>
      </c>
      <c r="E35" s="463"/>
      <c r="F35" s="456"/>
      <c r="G35" s="456"/>
      <c r="H35" s="456"/>
      <c r="I35" s="456"/>
      <c r="J35" s="456" t="s">
        <v>1417</v>
      </c>
      <c r="K35" s="456">
        <v>0</v>
      </c>
      <c r="L35" s="456" t="s">
        <v>899</v>
      </c>
      <c r="M35" s="470">
        <v>11</v>
      </c>
      <c r="N35" s="470">
        <v>11</v>
      </c>
      <c r="O35" s="470">
        <v>11</v>
      </c>
      <c r="P35" s="470">
        <v>11</v>
      </c>
      <c r="Q35" s="470">
        <v>11</v>
      </c>
      <c r="R35" s="470">
        <v>11</v>
      </c>
      <c r="S35" s="470">
        <v>11</v>
      </c>
      <c r="T35" s="470">
        <v>11</v>
      </c>
      <c r="U35" s="470">
        <v>11</v>
      </c>
      <c r="V35" s="470">
        <v>11</v>
      </c>
      <c r="W35" s="470">
        <v>0</v>
      </c>
      <c r="X35" s="457">
        <v>3</v>
      </c>
      <c r="Y35" s="472">
        <v>2751415.2490987401</v>
      </c>
      <c r="Z35" s="472">
        <v>2821055.6601290102</v>
      </c>
      <c r="AA35" s="472">
        <v>2892458.7228891798</v>
      </c>
      <c r="AB35" s="472">
        <v>2965669.0514341299</v>
      </c>
      <c r="AC35" s="472">
        <v>3040732.38903441</v>
      </c>
      <c r="AD35" s="472">
        <v>3117695.6367574902</v>
      </c>
      <c r="AE35" s="472">
        <v>3196606.8827725002</v>
      </c>
      <c r="AF35" s="472">
        <v>3277515.4323967099</v>
      </c>
      <c r="AG35" s="472">
        <v>3360471.8389023999</v>
      </c>
      <c r="AH35" s="472">
        <v>3445527.9351036102</v>
      </c>
      <c r="AI35" s="472">
        <v>0</v>
      </c>
      <c r="AJ35" s="457">
        <v>9</v>
      </c>
      <c r="AK35" s="457">
        <v>12</v>
      </c>
      <c r="AL35" s="457">
        <v>12</v>
      </c>
      <c r="AM35" s="457">
        <v>12</v>
      </c>
      <c r="AN35" s="457">
        <v>12</v>
      </c>
      <c r="AO35" s="457">
        <v>12</v>
      </c>
      <c r="AP35" s="457">
        <v>12</v>
      </c>
      <c r="AQ35" s="457">
        <v>12</v>
      </c>
      <c r="AR35" s="457">
        <v>12</v>
      </c>
      <c r="AS35" s="457">
        <v>12</v>
      </c>
      <c r="AT35" s="457"/>
      <c r="AU35" s="458">
        <v>1</v>
      </c>
      <c r="AV35" s="510">
        <v>1.02531076</v>
      </c>
      <c r="AW35" s="456">
        <v>0</v>
      </c>
      <c r="AX35" s="443">
        <v>3983930938.1841416</v>
      </c>
      <c r="AY35" s="443">
        <v>272390109.6607753</v>
      </c>
      <c r="AZ35" s="443">
        <v>372379347.13702935</v>
      </c>
      <c r="BA35" s="443">
        <v>381804551.42137176</v>
      </c>
      <c r="BB35" s="443">
        <v>391468314.78930521</v>
      </c>
      <c r="BC35" s="443">
        <v>401376675.35254216</v>
      </c>
      <c r="BD35" s="443">
        <v>411535824.05198884</v>
      </c>
      <c r="BE35" s="443">
        <v>421952108.52596998</v>
      </c>
      <c r="BF35" s="443">
        <v>432632037.07636571</v>
      </c>
      <c r="BG35" s="443">
        <v>443582282.73511666</v>
      </c>
      <c r="BH35" s="443">
        <v>454809687.43367666</v>
      </c>
      <c r="BI35" s="443">
        <v>0</v>
      </c>
      <c r="BJ35" s="531">
        <v>0</v>
      </c>
      <c r="BK35" s="532">
        <v>0</v>
      </c>
      <c r="BL35" s="532">
        <v>0</v>
      </c>
      <c r="BM35" s="443">
        <v>30265567.740086142</v>
      </c>
      <c r="BN35" s="443">
        <v>30265567.740086142</v>
      </c>
      <c r="BO35" s="443">
        <v>30265567.740086142</v>
      </c>
      <c r="BP35" s="443">
        <v>30265567.740086142</v>
      </c>
      <c r="BQ35" s="443">
        <v>30265567.740086142</v>
      </c>
      <c r="BR35" s="443">
        <v>30265567.740086142</v>
      </c>
      <c r="BS35" s="443">
        <v>30265567.740086142</v>
      </c>
      <c r="BT35" s="443">
        <v>30265567.740086142</v>
      </c>
      <c r="BU35" s="443">
        <v>30265567.740086142</v>
      </c>
      <c r="BV35" s="443">
        <v>31031612.261419114</v>
      </c>
      <c r="BW35" s="443">
        <v>31031612.261419114</v>
      </c>
      <c r="BX35" s="443">
        <v>31031612.261419114</v>
      </c>
      <c r="BY35" s="443">
        <v>31031612.261419114</v>
      </c>
      <c r="BZ35" s="443">
        <v>31031612.261419114</v>
      </c>
      <c r="CA35" s="443">
        <v>31031612.261419114</v>
      </c>
      <c r="CB35" s="443">
        <v>31031612.261419114</v>
      </c>
      <c r="CC35" s="443">
        <v>31031612.261419114</v>
      </c>
      <c r="CD35" s="443">
        <v>31031612.261419114</v>
      </c>
      <c r="CE35" s="443">
        <v>31031612.261419114</v>
      </c>
      <c r="CF35" s="443">
        <v>31031612.261419114</v>
      </c>
      <c r="CG35" s="443">
        <v>31031612.261419114</v>
      </c>
      <c r="CH35" s="443">
        <v>31817045.951780979</v>
      </c>
      <c r="CI35" s="443">
        <v>31817045.951780979</v>
      </c>
      <c r="CJ35" s="443">
        <v>31817045.951780979</v>
      </c>
      <c r="CK35" s="443">
        <v>31817045.951780979</v>
      </c>
      <c r="CL35" s="443">
        <v>31817045.951780979</v>
      </c>
      <c r="CM35" s="443">
        <v>31817045.951780979</v>
      </c>
      <c r="CN35" s="443">
        <v>31817045.951780979</v>
      </c>
      <c r="CO35" s="443">
        <v>31817045.951780979</v>
      </c>
      <c r="CP35" s="443">
        <v>31817045.951780979</v>
      </c>
      <c r="CQ35" s="443">
        <v>31817045.951780979</v>
      </c>
      <c r="CR35" s="443">
        <v>31817045.951780979</v>
      </c>
      <c r="CS35" s="443">
        <v>31817045.951780979</v>
      </c>
      <c r="CT35" s="443">
        <v>32622359.565775428</v>
      </c>
      <c r="CU35" s="443">
        <v>32622359.565775428</v>
      </c>
      <c r="CV35" s="443">
        <v>32622359.565775428</v>
      </c>
      <c r="CW35" s="443">
        <v>32622359.565775428</v>
      </c>
      <c r="CX35" s="443">
        <v>32622359.565775428</v>
      </c>
      <c r="CY35" s="443">
        <v>32622359.565775428</v>
      </c>
      <c r="CZ35" s="443">
        <v>32622359.565775428</v>
      </c>
      <c r="DA35" s="443">
        <v>32622359.565775428</v>
      </c>
      <c r="DB35" s="443">
        <v>32622359.565775428</v>
      </c>
      <c r="DC35" s="443">
        <v>32622359.565775428</v>
      </c>
      <c r="DD35" s="443">
        <v>32622359.565775428</v>
      </c>
      <c r="DE35" s="443">
        <v>32622359.565775428</v>
      </c>
      <c r="DF35" s="443">
        <v>33448056.279378511</v>
      </c>
      <c r="DG35" s="443">
        <v>33448056.279378511</v>
      </c>
      <c r="DH35" s="443">
        <v>33448056.279378511</v>
      </c>
      <c r="DI35" s="443">
        <v>33448056.279378511</v>
      </c>
      <c r="DJ35" s="443">
        <v>33448056.279378511</v>
      </c>
      <c r="DK35" s="443">
        <v>33448056.279378511</v>
      </c>
      <c r="DL35" s="443">
        <v>33448056.279378511</v>
      </c>
      <c r="DM35" s="443">
        <v>33448056.279378511</v>
      </c>
      <c r="DN35" s="443">
        <v>33448056.279378511</v>
      </c>
      <c r="DO35" s="443">
        <v>33448056.279378511</v>
      </c>
      <c r="DP35" s="443">
        <v>33448056.279378511</v>
      </c>
      <c r="DQ35" s="443">
        <v>33448056.279378511</v>
      </c>
      <c r="DR35" s="443">
        <v>34294652.004332393</v>
      </c>
      <c r="DS35" s="443">
        <v>34294652.004332393</v>
      </c>
      <c r="DT35" s="443">
        <v>34294652.004332393</v>
      </c>
      <c r="DU35" s="443">
        <v>34294652.004332393</v>
      </c>
      <c r="DV35" s="443">
        <v>34294652.004332393</v>
      </c>
      <c r="DW35" s="443">
        <v>34294652.004332393</v>
      </c>
      <c r="DX35" s="443">
        <v>34294652.004332393</v>
      </c>
      <c r="DY35" s="443">
        <v>34294652.004332393</v>
      </c>
      <c r="DZ35" s="443">
        <v>34294652.004332393</v>
      </c>
      <c r="EA35" s="443">
        <v>34294652.004332393</v>
      </c>
      <c r="EB35" s="443">
        <v>34294652.004332393</v>
      </c>
      <c r="EC35" s="443">
        <v>34294652.004332393</v>
      </c>
      <c r="ED35" s="443">
        <v>35162675.710497499</v>
      </c>
      <c r="EE35" s="443">
        <v>35162675.710497499</v>
      </c>
      <c r="EF35" s="443">
        <v>35162675.710497499</v>
      </c>
      <c r="EG35" s="443">
        <v>35162675.710497499</v>
      </c>
      <c r="EH35" s="443">
        <v>35162675.710497499</v>
      </c>
      <c r="EI35" s="443">
        <v>35162675.710497499</v>
      </c>
      <c r="EJ35" s="443">
        <v>35162675.710497499</v>
      </c>
      <c r="EK35" s="443">
        <v>35162675.710497499</v>
      </c>
      <c r="EL35" s="443">
        <v>35162675.710497499</v>
      </c>
      <c r="EM35" s="443">
        <v>35162675.710497499</v>
      </c>
      <c r="EN35" s="443">
        <v>35162675.710497499</v>
      </c>
      <c r="EO35" s="443">
        <v>35162675.710497499</v>
      </c>
      <c r="EP35" s="443">
        <v>36052669.756363809</v>
      </c>
      <c r="EQ35" s="443">
        <v>36052669.756363809</v>
      </c>
      <c r="ER35" s="443">
        <v>36052669.756363809</v>
      </c>
      <c r="ES35" s="443">
        <v>36052669.756363809</v>
      </c>
      <c r="ET35" s="443">
        <v>36052669.756363809</v>
      </c>
      <c r="EU35" s="443">
        <v>36052669.756363809</v>
      </c>
      <c r="EV35" s="443">
        <v>36052669.756363809</v>
      </c>
      <c r="EW35" s="443">
        <v>36052669.756363809</v>
      </c>
      <c r="EX35" s="443">
        <v>36052669.756363809</v>
      </c>
      <c r="EY35" s="443">
        <v>36052669.756363809</v>
      </c>
      <c r="EZ35" s="443">
        <v>36052669.756363809</v>
      </c>
      <c r="FA35" s="443">
        <v>36052669.756363809</v>
      </c>
      <c r="FB35" s="443">
        <v>36965190.227926396</v>
      </c>
      <c r="FC35" s="443">
        <v>36965190.227926396</v>
      </c>
      <c r="FD35" s="443">
        <v>36965190.227926396</v>
      </c>
      <c r="FE35" s="443">
        <v>36965190.227926396</v>
      </c>
      <c r="FF35" s="443">
        <v>36965190.227926396</v>
      </c>
      <c r="FG35" s="443">
        <v>36965190.227926396</v>
      </c>
      <c r="FH35" s="443">
        <v>36965190.227926396</v>
      </c>
      <c r="FI35" s="443">
        <v>36965190.227926396</v>
      </c>
      <c r="FJ35" s="443">
        <v>36965190.227926396</v>
      </c>
      <c r="FK35" s="443">
        <v>36965190.227926396</v>
      </c>
      <c r="FL35" s="443">
        <v>36965190.227926396</v>
      </c>
      <c r="FM35" s="443">
        <v>36965190.227926396</v>
      </c>
      <c r="FN35" s="443">
        <v>37900807.286139712</v>
      </c>
      <c r="FO35" s="443">
        <v>37900807.286139712</v>
      </c>
      <c r="FP35" s="443">
        <v>37900807.286139712</v>
      </c>
      <c r="FQ35" s="443">
        <v>37900807.286139712</v>
      </c>
      <c r="FR35" s="443">
        <v>37900807.286139712</v>
      </c>
      <c r="FS35" s="443">
        <v>37900807.286139712</v>
      </c>
      <c r="FT35" s="443">
        <v>37900807.286139712</v>
      </c>
      <c r="FU35" s="443">
        <v>37900807.286139712</v>
      </c>
      <c r="FV35" s="443">
        <v>37900807.286139712</v>
      </c>
      <c r="FW35" s="443">
        <v>37900807.286139712</v>
      </c>
      <c r="FX35" s="443">
        <v>37900807.286139712</v>
      </c>
      <c r="FY35" s="443">
        <v>37900807.286139712</v>
      </c>
      <c r="FZ35" s="443">
        <v>0</v>
      </c>
      <c r="GA35" s="443">
        <v>0</v>
      </c>
      <c r="GB35" s="443">
        <v>0</v>
      </c>
      <c r="GC35" s="443">
        <v>0</v>
      </c>
      <c r="GD35" s="443">
        <v>0</v>
      </c>
      <c r="GE35" s="443">
        <v>0</v>
      </c>
      <c r="GF35" s="443">
        <v>0</v>
      </c>
      <c r="GG35" s="443">
        <v>0</v>
      </c>
      <c r="GH35" s="443">
        <v>0</v>
      </c>
      <c r="GI35" s="443">
        <v>0</v>
      </c>
      <c r="GJ35" s="443">
        <v>0</v>
      </c>
      <c r="GK35" s="443">
        <v>0</v>
      </c>
      <c r="GL35" s="442">
        <v>30265567.740086142</v>
      </c>
      <c r="GM35" s="443">
        <v>30265567.740086142</v>
      </c>
      <c r="GN35" s="443">
        <v>30265567.740086142</v>
      </c>
      <c r="GO35" s="443">
        <v>30265567.740086142</v>
      </c>
      <c r="GP35" s="443">
        <v>30265567.740086142</v>
      </c>
      <c r="GQ35" s="443">
        <v>30265567.740086142</v>
      </c>
      <c r="GR35" s="443">
        <v>30265567.740086142</v>
      </c>
      <c r="GS35" s="443">
        <v>30265567.740086142</v>
      </c>
      <c r="GT35" s="443">
        <v>30265567.740086142</v>
      </c>
      <c r="GU35" s="443">
        <v>31031612.261419114</v>
      </c>
      <c r="GV35" s="443">
        <v>31031612.261419114</v>
      </c>
      <c r="GW35" s="443">
        <v>31031612.261419114</v>
      </c>
      <c r="GX35" s="443">
        <v>31031612.261419114</v>
      </c>
      <c r="GY35" s="443">
        <v>31031612.261419114</v>
      </c>
      <c r="GZ35" s="443">
        <v>31031612.261419114</v>
      </c>
      <c r="HA35" s="443">
        <v>31031612.261419114</v>
      </c>
      <c r="HB35" s="443">
        <v>31031612.261419114</v>
      </c>
      <c r="HC35" s="443">
        <v>31031612.261419114</v>
      </c>
      <c r="HD35" s="443">
        <v>31031612.261419114</v>
      </c>
      <c r="HE35" s="443">
        <v>31031612.261419114</v>
      </c>
      <c r="HF35" s="443">
        <v>31031612.261419114</v>
      </c>
      <c r="HG35" s="443">
        <v>31817045.951780979</v>
      </c>
      <c r="HH35" s="443">
        <v>31817045.951780979</v>
      </c>
      <c r="HI35" s="443">
        <v>31817045.951780979</v>
      </c>
      <c r="HJ35" s="443">
        <v>31817045.951780979</v>
      </c>
      <c r="HK35" s="443">
        <v>31817045.951780979</v>
      </c>
      <c r="HL35" s="443">
        <v>31817045.951780979</v>
      </c>
      <c r="HM35" s="443">
        <v>31817045.951780979</v>
      </c>
      <c r="HN35" s="443">
        <v>31817045.951780979</v>
      </c>
      <c r="HO35" s="443">
        <v>31817045.951780979</v>
      </c>
      <c r="HP35" s="443">
        <v>31817045.951780979</v>
      </c>
      <c r="HQ35" s="443">
        <v>31817045.951780979</v>
      </c>
      <c r="HR35" s="443">
        <v>31817045.951780979</v>
      </c>
      <c r="HS35" s="443">
        <v>32622359.565775428</v>
      </c>
      <c r="HT35" s="443">
        <v>32622359.565775428</v>
      </c>
      <c r="HU35" s="443">
        <v>32622359.565775428</v>
      </c>
      <c r="HV35" s="443">
        <v>32622359.565775428</v>
      </c>
      <c r="HW35" s="443">
        <v>32622359.565775428</v>
      </c>
      <c r="HX35" s="443">
        <v>32622359.565775428</v>
      </c>
      <c r="HY35" s="443">
        <v>32622359.565775428</v>
      </c>
      <c r="HZ35" s="443">
        <v>32622359.565775428</v>
      </c>
      <c r="IA35" s="443">
        <v>32622359.565775428</v>
      </c>
      <c r="IB35" s="443">
        <v>32622359.565775428</v>
      </c>
      <c r="IC35" s="443">
        <v>32622359.565775428</v>
      </c>
      <c r="ID35" s="443">
        <v>32622359.565775428</v>
      </c>
      <c r="IE35" s="443">
        <v>33448056.279378511</v>
      </c>
      <c r="IF35" s="443">
        <v>33448056.279378511</v>
      </c>
      <c r="IG35" s="443">
        <v>33448056.279378511</v>
      </c>
      <c r="IH35" s="443">
        <v>33448056.279378511</v>
      </c>
      <c r="II35" s="443">
        <v>33448056.279378511</v>
      </c>
      <c r="IJ35" s="443">
        <v>33448056.279378511</v>
      </c>
      <c r="IK35" s="443">
        <v>33448056.279378511</v>
      </c>
      <c r="IL35" s="443">
        <v>33448056.279378511</v>
      </c>
      <c r="IM35" s="443">
        <v>33448056.279378511</v>
      </c>
      <c r="IN35" s="443">
        <v>33448056.279378511</v>
      </c>
      <c r="IO35" s="443">
        <v>33448056.279378511</v>
      </c>
      <c r="IP35" s="443">
        <v>33448056.279378511</v>
      </c>
      <c r="IQ35" s="443">
        <v>34294652.004332393</v>
      </c>
      <c r="IR35" s="443">
        <v>34294652.004332393</v>
      </c>
      <c r="IS35" s="443">
        <v>34294652.004332393</v>
      </c>
      <c r="IT35" s="443">
        <v>34294652.004332393</v>
      </c>
      <c r="IU35" s="443">
        <v>34294652.004332393</v>
      </c>
      <c r="IV35" s="443">
        <v>34294652.004332393</v>
      </c>
      <c r="IW35" s="443">
        <v>34294652.004332393</v>
      </c>
      <c r="IX35" s="443">
        <v>34294652.004332393</v>
      </c>
      <c r="IY35" s="443">
        <v>34294652.004332393</v>
      </c>
      <c r="IZ35" s="443">
        <v>34294652.004332393</v>
      </c>
      <c r="JA35" s="443">
        <v>34294652.004332393</v>
      </c>
      <c r="JB35" s="443">
        <v>34294652.004332393</v>
      </c>
      <c r="JC35" s="443">
        <v>35162675.710497499</v>
      </c>
      <c r="JD35" s="443">
        <v>35162675.710497499</v>
      </c>
      <c r="JE35" s="443">
        <v>35162675.710497499</v>
      </c>
      <c r="JF35" s="443">
        <v>35162675.710497499</v>
      </c>
      <c r="JG35" s="443">
        <v>35162675.710497499</v>
      </c>
      <c r="JH35" s="443">
        <v>35162675.710497499</v>
      </c>
      <c r="JI35" s="443">
        <v>35162675.710497499</v>
      </c>
      <c r="JJ35" s="443">
        <v>35162675.710497499</v>
      </c>
      <c r="JK35" s="443">
        <v>35162675.710497499</v>
      </c>
      <c r="JL35" s="443">
        <v>35162675.710497499</v>
      </c>
      <c r="JM35" s="443">
        <v>35162675.710497499</v>
      </c>
      <c r="JN35" s="443">
        <v>35162675.710497499</v>
      </c>
      <c r="JO35" s="443">
        <v>36052669.756363809</v>
      </c>
      <c r="JP35" s="443">
        <v>36052669.756363809</v>
      </c>
      <c r="JQ35" s="443">
        <v>36052669.756363809</v>
      </c>
      <c r="JR35" s="443">
        <v>36052669.756363809</v>
      </c>
      <c r="JS35" s="443">
        <v>36052669.756363809</v>
      </c>
      <c r="JT35" s="443">
        <v>36052669.756363809</v>
      </c>
      <c r="JU35" s="443">
        <v>36052669.756363809</v>
      </c>
      <c r="JV35" s="443">
        <v>36052669.756363809</v>
      </c>
      <c r="JW35" s="443">
        <v>36052669.756363809</v>
      </c>
      <c r="JX35" s="443">
        <v>36052669.756363809</v>
      </c>
      <c r="JY35" s="443">
        <v>36052669.756363809</v>
      </c>
      <c r="JZ35" s="443">
        <v>36052669.756363809</v>
      </c>
      <c r="KA35" s="443">
        <v>36965190.227926396</v>
      </c>
      <c r="KB35" s="443">
        <v>36965190.227926396</v>
      </c>
      <c r="KC35" s="443">
        <v>36965190.227926396</v>
      </c>
      <c r="KD35" s="443">
        <v>36965190.227926396</v>
      </c>
      <c r="KE35" s="443">
        <v>36965190.227926396</v>
      </c>
      <c r="KF35" s="443">
        <v>36965190.227926396</v>
      </c>
      <c r="KG35" s="443">
        <v>36965190.227926396</v>
      </c>
      <c r="KH35" s="443">
        <v>36965190.227926396</v>
      </c>
      <c r="KI35" s="443">
        <v>36965190.227926396</v>
      </c>
      <c r="KJ35" s="443">
        <v>36965190.227926396</v>
      </c>
      <c r="KK35" s="443">
        <v>36965190.227926396</v>
      </c>
      <c r="KL35" s="443">
        <v>36965190.227926396</v>
      </c>
      <c r="KM35" s="443">
        <v>37900807.286139712</v>
      </c>
      <c r="KN35" s="443">
        <v>37900807.286139712</v>
      </c>
      <c r="KO35" s="443">
        <v>37900807.286139712</v>
      </c>
      <c r="KP35" s="443">
        <v>37900807.286139712</v>
      </c>
      <c r="KQ35" s="443">
        <v>37900807.286139712</v>
      </c>
      <c r="KR35" s="443">
        <v>37900807.286139712</v>
      </c>
      <c r="KS35" s="443">
        <v>37900807.286139712</v>
      </c>
      <c r="KT35" s="443">
        <v>37900807.286139712</v>
      </c>
      <c r="KU35" s="443">
        <v>37900807.286139712</v>
      </c>
      <c r="KV35" s="443">
        <v>37900807.286139712</v>
      </c>
      <c r="KW35" s="443">
        <v>37900807.286139712</v>
      </c>
      <c r="KX35" s="443">
        <v>37900807.286139712</v>
      </c>
      <c r="KY35" s="443"/>
      <c r="KZ35" s="442"/>
      <c r="LA35" s="550"/>
    </row>
    <row r="36" spans="1:314">
      <c r="A36" s="459" t="s">
        <v>1230</v>
      </c>
      <c r="B36" s="463" t="s">
        <v>1184</v>
      </c>
      <c r="C36" s="463" t="s">
        <v>159</v>
      </c>
      <c r="D36" s="456" t="s">
        <v>1219</v>
      </c>
      <c r="E36" s="463"/>
      <c r="F36" s="456"/>
      <c r="G36" s="456"/>
      <c r="H36" s="456"/>
      <c r="I36" s="456"/>
      <c r="J36" s="456" t="s">
        <v>1417</v>
      </c>
      <c r="K36" s="456">
        <v>0</v>
      </c>
      <c r="L36" s="456" t="s">
        <v>899</v>
      </c>
      <c r="M36" s="470">
        <v>14</v>
      </c>
      <c r="N36" s="470">
        <v>14</v>
      </c>
      <c r="O36" s="470">
        <v>14</v>
      </c>
      <c r="P36" s="470">
        <v>14</v>
      </c>
      <c r="Q36" s="470">
        <v>14</v>
      </c>
      <c r="R36" s="470">
        <v>14</v>
      </c>
      <c r="S36" s="470">
        <v>14</v>
      </c>
      <c r="T36" s="470">
        <v>14</v>
      </c>
      <c r="U36" s="470">
        <v>14</v>
      </c>
      <c r="V36" s="470">
        <v>14</v>
      </c>
      <c r="W36" s="470">
        <v>0</v>
      </c>
      <c r="X36" s="457">
        <v>3</v>
      </c>
      <c r="Y36" s="472">
        <v>2751415.2490987401</v>
      </c>
      <c r="Z36" s="472">
        <v>2821055.6601290102</v>
      </c>
      <c r="AA36" s="472">
        <v>2892458.7228891798</v>
      </c>
      <c r="AB36" s="472">
        <v>2965669.0514341299</v>
      </c>
      <c r="AC36" s="472">
        <v>3040732.38903441</v>
      </c>
      <c r="AD36" s="472">
        <v>3117695.6367574902</v>
      </c>
      <c r="AE36" s="472">
        <v>3196606.8827725002</v>
      </c>
      <c r="AF36" s="472">
        <v>3277515.4323967099</v>
      </c>
      <c r="AG36" s="472">
        <v>3360471.8389023999</v>
      </c>
      <c r="AH36" s="472">
        <v>3445527.9351036102</v>
      </c>
      <c r="AI36" s="472">
        <v>0</v>
      </c>
      <c r="AJ36" s="457">
        <v>9</v>
      </c>
      <c r="AK36" s="457">
        <v>12</v>
      </c>
      <c r="AL36" s="457">
        <v>12</v>
      </c>
      <c r="AM36" s="457">
        <v>12</v>
      </c>
      <c r="AN36" s="457">
        <v>12</v>
      </c>
      <c r="AO36" s="457">
        <v>12</v>
      </c>
      <c r="AP36" s="457">
        <v>12</v>
      </c>
      <c r="AQ36" s="457">
        <v>12</v>
      </c>
      <c r="AR36" s="457">
        <v>12</v>
      </c>
      <c r="AS36" s="457">
        <v>12</v>
      </c>
      <c r="AT36" s="457"/>
      <c r="AU36" s="458">
        <v>1</v>
      </c>
      <c r="AV36" s="510">
        <v>1.02531076</v>
      </c>
      <c r="AW36" s="456">
        <v>0</v>
      </c>
      <c r="AX36" s="443">
        <v>5070457557.6889076</v>
      </c>
      <c r="AY36" s="443">
        <v>346678321.38644123</v>
      </c>
      <c r="AZ36" s="443">
        <v>473937350.90167373</v>
      </c>
      <c r="BA36" s="443">
        <v>485933065.4453823</v>
      </c>
      <c r="BB36" s="443">
        <v>498232400.64093381</v>
      </c>
      <c r="BC36" s="443">
        <v>510843041.35778099</v>
      </c>
      <c r="BD36" s="443">
        <v>523772866.97525829</v>
      </c>
      <c r="BE36" s="443">
        <v>537029956.30578005</v>
      </c>
      <c r="BF36" s="443">
        <v>550622592.64264727</v>
      </c>
      <c r="BG36" s="443">
        <v>564559268.93560326</v>
      </c>
      <c r="BH36" s="443">
        <v>578848693.09740663</v>
      </c>
      <c r="BI36" s="443">
        <v>0</v>
      </c>
      <c r="BJ36" s="531">
        <v>0</v>
      </c>
      <c r="BK36" s="532">
        <v>0</v>
      </c>
      <c r="BL36" s="532">
        <v>0</v>
      </c>
      <c r="BM36" s="443">
        <v>38519813.48738236</v>
      </c>
      <c r="BN36" s="443">
        <v>38519813.48738236</v>
      </c>
      <c r="BO36" s="443">
        <v>38519813.48738236</v>
      </c>
      <c r="BP36" s="443">
        <v>38519813.48738236</v>
      </c>
      <c r="BQ36" s="443">
        <v>38519813.48738236</v>
      </c>
      <c r="BR36" s="443">
        <v>38519813.48738236</v>
      </c>
      <c r="BS36" s="443">
        <v>38519813.48738236</v>
      </c>
      <c r="BT36" s="443">
        <v>38519813.48738236</v>
      </c>
      <c r="BU36" s="443">
        <v>38519813.48738236</v>
      </c>
      <c r="BV36" s="443">
        <v>39494779.241806142</v>
      </c>
      <c r="BW36" s="443">
        <v>39494779.241806142</v>
      </c>
      <c r="BX36" s="443">
        <v>39494779.241806142</v>
      </c>
      <c r="BY36" s="443">
        <v>39494779.241806142</v>
      </c>
      <c r="BZ36" s="443">
        <v>39494779.241806142</v>
      </c>
      <c r="CA36" s="443">
        <v>39494779.241806142</v>
      </c>
      <c r="CB36" s="443">
        <v>39494779.241806142</v>
      </c>
      <c r="CC36" s="443">
        <v>39494779.241806142</v>
      </c>
      <c r="CD36" s="443">
        <v>39494779.241806142</v>
      </c>
      <c r="CE36" s="443">
        <v>39494779.241806142</v>
      </c>
      <c r="CF36" s="443">
        <v>39494779.241806142</v>
      </c>
      <c r="CG36" s="443">
        <v>39494779.241806142</v>
      </c>
      <c r="CH36" s="443">
        <v>40494422.120448515</v>
      </c>
      <c r="CI36" s="443">
        <v>40494422.120448515</v>
      </c>
      <c r="CJ36" s="443">
        <v>40494422.120448515</v>
      </c>
      <c r="CK36" s="443">
        <v>40494422.120448515</v>
      </c>
      <c r="CL36" s="443">
        <v>40494422.120448515</v>
      </c>
      <c r="CM36" s="443">
        <v>40494422.120448515</v>
      </c>
      <c r="CN36" s="443">
        <v>40494422.120448515</v>
      </c>
      <c r="CO36" s="443">
        <v>40494422.120448515</v>
      </c>
      <c r="CP36" s="443">
        <v>40494422.120448515</v>
      </c>
      <c r="CQ36" s="443">
        <v>40494422.120448515</v>
      </c>
      <c r="CR36" s="443">
        <v>40494422.120448515</v>
      </c>
      <c r="CS36" s="443">
        <v>40494422.120448515</v>
      </c>
      <c r="CT36" s="443">
        <v>41519366.72007782</v>
      </c>
      <c r="CU36" s="443">
        <v>41519366.72007782</v>
      </c>
      <c r="CV36" s="443">
        <v>41519366.72007782</v>
      </c>
      <c r="CW36" s="443">
        <v>41519366.72007782</v>
      </c>
      <c r="CX36" s="443">
        <v>41519366.72007782</v>
      </c>
      <c r="CY36" s="443">
        <v>41519366.72007782</v>
      </c>
      <c r="CZ36" s="443">
        <v>41519366.72007782</v>
      </c>
      <c r="DA36" s="443">
        <v>41519366.72007782</v>
      </c>
      <c r="DB36" s="443">
        <v>41519366.72007782</v>
      </c>
      <c r="DC36" s="443">
        <v>41519366.72007782</v>
      </c>
      <c r="DD36" s="443">
        <v>41519366.72007782</v>
      </c>
      <c r="DE36" s="443">
        <v>41519366.72007782</v>
      </c>
      <c r="DF36" s="443">
        <v>42570253.446481742</v>
      </c>
      <c r="DG36" s="443">
        <v>42570253.446481742</v>
      </c>
      <c r="DH36" s="443">
        <v>42570253.446481742</v>
      </c>
      <c r="DI36" s="443">
        <v>42570253.446481742</v>
      </c>
      <c r="DJ36" s="443">
        <v>42570253.446481742</v>
      </c>
      <c r="DK36" s="443">
        <v>42570253.446481742</v>
      </c>
      <c r="DL36" s="443">
        <v>42570253.446481742</v>
      </c>
      <c r="DM36" s="443">
        <v>42570253.446481742</v>
      </c>
      <c r="DN36" s="443">
        <v>42570253.446481742</v>
      </c>
      <c r="DO36" s="443">
        <v>42570253.446481742</v>
      </c>
      <c r="DP36" s="443">
        <v>42570253.446481742</v>
      </c>
      <c r="DQ36" s="443">
        <v>42570253.446481742</v>
      </c>
      <c r="DR36" s="443">
        <v>43647738.914604865</v>
      </c>
      <c r="DS36" s="443">
        <v>43647738.914604865</v>
      </c>
      <c r="DT36" s="443">
        <v>43647738.914604865</v>
      </c>
      <c r="DU36" s="443">
        <v>43647738.914604865</v>
      </c>
      <c r="DV36" s="443">
        <v>43647738.914604865</v>
      </c>
      <c r="DW36" s="443">
        <v>43647738.914604865</v>
      </c>
      <c r="DX36" s="443">
        <v>43647738.914604865</v>
      </c>
      <c r="DY36" s="443">
        <v>43647738.914604865</v>
      </c>
      <c r="DZ36" s="443">
        <v>43647738.914604865</v>
      </c>
      <c r="EA36" s="443">
        <v>43647738.914604865</v>
      </c>
      <c r="EB36" s="443">
        <v>43647738.914604865</v>
      </c>
      <c r="EC36" s="443">
        <v>43647738.914604865</v>
      </c>
      <c r="ED36" s="443">
        <v>44752496.358814999</v>
      </c>
      <c r="EE36" s="443">
        <v>44752496.358814999</v>
      </c>
      <c r="EF36" s="443">
        <v>44752496.358814999</v>
      </c>
      <c r="EG36" s="443">
        <v>44752496.358814999</v>
      </c>
      <c r="EH36" s="443">
        <v>44752496.358814999</v>
      </c>
      <c r="EI36" s="443">
        <v>44752496.358814999</v>
      </c>
      <c r="EJ36" s="443">
        <v>44752496.358814999</v>
      </c>
      <c r="EK36" s="443">
        <v>44752496.358814999</v>
      </c>
      <c r="EL36" s="443">
        <v>44752496.358814999</v>
      </c>
      <c r="EM36" s="443">
        <v>44752496.358814999</v>
      </c>
      <c r="EN36" s="443">
        <v>44752496.358814999</v>
      </c>
      <c r="EO36" s="443">
        <v>44752496.358814999</v>
      </c>
      <c r="EP36" s="443">
        <v>45885216.053553939</v>
      </c>
      <c r="EQ36" s="443">
        <v>45885216.053553939</v>
      </c>
      <c r="ER36" s="443">
        <v>45885216.053553939</v>
      </c>
      <c r="ES36" s="443">
        <v>45885216.053553939</v>
      </c>
      <c r="ET36" s="443">
        <v>45885216.053553939</v>
      </c>
      <c r="EU36" s="443">
        <v>45885216.053553939</v>
      </c>
      <c r="EV36" s="443">
        <v>45885216.053553939</v>
      </c>
      <c r="EW36" s="443">
        <v>45885216.053553939</v>
      </c>
      <c r="EX36" s="443">
        <v>45885216.053553939</v>
      </c>
      <c r="EY36" s="443">
        <v>45885216.053553939</v>
      </c>
      <c r="EZ36" s="443">
        <v>45885216.053553939</v>
      </c>
      <c r="FA36" s="443">
        <v>45885216.053553939</v>
      </c>
      <c r="FB36" s="443">
        <v>47046605.7446336</v>
      </c>
      <c r="FC36" s="443">
        <v>47046605.7446336</v>
      </c>
      <c r="FD36" s="443">
        <v>47046605.7446336</v>
      </c>
      <c r="FE36" s="443">
        <v>47046605.7446336</v>
      </c>
      <c r="FF36" s="443">
        <v>47046605.7446336</v>
      </c>
      <c r="FG36" s="443">
        <v>47046605.7446336</v>
      </c>
      <c r="FH36" s="443">
        <v>47046605.7446336</v>
      </c>
      <c r="FI36" s="443">
        <v>47046605.7446336</v>
      </c>
      <c r="FJ36" s="443">
        <v>47046605.7446336</v>
      </c>
      <c r="FK36" s="443">
        <v>47046605.7446336</v>
      </c>
      <c r="FL36" s="443">
        <v>47046605.7446336</v>
      </c>
      <c r="FM36" s="443">
        <v>47046605.7446336</v>
      </c>
      <c r="FN36" s="443">
        <v>48237391.091450542</v>
      </c>
      <c r="FO36" s="443">
        <v>48237391.091450542</v>
      </c>
      <c r="FP36" s="443">
        <v>48237391.091450542</v>
      </c>
      <c r="FQ36" s="443">
        <v>48237391.091450542</v>
      </c>
      <c r="FR36" s="443">
        <v>48237391.091450542</v>
      </c>
      <c r="FS36" s="443">
        <v>48237391.091450542</v>
      </c>
      <c r="FT36" s="443">
        <v>48237391.091450542</v>
      </c>
      <c r="FU36" s="443">
        <v>48237391.091450542</v>
      </c>
      <c r="FV36" s="443">
        <v>48237391.091450542</v>
      </c>
      <c r="FW36" s="443">
        <v>48237391.091450542</v>
      </c>
      <c r="FX36" s="443">
        <v>48237391.091450542</v>
      </c>
      <c r="FY36" s="443">
        <v>48237391.091450542</v>
      </c>
      <c r="FZ36" s="443">
        <v>0</v>
      </c>
      <c r="GA36" s="443">
        <v>0</v>
      </c>
      <c r="GB36" s="443">
        <v>0</v>
      </c>
      <c r="GC36" s="443">
        <v>0</v>
      </c>
      <c r="GD36" s="443">
        <v>0</v>
      </c>
      <c r="GE36" s="443">
        <v>0</v>
      </c>
      <c r="GF36" s="443">
        <v>0</v>
      </c>
      <c r="GG36" s="443">
        <v>0</v>
      </c>
      <c r="GH36" s="443">
        <v>0</v>
      </c>
      <c r="GI36" s="443">
        <v>0</v>
      </c>
      <c r="GJ36" s="443">
        <v>0</v>
      </c>
      <c r="GK36" s="443">
        <v>0</v>
      </c>
      <c r="GL36" s="442">
        <v>38519813.48738236</v>
      </c>
      <c r="GM36" s="443">
        <v>38519813.48738236</v>
      </c>
      <c r="GN36" s="443">
        <v>38519813.48738236</v>
      </c>
      <c r="GO36" s="443">
        <v>38519813.48738236</v>
      </c>
      <c r="GP36" s="443">
        <v>38519813.48738236</v>
      </c>
      <c r="GQ36" s="443">
        <v>38519813.48738236</v>
      </c>
      <c r="GR36" s="443">
        <v>38519813.48738236</v>
      </c>
      <c r="GS36" s="443">
        <v>38519813.48738236</v>
      </c>
      <c r="GT36" s="443">
        <v>38519813.48738236</v>
      </c>
      <c r="GU36" s="443">
        <v>39494779.241806142</v>
      </c>
      <c r="GV36" s="443">
        <v>39494779.241806142</v>
      </c>
      <c r="GW36" s="443">
        <v>39494779.241806142</v>
      </c>
      <c r="GX36" s="443">
        <v>39494779.241806142</v>
      </c>
      <c r="GY36" s="443">
        <v>39494779.241806142</v>
      </c>
      <c r="GZ36" s="443">
        <v>39494779.241806142</v>
      </c>
      <c r="HA36" s="443">
        <v>39494779.241806142</v>
      </c>
      <c r="HB36" s="443">
        <v>39494779.241806142</v>
      </c>
      <c r="HC36" s="443">
        <v>39494779.241806142</v>
      </c>
      <c r="HD36" s="443">
        <v>39494779.241806142</v>
      </c>
      <c r="HE36" s="443">
        <v>39494779.241806142</v>
      </c>
      <c r="HF36" s="443">
        <v>39494779.241806142</v>
      </c>
      <c r="HG36" s="443">
        <v>40494422.120448515</v>
      </c>
      <c r="HH36" s="443">
        <v>40494422.120448515</v>
      </c>
      <c r="HI36" s="443">
        <v>40494422.120448515</v>
      </c>
      <c r="HJ36" s="443">
        <v>40494422.120448515</v>
      </c>
      <c r="HK36" s="443">
        <v>40494422.120448515</v>
      </c>
      <c r="HL36" s="443">
        <v>40494422.120448515</v>
      </c>
      <c r="HM36" s="443">
        <v>40494422.120448515</v>
      </c>
      <c r="HN36" s="443">
        <v>40494422.120448515</v>
      </c>
      <c r="HO36" s="443">
        <v>40494422.120448515</v>
      </c>
      <c r="HP36" s="443">
        <v>40494422.120448515</v>
      </c>
      <c r="HQ36" s="443">
        <v>40494422.120448515</v>
      </c>
      <c r="HR36" s="443">
        <v>40494422.120448515</v>
      </c>
      <c r="HS36" s="443">
        <v>41519366.72007782</v>
      </c>
      <c r="HT36" s="443">
        <v>41519366.72007782</v>
      </c>
      <c r="HU36" s="443">
        <v>41519366.72007782</v>
      </c>
      <c r="HV36" s="443">
        <v>41519366.72007782</v>
      </c>
      <c r="HW36" s="443">
        <v>41519366.72007782</v>
      </c>
      <c r="HX36" s="443">
        <v>41519366.72007782</v>
      </c>
      <c r="HY36" s="443">
        <v>41519366.72007782</v>
      </c>
      <c r="HZ36" s="443">
        <v>41519366.72007782</v>
      </c>
      <c r="IA36" s="443">
        <v>41519366.72007782</v>
      </c>
      <c r="IB36" s="443">
        <v>41519366.72007782</v>
      </c>
      <c r="IC36" s="443">
        <v>41519366.72007782</v>
      </c>
      <c r="ID36" s="443">
        <v>41519366.72007782</v>
      </c>
      <c r="IE36" s="443">
        <v>42570253.446481742</v>
      </c>
      <c r="IF36" s="443">
        <v>42570253.446481742</v>
      </c>
      <c r="IG36" s="443">
        <v>42570253.446481742</v>
      </c>
      <c r="IH36" s="443">
        <v>42570253.446481742</v>
      </c>
      <c r="II36" s="443">
        <v>42570253.446481742</v>
      </c>
      <c r="IJ36" s="443">
        <v>42570253.446481742</v>
      </c>
      <c r="IK36" s="443">
        <v>42570253.446481742</v>
      </c>
      <c r="IL36" s="443">
        <v>42570253.446481742</v>
      </c>
      <c r="IM36" s="443">
        <v>42570253.446481742</v>
      </c>
      <c r="IN36" s="443">
        <v>42570253.446481742</v>
      </c>
      <c r="IO36" s="443">
        <v>42570253.446481742</v>
      </c>
      <c r="IP36" s="443">
        <v>42570253.446481742</v>
      </c>
      <c r="IQ36" s="443">
        <v>43647738.914604865</v>
      </c>
      <c r="IR36" s="443">
        <v>43647738.914604865</v>
      </c>
      <c r="IS36" s="443">
        <v>43647738.914604865</v>
      </c>
      <c r="IT36" s="443">
        <v>43647738.914604865</v>
      </c>
      <c r="IU36" s="443">
        <v>43647738.914604865</v>
      </c>
      <c r="IV36" s="443">
        <v>43647738.914604865</v>
      </c>
      <c r="IW36" s="443">
        <v>43647738.914604865</v>
      </c>
      <c r="IX36" s="443">
        <v>43647738.914604865</v>
      </c>
      <c r="IY36" s="443">
        <v>43647738.914604865</v>
      </c>
      <c r="IZ36" s="443">
        <v>43647738.914604865</v>
      </c>
      <c r="JA36" s="443">
        <v>43647738.914604865</v>
      </c>
      <c r="JB36" s="443">
        <v>43647738.914604865</v>
      </c>
      <c r="JC36" s="443">
        <v>44752496.358814999</v>
      </c>
      <c r="JD36" s="443">
        <v>44752496.358814999</v>
      </c>
      <c r="JE36" s="443">
        <v>44752496.358814999</v>
      </c>
      <c r="JF36" s="443">
        <v>44752496.358814999</v>
      </c>
      <c r="JG36" s="443">
        <v>44752496.358814999</v>
      </c>
      <c r="JH36" s="443">
        <v>44752496.358814999</v>
      </c>
      <c r="JI36" s="443">
        <v>44752496.358814999</v>
      </c>
      <c r="JJ36" s="443">
        <v>44752496.358814999</v>
      </c>
      <c r="JK36" s="443">
        <v>44752496.358814999</v>
      </c>
      <c r="JL36" s="443">
        <v>44752496.358814999</v>
      </c>
      <c r="JM36" s="443">
        <v>44752496.358814999</v>
      </c>
      <c r="JN36" s="443">
        <v>44752496.358814999</v>
      </c>
      <c r="JO36" s="443">
        <v>45885216.053553939</v>
      </c>
      <c r="JP36" s="443">
        <v>45885216.053553939</v>
      </c>
      <c r="JQ36" s="443">
        <v>45885216.053553939</v>
      </c>
      <c r="JR36" s="443">
        <v>45885216.053553939</v>
      </c>
      <c r="JS36" s="443">
        <v>45885216.053553939</v>
      </c>
      <c r="JT36" s="443">
        <v>45885216.053553939</v>
      </c>
      <c r="JU36" s="443">
        <v>45885216.053553939</v>
      </c>
      <c r="JV36" s="443">
        <v>45885216.053553939</v>
      </c>
      <c r="JW36" s="443">
        <v>45885216.053553939</v>
      </c>
      <c r="JX36" s="443">
        <v>45885216.053553939</v>
      </c>
      <c r="JY36" s="443">
        <v>45885216.053553939</v>
      </c>
      <c r="JZ36" s="443">
        <v>45885216.053553939</v>
      </c>
      <c r="KA36" s="443">
        <v>47046605.7446336</v>
      </c>
      <c r="KB36" s="443">
        <v>47046605.7446336</v>
      </c>
      <c r="KC36" s="443">
        <v>47046605.7446336</v>
      </c>
      <c r="KD36" s="443">
        <v>47046605.7446336</v>
      </c>
      <c r="KE36" s="443">
        <v>47046605.7446336</v>
      </c>
      <c r="KF36" s="443">
        <v>47046605.7446336</v>
      </c>
      <c r="KG36" s="443">
        <v>47046605.7446336</v>
      </c>
      <c r="KH36" s="443">
        <v>47046605.7446336</v>
      </c>
      <c r="KI36" s="443">
        <v>47046605.7446336</v>
      </c>
      <c r="KJ36" s="443">
        <v>47046605.7446336</v>
      </c>
      <c r="KK36" s="443">
        <v>47046605.7446336</v>
      </c>
      <c r="KL36" s="443">
        <v>47046605.7446336</v>
      </c>
      <c r="KM36" s="443">
        <v>48237391.091450542</v>
      </c>
      <c r="KN36" s="443">
        <v>48237391.091450542</v>
      </c>
      <c r="KO36" s="443">
        <v>48237391.091450542</v>
      </c>
      <c r="KP36" s="443">
        <v>48237391.091450542</v>
      </c>
      <c r="KQ36" s="443">
        <v>48237391.091450542</v>
      </c>
      <c r="KR36" s="443">
        <v>48237391.091450542</v>
      </c>
      <c r="KS36" s="443">
        <v>48237391.091450542</v>
      </c>
      <c r="KT36" s="443">
        <v>48237391.091450542</v>
      </c>
      <c r="KU36" s="443">
        <v>48237391.091450542</v>
      </c>
      <c r="KV36" s="443">
        <v>48237391.091450542</v>
      </c>
      <c r="KW36" s="443">
        <v>48237391.091450542</v>
      </c>
      <c r="KX36" s="443">
        <v>48237391.091450542</v>
      </c>
      <c r="KY36" s="443"/>
      <c r="KZ36" s="442"/>
      <c r="LA36" s="550"/>
    </row>
    <row r="37" spans="1:314">
      <c r="A37" s="459" t="s">
        <v>1231</v>
      </c>
      <c r="B37" s="463" t="s">
        <v>1184</v>
      </c>
      <c r="C37" s="463" t="s">
        <v>159</v>
      </c>
      <c r="D37" s="456" t="s">
        <v>1221</v>
      </c>
      <c r="E37" s="463"/>
      <c r="F37" s="456"/>
      <c r="G37" s="456"/>
      <c r="H37" s="456"/>
      <c r="I37" s="456"/>
      <c r="J37" s="456" t="s">
        <v>1417</v>
      </c>
      <c r="K37" s="456">
        <v>0</v>
      </c>
      <c r="L37" s="456" t="s">
        <v>899</v>
      </c>
      <c r="M37" s="470">
        <v>10</v>
      </c>
      <c r="N37" s="470">
        <v>10</v>
      </c>
      <c r="O37" s="470">
        <v>10</v>
      </c>
      <c r="P37" s="470">
        <v>10</v>
      </c>
      <c r="Q37" s="470">
        <v>10</v>
      </c>
      <c r="R37" s="470">
        <v>10</v>
      </c>
      <c r="S37" s="470">
        <v>10</v>
      </c>
      <c r="T37" s="470">
        <v>10</v>
      </c>
      <c r="U37" s="470">
        <v>10</v>
      </c>
      <c r="V37" s="470">
        <v>10</v>
      </c>
      <c r="W37" s="470">
        <v>0</v>
      </c>
      <c r="X37" s="457">
        <v>3</v>
      </c>
      <c r="Y37" s="472">
        <v>2751415.2490987401</v>
      </c>
      <c r="Z37" s="472">
        <v>2821055.6601290102</v>
      </c>
      <c r="AA37" s="472">
        <v>2892458.7228891798</v>
      </c>
      <c r="AB37" s="472">
        <v>2965669.0514341299</v>
      </c>
      <c r="AC37" s="472">
        <v>3040732.38903441</v>
      </c>
      <c r="AD37" s="472">
        <v>3117695.6367574902</v>
      </c>
      <c r="AE37" s="472">
        <v>3196606.8827725002</v>
      </c>
      <c r="AF37" s="472">
        <v>3277515.4323967099</v>
      </c>
      <c r="AG37" s="472">
        <v>3360471.8389023999</v>
      </c>
      <c r="AH37" s="472">
        <v>3445527.9351036102</v>
      </c>
      <c r="AI37" s="472">
        <v>0</v>
      </c>
      <c r="AJ37" s="457">
        <v>9</v>
      </c>
      <c r="AK37" s="457">
        <v>12</v>
      </c>
      <c r="AL37" s="457">
        <v>12</v>
      </c>
      <c r="AM37" s="457">
        <v>12</v>
      </c>
      <c r="AN37" s="457">
        <v>12</v>
      </c>
      <c r="AO37" s="457">
        <v>12</v>
      </c>
      <c r="AP37" s="457">
        <v>12</v>
      </c>
      <c r="AQ37" s="457">
        <v>12</v>
      </c>
      <c r="AR37" s="457">
        <v>12</v>
      </c>
      <c r="AS37" s="457">
        <v>12</v>
      </c>
      <c r="AT37" s="457"/>
      <c r="AU37" s="458">
        <v>1</v>
      </c>
      <c r="AV37" s="510">
        <v>1.02531076</v>
      </c>
      <c r="AW37" s="456">
        <v>0</v>
      </c>
      <c r="AX37" s="443">
        <v>3621755398.3492193</v>
      </c>
      <c r="AY37" s="443">
        <v>247627372.41888657</v>
      </c>
      <c r="AZ37" s="443">
        <v>338526679.21548122</v>
      </c>
      <c r="BA37" s="443">
        <v>347095046.74670154</v>
      </c>
      <c r="BB37" s="443">
        <v>355880286.1720956</v>
      </c>
      <c r="BC37" s="443">
        <v>364887886.68412906</v>
      </c>
      <c r="BD37" s="443">
        <v>374123476.41089892</v>
      </c>
      <c r="BE37" s="443">
        <v>383592825.93269998</v>
      </c>
      <c r="BF37" s="443">
        <v>393301851.88760519</v>
      </c>
      <c r="BG37" s="443">
        <v>403256620.66828805</v>
      </c>
      <c r="BH37" s="443">
        <v>413463352.2124331</v>
      </c>
      <c r="BI37" s="443">
        <v>0</v>
      </c>
      <c r="BJ37" s="531">
        <v>0</v>
      </c>
      <c r="BK37" s="532">
        <v>0</v>
      </c>
      <c r="BL37" s="532">
        <v>0</v>
      </c>
      <c r="BM37" s="443">
        <v>27514152.490987401</v>
      </c>
      <c r="BN37" s="443">
        <v>27514152.490987401</v>
      </c>
      <c r="BO37" s="443">
        <v>27514152.490987401</v>
      </c>
      <c r="BP37" s="443">
        <v>27514152.490987401</v>
      </c>
      <c r="BQ37" s="443">
        <v>27514152.490987401</v>
      </c>
      <c r="BR37" s="443">
        <v>27514152.490987401</v>
      </c>
      <c r="BS37" s="443">
        <v>27514152.490987401</v>
      </c>
      <c r="BT37" s="443">
        <v>27514152.490987401</v>
      </c>
      <c r="BU37" s="443">
        <v>27514152.490987401</v>
      </c>
      <c r="BV37" s="443">
        <v>28210556.601290103</v>
      </c>
      <c r="BW37" s="443">
        <v>28210556.601290103</v>
      </c>
      <c r="BX37" s="443">
        <v>28210556.601290103</v>
      </c>
      <c r="BY37" s="443">
        <v>28210556.601290103</v>
      </c>
      <c r="BZ37" s="443">
        <v>28210556.601290103</v>
      </c>
      <c r="CA37" s="443">
        <v>28210556.601290103</v>
      </c>
      <c r="CB37" s="443">
        <v>28210556.601290103</v>
      </c>
      <c r="CC37" s="443">
        <v>28210556.601290103</v>
      </c>
      <c r="CD37" s="443">
        <v>28210556.601290103</v>
      </c>
      <c r="CE37" s="443">
        <v>28210556.601290103</v>
      </c>
      <c r="CF37" s="443">
        <v>28210556.601290103</v>
      </c>
      <c r="CG37" s="443">
        <v>28210556.601290103</v>
      </c>
      <c r="CH37" s="443">
        <v>28924587.228891797</v>
      </c>
      <c r="CI37" s="443">
        <v>28924587.228891797</v>
      </c>
      <c r="CJ37" s="443">
        <v>28924587.228891797</v>
      </c>
      <c r="CK37" s="443">
        <v>28924587.228891797</v>
      </c>
      <c r="CL37" s="443">
        <v>28924587.228891797</v>
      </c>
      <c r="CM37" s="443">
        <v>28924587.228891797</v>
      </c>
      <c r="CN37" s="443">
        <v>28924587.228891797</v>
      </c>
      <c r="CO37" s="443">
        <v>28924587.228891797</v>
      </c>
      <c r="CP37" s="443">
        <v>28924587.228891797</v>
      </c>
      <c r="CQ37" s="443">
        <v>28924587.228891797</v>
      </c>
      <c r="CR37" s="443">
        <v>28924587.228891797</v>
      </c>
      <c r="CS37" s="443">
        <v>28924587.228891797</v>
      </c>
      <c r="CT37" s="443">
        <v>29656690.514341298</v>
      </c>
      <c r="CU37" s="443">
        <v>29656690.514341298</v>
      </c>
      <c r="CV37" s="443">
        <v>29656690.514341298</v>
      </c>
      <c r="CW37" s="443">
        <v>29656690.514341298</v>
      </c>
      <c r="CX37" s="443">
        <v>29656690.514341298</v>
      </c>
      <c r="CY37" s="443">
        <v>29656690.514341298</v>
      </c>
      <c r="CZ37" s="443">
        <v>29656690.514341298</v>
      </c>
      <c r="DA37" s="443">
        <v>29656690.514341298</v>
      </c>
      <c r="DB37" s="443">
        <v>29656690.514341298</v>
      </c>
      <c r="DC37" s="443">
        <v>29656690.514341298</v>
      </c>
      <c r="DD37" s="443">
        <v>29656690.514341298</v>
      </c>
      <c r="DE37" s="443">
        <v>29656690.514341298</v>
      </c>
      <c r="DF37" s="443">
        <v>30407323.890344098</v>
      </c>
      <c r="DG37" s="443">
        <v>30407323.890344098</v>
      </c>
      <c r="DH37" s="443">
        <v>30407323.890344098</v>
      </c>
      <c r="DI37" s="443">
        <v>30407323.890344098</v>
      </c>
      <c r="DJ37" s="443">
        <v>30407323.890344098</v>
      </c>
      <c r="DK37" s="443">
        <v>30407323.890344098</v>
      </c>
      <c r="DL37" s="443">
        <v>30407323.890344098</v>
      </c>
      <c r="DM37" s="443">
        <v>30407323.890344098</v>
      </c>
      <c r="DN37" s="443">
        <v>30407323.890344098</v>
      </c>
      <c r="DO37" s="443">
        <v>30407323.890344098</v>
      </c>
      <c r="DP37" s="443">
        <v>30407323.890344098</v>
      </c>
      <c r="DQ37" s="443">
        <v>30407323.890344098</v>
      </c>
      <c r="DR37" s="443">
        <v>31176956.3675749</v>
      </c>
      <c r="DS37" s="443">
        <v>31176956.3675749</v>
      </c>
      <c r="DT37" s="443">
        <v>31176956.3675749</v>
      </c>
      <c r="DU37" s="443">
        <v>31176956.3675749</v>
      </c>
      <c r="DV37" s="443">
        <v>31176956.3675749</v>
      </c>
      <c r="DW37" s="443">
        <v>31176956.3675749</v>
      </c>
      <c r="DX37" s="443">
        <v>31176956.3675749</v>
      </c>
      <c r="DY37" s="443">
        <v>31176956.3675749</v>
      </c>
      <c r="DZ37" s="443">
        <v>31176956.3675749</v>
      </c>
      <c r="EA37" s="443">
        <v>31176956.3675749</v>
      </c>
      <c r="EB37" s="443">
        <v>31176956.3675749</v>
      </c>
      <c r="EC37" s="443">
        <v>31176956.3675749</v>
      </c>
      <c r="ED37" s="443">
        <v>31966068.827725001</v>
      </c>
      <c r="EE37" s="443">
        <v>31966068.827725001</v>
      </c>
      <c r="EF37" s="443">
        <v>31966068.827725001</v>
      </c>
      <c r="EG37" s="443">
        <v>31966068.827725001</v>
      </c>
      <c r="EH37" s="443">
        <v>31966068.827725001</v>
      </c>
      <c r="EI37" s="443">
        <v>31966068.827725001</v>
      </c>
      <c r="EJ37" s="443">
        <v>31966068.827725001</v>
      </c>
      <c r="EK37" s="443">
        <v>31966068.827725001</v>
      </c>
      <c r="EL37" s="443">
        <v>31966068.827725001</v>
      </c>
      <c r="EM37" s="443">
        <v>31966068.827725001</v>
      </c>
      <c r="EN37" s="443">
        <v>31966068.827725001</v>
      </c>
      <c r="EO37" s="443">
        <v>31966068.827725001</v>
      </c>
      <c r="EP37" s="443">
        <v>32775154.323967099</v>
      </c>
      <c r="EQ37" s="443">
        <v>32775154.323967099</v>
      </c>
      <c r="ER37" s="443">
        <v>32775154.323967099</v>
      </c>
      <c r="ES37" s="443">
        <v>32775154.323967099</v>
      </c>
      <c r="ET37" s="443">
        <v>32775154.323967099</v>
      </c>
      <c r="EU37" s="443">
        <v>32775154.323967099</v>
      </c>
      <c r="EV37" s="443">
        <v>32775154.323967099</v>
      </c>
      <c r="EW37" s="443">
        <v>32775154.323967099</v>
      </c>
      <c r="EX37" s="443">
        <v>32775154.323967099</v>
      </c>
      <c r="EY37" s="443">
        <v>32775154.323967099</v>
      </c>
      <c r="EZ37" s="443">
        <v>32775154.323967099</v>
      </c>
      <c r="FA37" s="443">
        <v>32775154.323967099</v>
      </c>
      <c r="FB37" s="443">
        <v>33604718.389023997</v>
      </c>
      <c r="FC37" s="443">
        <v>33604718.389023997</v>
      </c>
      <c r="FD37" s="443">
        <v>33604718.389023997</v>
      </c>
      <c r="FE37" s="443">
        <v>33604718.389023997</v>
      </c>
      <c r="FF37" s="443">
        <v>33604718.389023997</v>
      </c>
      <c r="FG37" s="443">
        <v>33604718.389023997</v>
      </c>
      <c r="FH37" s="443">
        <v>33604718.389023997</v>
      </c>
      <c r="FI37" s="443">
        <v>33604718.389023997</v>
      </c>
      <c r="FJ37" s="443">
        <v>33604718.389023997</v>
      </c>
      <c r="FK37" s="443">
        <v>33604718.389023997</v>
      </c>
      <c r="FL37" s="443">
        <v>33604718.389023997</v>
      </c>
      <c r="FM37" s="443">
        <v>33604718.389023997</v>
      </c>
      <c r="FN37" s="443">
        <v>34455279.351036102</v>
      </c>
      <c r="FO37" s="443">
        <v>34455279.351036102</v>
      </c>
      <c r="FP37" s="443">
        <v>34455279.351036102</v>
      </c>
      <c r="FQ37" s="443">
        <v>34455279.351036102</v>
      </c>
      <c r="FR37" s="443">
        <v>34455279.351036102</v>
      </c>
      <c r="FS37" s="443">
        <v>34455279.351036102</v>
      </c>
      <c r="FT37" s="443">
        <v>34455279.351036102</v>
      </c>
      <c r="FU37" s="443">
        <v>34455279.351036102</v>
      </c>
      <c r="FV37" s="443">
        <v>34455279.351036102</v>
      </c>
      <c r="FW37" s="443">
        <v>34455279.351036102</v>
      </c>
      <c r="FX37" s="443">
        <v>34455279.351036102</v>
      </c>
      <c r="FY37" s="443">
        <v>34455279.351036102</v>
      </c>
      <c r="FZ37" s="443">
        <v>0</v>
      </c>
      <c r="GA37" s="443">
        <v>0</v>
      </c>
      <c r="GB37" s="443">
        <v>0</v>
      </c>
      <c r="GC37" s="443">
        <v>0</v>
      </c>
      <c r="GD37" s="443">
        <v>0</v>
      </c>
      <c r="GE37" s="443">
        <v>0</v>
      </c>
      <c r="GF37" s="443">
        <v>0</v>
      </c>
      <c r="GG37" s="443">
        <v>0</v>
      </c>
      <c r="GH37" s="443">
        <v>0</v>
      </c>
      <c r="GI37" s="443">
        <v>0</v>
      </c>
      <c r="GJ37" s="443">
        <v>0</v>
      </c>
      <c r="GK37" s="443">
        <v>0</v>
      </c>
      <c r="GL37" s="442">
        <v>27514152.490987401</v>
      </c>
      <c r="GM37" s="443">
        <v>27514152.490987401</v>
      </c>
      <c r="GN37" s="443">
        <v>27514152.490987401</v>
      </c>
      <c r="GO37" s="443">
        <v>27514152.490987401</v>
      </c>
      <c r="GP37" s="443">
        <v>27514152.490987401</v>
      </c>
      <c r="GQ37" s="443">
        <v>27514152.490987401</v>
      </c>
      <c r="GR37" s="443">
        <v>27514152.490987401</v>
      </c>
      <c r="GS37" s="443">
        <v>27514152.490987401</v>
      </c>
      <c r="GT37" s="443">
        <v>27514152.490987401</v>
      </c>
      <c r="GU37" s="443">
        <v>28210556.601290103</v>
      </c>
      <c r="GV37" s="443">
        <v>28210556.601290103</v>
      </c>
      <c r="GW37" s="443">
        <v>28210556.601290103</v>
      </c>
      <c r="GX37" s="443">
        <v>28210556.601290103</v>
      </c>
      <c r="GY37" s="443">
        <v>28210556.601290103</v>
      </c>
      <c r="GZ37" s="443">
        <v>28210556.601290103</v>
      </c>
      <c r="HA37" s="443">
        <v>28210556.601290103</v>
      </c>
      <c r="HB37" s="443">
        <v>28210556.601290103</v>
      </c>
      <c r="HC37" s="443">
        <v>28210556.601290103</v>
      </c>
      <c r="HD37" s="443">
        <v>28210556.601290103</v>
      </c>
      <c r="HE37" s="443">
        <v>28210556.601290103</v>
      </c>
      <c r="HF37" s="443">
        <v>28210556.601290103</v>
      </c>
      <c r="HG37" s="443">
        <v>28924587.228891797</v>
      </c>
      <c r="HH37" s="443">
        <v>28924587.228891797</v>
      </c>
      <c r="HI37" s="443">
        <v>28924587.228891797</v>
      </c>
      <c r="HJ37" s="443">
        <v>28924587.228891797</v>
      </c>
      <c r="HK37" s="443">
        <v>28924587.228891797</v>
      </c>
      <c r="HL37" s="443">
        <v>28924587.228891797</v>
      </c>
      <c r="HM37" s="443">
        <v>28924587.228891797</v>
      </c>
      <c r="HN37" s="443">
        <v>28924587.228891797</v>
      </c>
      <c r="HO37" s="443">
        <v>28924587.228891797</v>
      </c>
      <c r="HP37" s="443">
        <v>28924587.228891797</v>
      </c>
      <c r="HQ37" s="443">
        <v>28924587.228891797</v>
      </c>
      <c r="HR37" s="443">
        <v>28924587.228891797</v>
      </c>
      <c r="HS37" s="443">
        <v>29656690.514341298</v>
      </c>
      <c r="HT37" s="443">
        <v>29656690.514341298</v>
      </c>
      <c r="HU37" s="443">
        <v>29656690.514341298</v>
      </c>
      <c r="HV37" s="443">
        <v>29656690.514341298</v>
      </c>
      <c r="HW37" s="443">
        <v>29656690.514341298</v>
      </c>
      <c r="HX37" s="443">
        <v>29656690.514341298</v>
      </c>
      <c r="HY37" s="443">
        <v>29656690.514341298</v>
      </c>
      <c r="HZ37" s="443">
        <v>29656690.514341298</v>
      </c>
      <c r="IA37" s="443">
        <v>29656690.514341298</v>
      </c>
      <c r="IB37" s="443">
        <v>29656690.514341298</v>
      </c>
      <c r="IC37" s="443">
        <v>29656690.514341298</v>
      </c>
      <c r="ID37" s="443">
        <v>29656690.514341298</v>
      </c>
      <c r="IE37" s="443">
        <v>30407323.890344098</v>
      </c>
      <c r="IF37" s="443">
        <v>30407323.890344098</v>
      </c>
      <c r="IG37" s="443">
        <v>30407323.890344098</v>
      </c>
      <c r="IH37" s="443">
        <v>30407323.890344098</v>
      </c>
      <c r="II37" s="443">
        <v>30407323.890344098</v>
      </c>
      <c r="IJ37" s="443">
        <v>30407323.890344098</v>
      </c>
      <c r="IK37" s="443">
        <v>30407323.890344098</v>
      </c>
      <c r="IL37" s="443">
        <v>30407323.890344098</v>
      </c>
      <c r="IM37" s="443">
        <v>30407323.890344098</v>
      </c>
      <c r="IN37" s="443">
        <v>30407323.890344098</v>
      </c>
      <c r="IO37" s="443">
        <v>30407323.890344098</v>
      </c>
      <c r="IP37" s="443">
        <v>30407323.890344098</v>
      </c>
      <c r="IQ37" s="443">
        <v>31176956.3675749</v>
      </c>
      <c r="IR37" s="443">
        <v>31176956.3675749</v>
      </c>
      <c r="IS37" s="443">
        <v>31176956.3675749</v>
      </c>
      <c r="IT37" s="443">
        <v>31176956.3675749</v>
      </c>
      <c r="IU37" s="443">
        <v>31176956.3675749</v>
      </c>
      <c r="IV37" s="443">
        <v>31176956.3675749</v>
      </c>
      <c r="IW37" s="443">
        <v>31176956.3675749</v>
      </c>
      <c r="IX37" s="443">
        <v>31176956.3675749</v>
      </c>
      <c r="IY37" s="443">
        <v>31176956.3675749</v>
      </c>
      <c r="IZ37" s="443">
        <v>31176956.3675749</v>
      </c>
      <c r="JA37" s="443">
        <v>31176956.3675749</v>
      </c>
      <c r="JB37" s="443">
        <v>31176956.3675749</v>
      </c>
      <c r="JC37" s="443">
        <v>31966068.827725001</v>
      </c>
      <c r="JD37" s="443">
        <v>31966068.827725001</v>
      </c>
      <c r="JE37" s="443">
        <v>31966068.827725001</v>
      </c>
      <c r="JF37" s="443">
        <v>31966068.827725001</v>
      </c>
      <c r="JG37" s="443">
        <v>31966068.827725001</v>
      </c>
      <c r="JH37" s="443">
        <v>31966068.827725001</v>
      </c>
      <c r="JI37" s="443">
        <v>31966068.827725001</v>
      </c>
      <c r="JJ37" s="443">
        <v>31966068.827725001</v>
      </c>
      <c r="JK37" s="443">
        <v>31966068.827725001</v>
      </c>
      <c r="JL37" s="443">
        <v>31966068.827725001</v>
      </c>
      <c r="JM37" s="443">
        <v>31966068.827725001</v>
      </c>
      <c r="JN37" s="443">
        <v>31966068.827725001</v>
      </c>
      <c r="JO37" s="443">
        <v>32775154.323967099</v>
      </c>
      <c r="JP37" s="443">
        <v>32775154.323967099</v>
      </c>
      <c r="JQ37" s="443">
        <v>32775154.323967099</v>
      </c>
      <c r="JR37" s="443">
        <v>32775154.323967099</v>
      </c>
      <c r="JS37" s="443">
        <v>32775154.323967099</v>
      </c>
      <c r="JT37" s="443">
        <v>32775154.323967099</v>
      </c>
      <c r="JU37" s="443">
        <v>32775154.323967099</v>
      </c>
      <c r="JV37" s="443">
        <v>32775154.323967099</v>
      </c>
      <c r="JW37" s="443">
        <v>32775154.323967099</v>
      </c>
      <c r="JX37" s="443">
        <v>32775154.323967099</v>
      </c>
      <c r="JY37" s="443">
        <v>32775154.323967099</v>
      </c>
      <c r="JZ37" s="443">
        <v>32775154.323967099</v>
      </c>
      <c r="KA37" s="443">
        <v>33604718.389023997</v>
      </c>
      <c r="KB37" s="443">
        <v>33604718.389023997</v>
      </c>
      <c r="KC37" s="443">
        <v>33604718.389023997</v>
      </c>
      <c r="KD37" s="443">
        <v>33604718.389023997</v>
      </c>
      <c r="KE37" s="443">
        <v>33604718.389023997</v>
      </c>
      <c r="KF37" s="443">
        <v>33604718.389023997</v>
      </c>
      <c r="KG37" s="443">
        <v>33604718.389023997</v>
      </c>
      <c r="KH37" s="443">
        <v>33604718.389023997</v>
      </c>
      <c r="KI37" s="443">
        <v>33604718.389023997</v>
      </c>
      <c r="KJ37" s="443">
        <v>33604718.389023997</v>
      </c>
      <c r="KK37" s="443">
        <v>33604718.389023997</v>
      </c>
      <c r="KL37" s="443">
        <v>33604718.389023997</v>
      </c>
      <c r="KM37" s="443">
        <v>34455279.351036102</v>
      </c>
      <c r="KN37" s="443">
        <v>34455279.351036102</v>
      </c>
      <c r="KO37" s="443">
        <v>34455279.351036102</v>
      </c>
      <c r="KP37" s="443">
        <v>34455279.351036102</v>
      </c>
      <c r="KQ37" s="443">
        <v>34455279.351036102</v>
      </c>
      <c r="KR37" s="443">
        <v>34455279.351036102</v>
      </c>
      <c r="KS37" s="443">
        <v>34455279.351036102</v>
      </c>
      <c r="KT37" s="443">
        <v>34455279.351036102</v>
      </c>
      <c r="KU37" s="443">
        <v>34455279.351036102</v>
      </c>
      <c r="KV37" s="443">
        <v>34455279.351036102</v>
      </c>
      <c r="KW37" s="443">
        <v>34455279.351036102</v>
      </c>
      <c r="KX37" s="443">
        <v>34455279.351036102</v>
      </c>
      <c r="KY37" s="443"/>
      <c r="KZ37" s="442"/>
      <c r="LA37" s="550"/>
    </row>
    <row r="38" spans="1:314">
      <c r="A38" s="459" t="s">
        <v>1232</v>
      </c>
      <c r="B38" s="463" t="s">
        <v>1184</v>
      </c>
      <c r="C38" s="463" t="s">
        <v>159</v>
      </c>
      <c r="D38" s="456" t="s">
        <v>1220</v>
      </c>
      <c r="E38" s="463"/>
      <c r="F38" s="456"/>
      <c r="G38" s="456"/>
      <c r="H38" s="456"/>
      <c r="I38" s="456"/>
      <c r="J38" s="456" t="s">
        <v>1417</v>
      </c>
      <c r="K38" s="456">
        <v>0</v>
      </c>
      <c r="L38" s="456" t="s">
        <v>899</v>
      </c>
      <c r="M38" s="470">
        <v>5</v>
      </c>
      <c r="N38" s="470">
        <v>5</v>
      </c>
      <c r="O38" s="470">
        <v>5</v>
      </c>
      <c r="P38" s="470">
        <v>5</v>
      </c>
      <c r="Q38" s="470">
        <v>5</v>
      </c>
      <c r="R38" s="470">
        <v>5</v>
      </c>
      <c r="S38" s="470">
        <v>5</v>
      </c>
      <c r="T38" s="470">
        <v>5</v>
      </c>
      <c r="U38" s="470">
        <v>5</v>
      </c>
      <c r="V38" s="470">
        <v>5</v>
      </c>
      <c r="W38" s="470">
        <v>0</v>
      </c>
      <c r="X38" s="457">
        <v>3</v>
      </c>
      <c r="Y38" s="472">
        <v>2751415.2490987401</v>
      </c>
      <c r="Z38" s="472">
        <v>2821055.6601290102</v>
      </c>
      <c r="AA38" s="472">
        <v>2892458.7228891798</v>
      </c>
      <c r="AB38" s="472">
        <v>2965669.0514341299</v>
      </c>
      <c r="AC38" s="472">
        <v>3040732.38903441</v>
      </c>
      <c r="AD38" s="472">
        <v>3117695.6367574902</v>
      </c>
      <c r="AE38" s="472">
        <v>3196606.8827725002</v>
      </c>
      <c r="AF38" s="472">
        <v>3277515.4323967099</v>
      </c>
      <c r="AG38" s="472">
        <v>3360471.8389023999</v>
      </c>
      <c r="AH38" s="472">
        <v>3445527.9351036102</v>
      </c>
      <c r="AI38" s="472">
        <v>0</v>
      </c>
      <c r="AJ38" s="457">
        <v>9</v>
      </c>
      <c r="AK38" s="457">
        <v>12</v>
      </c>
      <c r="AL38" s="457">
        <v>12</v>
      </c>
      <c r="AM38" s="457">
        <v>12</v>
      </c>
      <c r="AN38" s="457">
        <v>12</v>
      </c>
      <c r="AO38" s="457">
        <v>12</v>
      </c>
      <c r="AP38" s="457">
        <v>12</v>
      </c>
      <c r="AQ38" s="457">
        <v>12</v>
      </c>
      <c r="AR38" s="457">
        <v>12</v>
      </c>
      <c r="AS38" s="457">
        <v>12</v>
      </c>
      <c r="AT38" s="457"/>
      <c r="AU38" s="458">
        <v>1</v>
      </c>
      <c r="AV38" s="510">
        <v>1.02531076</v>
      </c>
      <c r="AW38" s="456">
        <v>0</v>
      </c>
      <c r="AX38" s="443">
        <v>1810877699.1746097</v>
      </c>
      <c r="AY38" s="443">
        <v>123813686.20944329</v>
      </c>
      <c r="AZ38" s="443">
        <v>169263339.60774061</v>
      </c>
      <c r="BA38" s="443">
        <v>173547523.37335077</v>
      </c>
      <c r="BB38" s="443">
        <v>177940143.0860478</v>
      </c>
      <c r="BC38" s="443">
        <v>182443943.34206453</v>
      </c>
      <c r="BD38" s="443">
        <v>187061738.20544946</v>
      </c>
      <c r="BE38" s="443">
        <v>191796412.96634999</v>
      </c>
      <c r="BF38" s="443">
        <v>196650925.9438026</v>
      </c>
      <c r="BG38" s="443">
        <v>201628310.33414403</v>
      </c>
      <c r="BH38" s="443">
        <v>206731676.10621655</v>
      </c>
      <c r="BI38" s="443">
        <v>0</v>
      </c>
      <c r="BJ38" s="531">
        <v>0</v>
      </c>
      <c r="BK38" s="532">
        <v>0</v>
      </c>
      <c r="BL38" s="532">
        <v>0</v>
      </c>
      <c r="BM38" s="443">
        <v>13757076.245493701</v>
      </c>
      <c r="BN38" s="443">
        <v>13757076.245493701</v>
      </c>
      <c r="BO38" s="443">
        <v>13757076.245493701</v>
      </c>
      <c r="BP38" s="443">
        <v>13757076.245493701</v>
      </c>
      <c r="BQ38" s="443">
        <v>13757076.245493701</v>
      </c>
      <c r="BR38" s="443">
        <v>13757076.245493701</v>
      </c>
      <c r="BS38" s="443">
        <v>13757076.245493701</v>
      </c>
      <c r="BT38" s="443">
        <v>13757076.245493701</v>
      </c>
      <c r="BU38" s="443">
        <v>13757076.245493701</v>
      </c>
      <c r="BV38" s="443">
        <v>14105278.300645052</v>
      </c>
      <c r="BW38" s="443">
        <v>14105278.300645052</v>
      </c>
      <c r="BX38" s="443">
        <v>14105278.300645052</v>
      </c>
      <c r="BY38" s="443">
        <v>14105278.300645052</v>
      </c>
      <c r="BZ38" s="443">
        <v>14105278.300645052</v>
      </c>
      <c r="CA38" s="443">
        <v>14105278.300645052</v>
      </c>
      <c r="CB38" s="443">
        <v>14105278.300645052</v>
      </c>
      <c r="CC38" s="443">
        <v>14105278.300645052</v>
      </c>
      <c r="CD38" s="443">
        <v>14105278.300645052</v>
      </c>
      <c r="CE38" s="443">
        <v>14105278.300645052</v>
      </c>
      <c r="CF38" s="443">
        <v>14105278.300645052</v>
      </c>
      <c r="CG38" s="443">
        <v>14105278.300645052</v>
      </c>
      <c r="CH38" s="443">
        <v>14462293.614445899</v>
      </c>
      <c r="CI38" s="443">
        <v>14462293.614445899</v>
      </c>
      <c r="CJ38" s="443">
        <v>14462293.614445899</v>
      </c>
      <c r="CK38" s="443">
        <v>14462293.614445899</v>
      </c>
      <c r="CL38" s="443">
        <v>14462293.614445899</v>
      </c>
      <c r="CM38" s="443">
        <v>14462293.614445899</v>
      </c>
      <c r="CN38" s="443">
        <v>14462293.614445899</v>
      </c>
      <c r="CO38" s="443">
        <v>14462293.614445899</v>
      </c>
      <c r="CP38" s="443">
        <v>14462293.614445899</v>
      </c>
      <c r="CQ38" s="443">
        <v>14462293.614445899</v>
      </c>
      <c r="CR38" s="443">
        <v>14462293.614445899</v>
      </c>
      <c r="CS38" s="443">
        <v>14462293.614445899</v>
      </c>
      <c r="CT38" s="443">
        <v>14828345.257170649</v>
      </c>
      <c r="CU38" s="443">
        <v>14828345.257170649</v>
      </c>
      <c r="CV38" s="443">
        <v>14828345.257170649</v>
      </c>
      <c r="CW38" s="443">
        <v>14828345.257170649</v>
      </c>
      <c r="CX38" s="443">
        <v>14828345.257170649</v>
      </c>
      <c r="CY38" s="443">
        <v>14828345.257170649</v>
      </c>
      <c r="CZ38" s="443">
        <v>14828345.257170649</v>
      </c>
      <c r="DA38" s="443">
        <v>14828345.257170649</v>
      </c>
      <c r="DB38" s="443">
        <v>14828345.257170649</v>
      </c>
      <c r="DC38" s="443">
        <v>14828345.257170649</v>
      </c>
      <c r="DD38" s="443">
        <v>14828345.257170649</v>
      </c>
      <c r="DE38" s="443">
        <v>14828345.257170649</v>
      </c>
      <c r="DF38" s="443">
        <v>15203661.945172049</v>
      </c>
      <c r="DG38" s="443">
        <v>15203661.945172049</v>
      </c>
      <c r="DH38" s="443">
        <v>15203661.945172049</v>
      </c>
      <c r="DI38" s="443">
        <v>15203661.945172049</v>
      </c>
      <c r="DJ38" s="443">
        <v>15203661.945172049</v>
      </c>
      <c r="DK38" s="443">
        <v>15203661.945172049</v>
      </c>
      <c r="DL38" s="443">
        <v>15203661.945172049</v>
      </c>
      <c r="DM38" s="443">
        <v>15203661.945172049</v>
      </c>
      <c r="DN38" s="443">
        <v>15203661.945172049</v>
      </c>
      <c r="DO38" s="443">
        <v>15203661.945172049</v>
      </c>
      <c r="DP38" s="443">
        <v>15203661.945172049</v>
      </c>
      <c r="DQ38" s="443">
        <v>15203661.945172049</v>
      </c>
      <c r="DR38" s="443">
        <v>15588478.18378745</v>
      </c>
      <c r="DS38" s="443">
        <v>15588478.18378745</v>
      </c>
      <c r="DT38" s="443">
        <v>15588478.18378745</v>
      </c>
      <c r="DU38" s="443">
        <v>15588478.18378745</v>
      </c>
      <c r="DV38" s="443">
        <v>15588478.18378745</v>
      </c>
      <c r="DW38" s="443">
        <v>15588478.18378745</v>
      </c>
      <c r="DX38" s="443">
        <v>15588478.18378745</v>
      </c>
      <c r="DY38" s="443">
        <v>15588478.18378745</v>
      </c>
      <c r="DZ38" s="443">
        <v>15588478.18378745</v>
      </c>
      <c r="EA38" s="443">
        <v>15588478.18378745</v>
      </c>
      <c r="EB38" s="443">
        <v>15588478.18378745</v>
      </c>
      <c r="EC38" s="443">
        <v>15588478.18378745</v>
      </c>
      <c r="ED38" s="443">
        <v>15983034.4138625</v>
      </c>
      <c r="EE38" s="443">
        <v>15983034.4138625</v>
      </c>
      <c r="EF38" s="443">
        <v>15983034.4138625</v>
      </c>
      <c r="EG38" s="443">
        <v>15983034.4138625</v>
      </c>
      <c r="EH38" s="443">
        <v>15983034.4138625</v>
      </c>
      <c r="EI38" s="443">
        <v>15983034.4138625</v>
      </c>
      <c r="EJ38" s="443">
        <v>15983034.4138625</v>
      </c>
      <c r="EK38" s="443">
        <v>15983034.4138625</v>
      </c>
      <c r="EL38" s="443">
        <v>15983034.4138625</v>
      </c>
      <c r="EM38" s="443">
        <v>15983034.4138625</v>
      </c>
      <c r="EN38" s="443">
        <v>15983034.4138625</v>
      </c>
      <c r="EO38" s="443">
        <v>15983034.4138625</v>
      </c>
      <c r="EP38" s="443">
        <v>16387577.16198355</v>
      </c>
      <c r="EQ38" s="443">
        <v>16387577.16198355</v>
      </c>
      <c r="ER38" s="443">
        <v>16387577.16198355</v>
      </c>
      <c r="ES38" s="443">
        <v>16387577.16198355</v>
      </c>
      <c r="ET38" s="443">
        <v>16387577.16198355</v>
      </c>
      <c r="EU38" s="443">
        <v>16387577.16198355</v>
      </c>
      <c r="EV38" s="443">
        <v>16387577.16198355</v>
      </c>
      <c r="EW38" s="443">
        <v>16387577.16198355</v>
      </c>
      <c r="EX38" s="443">
        <v>16387577.16198355</v>
      </c>
      <c r="EY38" s="443">
        <v>16387577.16198355</v>
      </c>
      <c r="EZ38" s="443">
        <v>16387577.16198355</v>
      </c>
      <c r="FA38" s="443">
        <v>16387577.16198355</v>
      </c>
      <c r="FB38" s="443">
        <v>16802359.194511998</v>
      </c>
      <c r="FC38" s="443">
        <v>16802359.194511998</v>
      </c>
      <c r="FD38" s="443">
        <v>16802359.194511998</v>
      </c>
      <c r="FE38" s="443">
        <v>16802359.194511998</v>
      </c>
      <c r="FF38" s="443">
        <v>16802359.194511998</v>
      </c>
      <c r="FG38" s="443">
        <v>16802359.194511998</v>
      </c>
      <c r="FH38" s="443">
        <v>16802359.194511998</v>
      </c>
      <c r="FI38" s="443">
        <v>16802359.194511998</v>
      </c>
      <c r="FJ38" s="443">
        <v>16802359.194511998</v>
      </c>
      <c r="FK38" s="443">
        <v>16802359.194511998</v>
      </c>
      <c r="FL38" s="443">
        <v>16802359.194511998</v>
      </c>
      <c r="FM38" s="443">
        <v>16802359.194511998</v>
      </c>
      <c r="FN38" s="443">
        <v>17227639.675518051</v>
      </c>
      <c r="FO38" s="443">
        <v>17227639.675518051</v>
      </c>
      <c r="FP38" s="443">
        <v>17227639.675518051</v>
      </c>
      <c r="FQ38" s="443">
        <v>17227639.675518051</v>
      </c>
      <c r="FR38" s="443">
        <v>17227639.675518051</v>
      </c>
      <c r="FS38" s="443">
        <v>17227639.675518051</v>
      </c>
      <c r="FT38" s="443">
        <v>17227639.675518051</v>
      </c>
      <c r="FU38" s="443">
        <v>17227639.675518051</v>
      </c>
      <c r="FV38" s="443">
        <v>17227639.675518051</v>
      </c>
      <c r="FW38" s="443">
        <v>17227639.675518051</v>
      </c>
      <c r="FX38" s="443">
        <v>17227639.675518051</v>
      </c>
      <c r="FY38" s="443">
        <v>17227639.675518051</v>
      </c>
      <c r="FZ38" s="443">
        <v>0</v>
      </c>
      <c r="GA38" s="443">
        <v>0</v>
      </c>
      <c r="GB38" s="443">
        <v>0</v>
      </c>
      <c r="GC38" s="443">
        <v>0</v>
      </c>
      <c r="GD38" s="443">
        <v>0</v>
      </c>
      <c r="GE38" s="443">
        <v>0</v>
      </c>
      <c r="GF38" s="443">
        <v>0</v>
      </c>
      <c r="GG38" s="443">
        <v>0</v>
      </c>
      <c r="GH38" s="443">
        <v>0</v>
      </c>
      <c r="GI38" s="443">
        <v>0</v>
      </c>
      <c r="GJ38" s="443">
        <v>0</v>
      </c>
      <c r="GK38" s="443">
        <v>0</v>
      </c>
      <c r="GL38" s="442">
        <v>13757076.245493701</v>
      </c>
      <c r="GM38" s="443">
        <v>13757076.245493701</v>
      </c>
      <c r="GN38" s="443">
        <v>13757076.245493701</v>
      </c>
      <c r="GO38" s="443">
        <v>13757076.245493701</v>
      </c>
      <c r="GP38" s="443">
        <v>13757076.245493701</v>
      </c>
      <c r="GQ38" s="443">
        <v>13757076.245493701</v>
      </c>
      <c r="GR38" s="443">
        <v>13757076.245493701</v>
      </c>
      <c r="GS38" s="443">
        <v>13757076.245493701</v>
      </c>
      <c r="GT38" s="443">
        <v>13757076.245493701</v>
      </c>
      <c r="GU38" s="443">
        <v>14105278.300645052</v>
      </c>
      <c r="GV38" s="443">
        <v>14105278.300645052</v>
      </c>
      <c r="GW38" s="443">
        <v>14105278.300645052</v>
      </c>
      <c r="GX38" s="443">
        <v>14105278.300645052</v>
      </c>
      <c r="GY38" s="443">
        <v>14105278.300645052</v>
      </c>
      <c r="GZ38" s="443">
        <v>14105278.300645052</v>
      </c>
      <c r="HA38" s="443">
        <v>14105278.300645052</v>
      </c>
      <c r="HB38" s="443">
        <v>14105278.300645052</v>
      </c>
      <c r="HC38" s="443">
        <v>14105278.300645052</v>
      </c>
      <c r="HD38" s="443">
        <v>14105278.300645052</v>
      </c>
      <c r="HE38" s="443">
        <v>14105278.300645052</v>
      </c>
      <c r="HF38" s="443">
        <v>14105278.300645052</v>
      </c>
      <c r="HG38" s="443">
        <v>14462293.614445899</v>
      </c>
      <c r="HH38" s="443">
        <v>14462293.614445899</v>
      </c>
      <c r="HI38" s="443">
        <v>14462293.614445899</v>
      </c>
      <c r="HJ38" s="443">
        <v>14462293.614445899</v>
      </c>
      <c r="HK38" s="443">
        <v>14462293.614445899</v>
      </c>
      <c r="HL38" s="443">
        <v>14462293.614445899</v>
      </c>
      <c r="HM38" s="443">
        <v>14462293.614445899</v>
      </c>
      <c r="HN38" s="443">
        <v>14462293.614445899</v>
      </c>
      <c r="HO38" s="443">
        <v>14462293.614445899</v>
      </c>
      <c r="HP38" s="443">
        <v>14462293.614445899</v>
      </c>
      <c r="HQ38" s="443">
        <v>14462293.614445899</v>
      </c>
      <c r="HR38" s="443">
        <v>14462293.614445899</v>
      </c>
      <c r="HS38" s="443">
        <v>14828345.257170649</v>
      </c>
      <c r="HT38" s="443">
        <v>14828345.257170649</v>
      </c>
      <c r="HU38" s="443">
        <v>14828345.257170649</v>
      </c>
      <c r="HV38" s="443">
        <v>14828345.257170649</v>
      </c>
      <c r="HW38" s="443">
        <v>14828345.257170649</v>
      </c>
      <c r="HX38" s="443">
        <v>14828345.257170649</v>
      </c>
      <c r="HY38" s="443">
        <v>14828345.257170649</v>
      </c>
      <c r="HZ38" s="443">
        <v>14828345.257170649</v>
      </c>
      <c r="IA38" s="443">
        <v>14828345.257170649</v>
      </c>
      <c r="IB38" s="443">
        <v>14828345.257170649</v>
      </c>
      <c r="IC38" s="443">
        <v>14828345.257170649</v>
      </c>
      <c r="ID38" s="443">
        <v>14828345.257170649</v>
      </c>
      <c r="IE38" s="443">
        <v>15203661.945172049</v>
      </c>
      <c r="IF38" s="443">
        <v>15203661.945172049</v>
      </c>
      <c r="IG38" s="443">
        <v>15203661.945172049</v>
      </c>
      <c r="IH38" s="443">
        <v>15203661.945172049</v>
      </c>
      <c r="II38" s="443">
        <v>15203661.945172049</v>
      </c>
      <c r="IJ38" s="443">
        <v>15203661.945172049</v>
      </c>
      <c r="IK38" s="443">
        <v>15203661.945172049</v>
      </c>
      <c r="IL38" s="443">
        <v>15203661.945172049</v>
      </c>
      <c r="IM38" s="443">
        <v>15203661.945172049</v>
      </c>
      <c r="IN38" s="443">
        <v>15203661.945172049</v>
      </c>
      <c r="IO38" s="443">
        <v>15203661.945172049</v>
      </c>
      <c r="IP38" s="443">
        <v>15203661.945172049</v>
      </c>
      <c r="IQ38" s="443">
        <v>15588478.18378745</v>
      </c>
      <c r="IR38" s="443">
        <v>15588478.18378745</v>
      </c>
      <c r="IS38" s="443">
        <v>15588478.18378745</v>
      </c>
      <c r="IT38" s="443">
        <v>15588478.18378745</v>
      </c>
      <c r="IU38" s="443">
        <v>15588478.18378745</v>
      </c>
      <c r="IV38" s="443">
        <v>15588478.18378745</v>
      </c>
      <c r="IW38" s="443">
        <v>15588478.18378745</v>
      </c>
      <c r="IX38" s="443">
        <v>15588478.18378745</v>
      </c>
      <c r="IY38" s="443">
        <v>15588478.18378745</v>
      </c>
      <c r="IZ38" s="443">
        <v>15588478.18378745</v>
      </c>
      <c r="JA38" s="443">
        <v>15588478.18378745</v>
      </c>
      <c r="JB38" s="443">
        <v>15588478.18378745</v>
      </c>
      <c r="JC38" s="443">
        <v>15983034.4138625</v>
      </c>
      <c r="JD38" s="443">
        <v>15983034.4138625</v>
      </c>
      <c r="JE38" s="443">
        <v>15983034.4138625</v>
      </c>
      <c r="JF38" s="443">
        <v>15983034.4138625</v>
      </c>
      <c r="JG38" s="443">
        <v>15983034.4138625</v>
      </c>
      <c r="JH38" s="443">
        <v>15983034.4138625</v>
      </c>
      <c r="JI38" s="443">
        <v>15983034.4138625</v>
      </c>
      <c r="JJ38" s="443">
        <v>15983034.4138625</v>
      </c>
      <c r="JK38" s="443">
        <v>15983034.4138625</v>
      </c>
      <c r="JL38" s="443">
        <v>15983034.4138625</v>
      </c>
      <c r="JM38" s="443">
        <v>15983034.4138625</v>
      </c>
      <c r="JN38" s="443">
        <v>15983034.4138625</v>
      </c>
      <c r="JO38" s="443">
        <v>16387577.16198355</v>
      </c>
      <c r="JP38" s="443">
        <v>16387577.16198355</v>
      </c>
      <c r="JQ38" s="443">
        <v>16387577.16198355</v>
      </c>
      <c r="JR38" s="443">
        <v>16387577.16198355</v>
      </c>
      <c r="JS38" s="443">
        <v>16387577.16198355</v>
      </c>
      <c r="JT38" s="443">
        <v>16387577.16198355</v>
      </c>
      <c r="JU38" s="443">
        <v>16387577.16198355</v>
      </c>
      <c r="JV38" s="443">
        <v>16387577.16198355</v>
      </c>
      <c r="JW38" s="443">
        <v>16387577.16198355</v>
      </c>
      <c r="JX38" s="443">
        <v>16387577.16198355</v>
      </c>
      <c r="JY38" s="443">
        <v>16387577.16198355</v>
      </c>
      <c r="JZ38" s="443">
        <v>16387577.16198355</v>
      </c>
      <c r="KA38" s="443">
        <v>16802359.194511998</v>
      </c>
      <c r="KB38" s="443">
        <v>16802359.194511998</v>
      </c>
      <c r="KC38" s="443">
        <v>16802359.194511998</v>
      </c>
      <c r="KD38" s="443">
        <v>16802359.194511998</v>
      </c>
      <c r="KE38" s="443">
        <v>16802359.194511998</v>
      </c>
      <c r="KF38" s="443">
        <v>16802359.194511998</v>
      </c>
      <c r="KG38" s="443">
        <v>16802359.194511998</v>
      </c>
      <c r="KH38" s="443">
        <v>16802359.194511998</v>
      </c>
      <c r="KI38" s="443">
        <v>16802359.194511998</v>
      </c>
      <c r="KJ38" s="443">
        <v>16802359.194511998</v>
      </c>
      <c r="KK38" s="443">
        <v>16802359.194511998</v>
      </c>
      <c r="KL38" s="443">
        <v>16802359.194511998</v>
      </c>
      <c r="KM38" s="443">
        <v>17227639.675518051</v>
      </c>
      <c r="KN38" s="443">
        <v>17227639.675518051</v>
      </c>
      <c r="KO38" s="443">
        <v>17227639.675518051</v>
      </c>
      <c r="KP38" s="443">
        <v>17227639.675518051</v>
      </c>
      <c r="KQ38" s="443">
        <v>17227639.675518051</v>
      </c>
      <c r="KR38" s="443">
        <v>17227639.675518051</v>
      </c>
      <c r="KS38" s="443">
        <v>17227639.675518051</v>
      </c>
      <c r="KT38" s="443">
        <v>17227639.675518051</v>
      </c>
      <c r="KU38" s="443">
        <v>17227639.675518051</v>
      </c>
      <c r="KV38" s="443">
        <v>17227639.675518051</v>
      </c>
      <c r="KW38" s="443">
        <v>17227639.675518051</v>
      </c>
      <c r="KX38" s="443">
        <v>17227639.675518051</v>
      </c>
      <c r="KY38" s="443"/>
      <c r="KZ38" s="442"/>
      <c r="LA38" s="550"/>
    </row>
    <row r="39" spans="1:314">
      <c r="A39" s="459" t="s">
        <v>1233</v>
      </c>
      <c r="B39" s="463" t="s">
        <v>1184</v>
      </c>
      <c r="C39" s="463" t="s">
        <v>159</v>
      </c>
      <c r="D39" s="456" t="s">
        <v>1217</v>
      </c>
      <c r="E39" s="463"/>
      <c r="F39" s="456"/>
      <c r="G39" s="456"/>
      <c r="H39" s="456"/>
      <c r="I39" s="456"/>
      <c r="J39" s="456" t="s">
        <v>1417</v>
      </c>
      <c r="K39" s="456">
        <v>0</v>
      </c>
      <c r="L39" s="456" t="s">
        <v>899</v>
      </c>
      <c r="M39" s="470">
        <v>3</v>
      </c>
      <c r="N39" s="470">
        <v>3</v>
      </c>
      <c r="O39" s="470">
        <v>3</v>
      </c>
      <c r="P39" s="470">
        <v>3</v>
      </c>
      <c r="Q39" s="470">
        <v>3</v>
      </c>
      <c r="R39" s="470">
        <v>3</v>
      </c>
      <c r="S39" s="470">
        <v>3</v>
      </c>
      <c r="T39" s="470">
        <v>3</v>
      </c>
      <c r="U39" s="470">
        <v>3</v>
      </c>
      <c r="V39" s="470">
        <v>3</v>
      </c>
      <c r="W39" s="470">
        <v>0</v>
      </c>
      <c r="X39" s="457">
        <v>3</v>
      </c>
      <c r="Y39" s="472">
        <v>2751415.2490987401</v>
      </c>
      <c r="Z39" s="472">
        <v>2821055.6601290102</v>
      </c>
      <c r="AA39" s="472">
        <v>2892458.7228891798</v>
      </c>
      <c r="AB39" s="472">
        <v>2965669.0514341299</v>
      </c>
      <c r="AC39" s="472">
        <v>3040732.38903441</v>
      </c>
      <c r="AD39" s="472">
        <v>3117695.6367574902</v>
      </c>
      <c r="AE39" s="472">
        <v>3196606.8827725002</v>
      </c>
      <c r="AF39" s="472">
        <v>3277515.4323967099</v>
      </c>
      <c r="AG39" s="472">
        <v>3360471.8389023999</v>
      </c>
      <c r="AH39" s="472">
        <v>3445527.9351036102</v>
      </c>
      <c r="AI39" s="472">
        <v>0</v>
      </c>
      <c r="AJ39" s="457">
        <v>9</v>
      </c>
      <c r="AK39" s="457">
        <v>12</v>
      </c>
      <c r="AL39" s="457">
        <v>12</v>
      </c>
      <c r="AM39" s="457">
        <v>12</v>
      </c>
      <c r="AN39" s="457">
        <v>12</v>
      </c>
      <c r="AO39" s="457">
        <v>12</v>
      </c>
      <c r="AP39" s="457">
        <v>12</v>
      </c>
      <c r="AQ39" s="457">
        <v>12</v>
      </c>
      <c r="AR39" s="457">
        <v>12</v>
      </c>
      <c r="AS39" s="457">
        <v>12</v>
      </c>
      <c r="AT39" s="457"/>
      <c r="AU39" s="458">
        <v>1</v>
      </c>
      <c r="AV39" s="510">
        <v>1.02531076</v>
      </c>
      <c r="AW39" s="456">
        <v>0</v>
      </c>
      <c r="AX39" s="443">
        <v>1086526619.5047657</v>
      </c>
      <c r="AY39" s="443">
        <v>74288211.725665987</v>
      </c>
      <c r="AZ39" s="443">
        <v>101558003.76464437</v>
      </c>
      <c r="BA39" s="443">
        <v>104128514.02401048</v>
      </c>
      <c r="BB39" s="443">
        <v>106764085.85162868</v>
      </c>
      <c r="BC39" s="443">
        <v>109466366.00523877</v>
      </c>
      <c r="BD39" s="443">
        <v>112237042.92326969</v>
      </c>
      <c r="BE39" s="443">
        <v>115077847.77981001</v>
      </c>
      <c r="BF39" s="443">
        <v>117990555.56628156</v>
      </c>
      <c r="BG39" s="443">
        <v>120976986.20048638</v>
      </c>
      <c r="BH39" s="443">
        <v>124039005.66372997</v>
      </c>
      <c r="BI39" s="443">
        <v>0</v>
      </c>
      <c r="BJ39" s="531">
        <v>0</v>
      </c>
      <c r="BK39" s="532">
        <v>0</v>
      </c>
      <c r="BL39" s="532">
        <v>0</v>
      </c>
      <c r="BM39" s="443">
        <v>8254245.7472962197</v>
      </c>
      <c r="BN39" s="443">
        <v>8254245.7472962197</v>
      </c>
      <c r="BO39" s="443">
        <v>8254245.7472962197</v>
      </c>
      <c r="BP39" s="443">
        <v>8254245.7472962197</v>
      </c>
      <c r="BQ39" s="443">
        <v>8254245.7472962197</v>
      </c>
      <c r="BR39" s="443">
        <v>8254245.7472962197</v>
      </c>
      <c r="BS39" s="443">
        <v>8254245.7472962197</v>
      </c>
      <c r="BT39" s="443">
        <v>8254245.7472962197</v>
      </c>
      <c r="BU39" s="443">
        <v>8254245.7472962197</v>
      </c>
      <c r="BV39" s="443">
        <v>8463166.9803870302</v>
      </c>
      <c r="BW39" s="443">
        <v>8463166.9803870302</v>
      </c>
      <c r="BX39" s="443">
        <v>8463166.9803870302</v>
      </c>
      <c r="BY39" s="443">
        <v>8463166.9803870302</v>
      </c>
      <c r="BZ39" s="443">
        <v>8463166.9803870302</v>
      </c>
      <c r="CA39" s="443">
        <v>8463166.9803870302</v>
      </c>
      <c r="CB39" s="443">
        <v>8463166.9803870302</v>
      </c>
      <c r="CC39" s="443">
        <v>8463166.9803870302</v>
      </c>
      <c r="CD39" s="443">
        <v>8463166.9803870302</v>
      </c>
      <c r="CE39" s="443">
        <v>8463166.9803870302</v>
      </c>
      <c r="CF39" s="443">
        <v>8463166.9803870302</v>
      </c>
      <c r="CG39" s="443">
        <v>8463166.9803870302</v>
      </c>
      <c r="CH39" s="443">
        <v>8677376.16866754</v>
      </c>
      <c r="CI39" s="443">
        <v>8677376.16866754</v>
      </c>
      <c r="CJ39" s="443">
        <v>8677376.16866754</v>
      </c>
      <c r="CK39" s="443">
        <v>8677376.16866754</v>
      </c>
      <c r="CL39" s="443">
        <v>8677376.16866754</v>
      </c>
      <c r="CM39" s="443">
        <v>8677376.16866754</v>
      </c>
      <c r="CN39" s="443">
        <v>8677376.16866754</v>
      </c>
      <c r="CO39" s="443">
        <v>8677376.16866754</v>
      </c>
      <c r="CP39" s="443">
        <v>8677376.16866754</v>
      </c>
      <c r="CQ39" s="443">
        <v>8677376.16866754</v>
      </c>
      <c r="CR39" s="443">
        <v>8677376.16866754</v>
      </c>
      <c r="CS39" s="443">
        <v>8677376.16866754</v>
      </c>
      <c r="CT39" s="443">
        <v>8897007.1543023903</v>
      </c>
      <c r="CU39" s="443">
        <v>8897007.1543023903</v>
      </c>
      <c r="CV39" s="443">
        <v>8897007.1543023903</v>
      </c>
      <c r="CW39" s="443">
        <v>8897007.1543023903</v>
      </c>
      <c r="CX39" s="443">
        <v>8897007.1543023903</v>
      </c>
      <c r="CY39" s="443">
        <v>8897007.1543023903</v>
      </c>
      <c r="CZ39" s="443">
        <v>8897007.1543023903</v>
      </c>
      <c r="DA39" s="443">
        <v>8897007.1543023903</v>
      </c>
      <c r="DB39" s="443">
        <v>8897007.1543023903</v>
      </c>
      <c r="DC39" s="443">
        <v>8897007.1543023903</v>
      </c>
      <c r="DD39" s="443">
        <v>8897007.1543023903</v>
      </c>
      <c r="DE39" s="443">
        <v>8897007.1543023903</v>
      </c>
      <c r="DF39" s="443">
        <v>9122197.167103231</v>
      </c>
      <c r="DG39" s="443">
        <v>9122197.167103231</v>
      </c>
      <c r="DH39" s="443">
        <v>9122197.167103231</v>
      </c>
      <c r="DI39" s="443">
        <v>9122197.167103231</v>
      </c>
      <c r="DJ39" s="443">
        <v>9122197.167103231</v>
      </c>
      <c r="DK39" s="443">
        <v>9122197.167103231</v>
      </c>
      <c r="DL39" s="443">
        <v>9122197.167103231</v>
      </c>
      <c r="DM39" s="443">
        <v>9122197.167103231</v>
      </c>
      <c r="DN39" s="443">
        <v>9122197.167103231</v>
      </c>
      <c r="DO39" s="443">
        <v>9122197.167103231</v>
      </c>
      <c r="DP39" s="443">
        <v>9122197.167103231</v>
      </c>
      <c r="DQ39" s="443">
        <v>9122197.167103231</v>
      </c>
      <c r="DR39" s="443">
        <v>9353086.9102724716</v>
      </c>
      <c r="DS39" s="443">
        <v>9353086.9102724716</v>
      </c>
      <c r="DT39" s="443">
        <v>9353086.9102724716</v>
      </c>
      <c r="DU39" s="443">
        <v>9353086.9102724716</v>
      </c>
      <c r="DV39" s="443">
        <v>9353086.9102724716</v>
      </c>
      <c r="DW39" s="443">
        <v>9353086.9102724716</v>
      </c>
      <c r="DX39" s="443">
        <v>9353086.9102724716</v>
      </c>
      <c r="DY39" s="443">
        <v>9353086.9102724716</v>
      </c>
      <c r="DZ39" s="443">
        <v>9353086.9102724716</v>
      </c>
      <c r="EA39" s="443">
        <v>9353086.9102724716</v>
      </c>
      <c r="EB39" s="443">
        <v>9353086.9102724716</v>
      </c>
      <c r="EC39" s="443">
        <v>9353086.9102724716</v>
      </c>
      <c r="ED39" s="443">
        <v>9589820.6483175009</v>
      </c>
      <c r="EE39" s="443">
        <v>9589820.6483175009</v>
      </c>
      <c r="EF39" s="443">
        <v>9589820.6483175009</v>
      </c>
      <c r="EG39" s="443">
        <v>9589820.6483175009</v>
      </c>
      <c r="EH39" s="443">
        <v>9589820.6483175009</v>
      </c>
      <c r="EI39" s="443">
        <v>9589820.6483175009</v>
      </c>
      <c r="EJ39" s="443">
        <v>9589820.6483175009</v>
      </c>
      <c r="EK39" s="443">
        <v>9589820.6483175009</v>
      </c>
      <c r="EL39" s="443">
        <v>9589820.6483175009</v>
      </c>
      <c r="EM39" s="443">
        <v>9589820.6483175009</v>
      </c>
      <c r="EN39" s="443">
        <v>9589820.6483175009</v>
      </c>
      <c r="EO39" s="443">
        <v>9589820.6483175009</v>
      </c>
      <c r="EP39" s="443">
        <v>9832546.2971901298</v>
      </c>
      <c r="EQ39" s="443">
        <v>9832546.2971901298</v>
      </c>
      <c r="ER39" s="443">
        <v>9832546.2971901298</v>
      </c>
      <c r="ES39" s="443">
        <v>9832546.2971901298</v>
      </c>
      <c r="ET39" s="443">
        <v>9832546.2971901298</v>
      </c>
      <c r="EU39" s="443">
        <v>9832546.2971901298</v>
      </c>
      <c r="EV39" s="443">
        <v>9832546.2971901298</v>
      </c>
      <c r="EW39" s="443">
        <v>9832546.2971901298</v>
      </c>
      <c r="EX39" s="443">
        <v>9832546.2971901298</v>
      </c>
      <c r="EY39" s="443">
        <v>9832546.2971901298</v>
      </c>
      <c r="EZ39" s="443">
        <v>9832546.2971901298</v>
      </c>
      <c r="FA39" s="443">
        <v>9832546.2971901298</v>
      </c>
      <c r="FB39" s="443">
        <v>10081415.516707201</v>
      </c>
      <c r="FC39" s="443">
        <v>10081415.516707201</v>
      </c>
      <c r="FD39" s="443">
        <v>10081415.516707201</v>
      </c>
      <c r="FE39" s="443">
        <v>10081415.516707201</v>
      </c>
      <c r="FF39" s="443">
        <v>10081415.516707201</v>
      </c>
      <c r="FG39" s="443">
        <v>10081415.516707201</v>
      </c>
      <c r="FH39" s="443">
        <v>10081415.516707201</v>
      </c>
      <c r="FI39" s="443">
        <v>10081415.516707201</v>
      </c>
      <c r="FJ39" s="443">
        <v>10081415.516707201</v>
      </c>
      <c r="FK39" s="443">
        <v>10081415.516707201</v>
      </c>
      <c r="FL39" s="443">
        <v>10081415.516707201</v>
      </c>
      <c r="FM39" s="443">
        <v>10081415.516707201</v>
      </c>
      <c r="FN39" s="443">
        <v>10336583.80531083</v>
      </c>
      <c r="FO39" s="443">
        <v>10336583.80531083</v>
      </c>
      <c r="FP39" s="443">
        <v>10336583.80531083</v>
      </c>
      <c r="FQ39" s="443">
        <v>10336583.80531083</v>
      </c>
      <c r="FR39" s="443">
        <v>10336583.80531083</v>
      </c>
      <c r="FS39" s="443">
        <v>10336583.80531083</v>
      </c>
      <c r="FT39" s="443">
        <v>10336583.80531083</v>
      </c>
      <c r="FU39" s="443">
        <v>10336583.80531083</v>
      </c>
      <c r="FV39" s="443">
        <v>10336583.80531083</v>
      </c>
      <c r="FW39" s="443">
        <v>10336583.80531083</v>
      </c>
      <c r="FX39" s="443">
        <v>10336583.80531083</v>
      </c>
      <c r="FY39" s="443">
        <v>10336583.80531083</v>
      </c>
      <c r="FZ39" s="443">
        <v>0</v>
      </c>
      <c r="GA39" s="443">
        <v>0</v>
      </c>
      <c r="GB39" s="443">
        <v>0</v>
      </c>
      <c r="GC39" s="443">
        <v>0</v>
      </c>
      <c r="GD39" s="443">
        <v>0</v>
      </c>
      <c r="GE39" s="443">
        <v>0</v>
      </c>
      <c r="GF39" s="443">
        <v>0</v>
      </c>
      <c r="GG39" s="443">
        <v>0</v>
      </c>
      <c r="GH39" s="443">
        <v>0</v>
      </c>
      <c r="GI39" s="443">
        <v>0</v>
      </c>
      <c r="GJ39" s="443">
        <v>0</v>
      </c>
      <c r="GK39" s="443">
        <v>0</v>
      </c>
      <c r="GL39" s="442">
        <v>8254245.7472962197</v>
      </c>
      <c r="GM39" s="443">
        <v>8254245.7472962197</v>
      </c>
      <c r="GN39" s="443">
        <v>8254245.7472962197</v>
      </c>
      <c r="GO39" s="443">
        <v>8254245.7472962197</v>
      </c>
      <c r="GP39" s="443">
        <v>8254245.7472962197</v>
      </c>
      <c r="GQ39" s="443">
        <v>8254245.7472962197</v>
      </c>
      <c r="GR39" s="443">
        <v>8254245.7472962197</v>
      </c>
      <c r="GS39" s="443">
        <v>8254245.7472962197</v>
      </c>
      <c r="GT39" s="443">
        <v>8254245.7472962197</v>
      </c>
      <c r="GU39" s="443">
        <v>8463166.9803870302</v>
      </c>
      <c r="GV39" s="443">
        <v>8463166.9803870302</v>
      </c>
      <c r="GW39" s="443">
        <v>8463166.9803870302</v>
      </c>
      <c r="GX39" s="443">
        <v>8463166.9803870302</v>
      </c>
      <c r="GY39" s="443">
        <v>8463166.9803870302</v>
      </c>
      <c r="GZ39" s="443">
        <v>8463166.9803870302</v>
      </c>
      <c r="HA39" s="443">
        <v>8463166.9803870302</v>
      </c>
      <c r="HB39" s="443">
        <v>8463166.9803870302</v>
      </c>
      <c r="HC39" s="443">
        <v>8463166.9803870302</v>
      </c>
      <c r="HD39" s="443">
        <v>8463166.9803870302</v>
      </c>
      <c r="HE39" s="443">
        <v>8463166.9803870302</v>
      </c>
      <c r="HF39" s="443">
        <v>8463166.9803870302</v>
      </c>
      <c r="HG39" s="443">
        <v>8677376.16866754</v>
      </c>
      <c r="HH39" s="443">
        <v>8677376.16866754</v>
      </c>
      <c r="HI39" s="443">
        <v>8677376.16866754</v>
      </c>
      <c r="HJ39" s="443">
        <v>8677376.16866754</v>
      </c>
      <c r="HK39" s="443">
        <v>8677376.16866754</v>
      </c>
      <c r="HL39" s="443">
        <v>8677376.16866754</v>
      </c>
      <c r="HM39" s="443">
        <v>8677376.16866754</v>
      </c>
      <c r="HN39" s="443">
        <v>8677376.16866754</v>
      </c>
      <c r="HO39" s="443">
        <v>8677376.16866754</v>
      </c>
      <c r="HP39" s="443">
        <v>8677376.16866754</v>
      </c>
      <c r="HQ39" s="443">
        <v>8677376.16866754</v>
      </c>
      <c r="HR39" s="443">
        <v>8677376.16866754</v>
      </c>
      <c r="HS39" s="443">
        <v>8897007.1543023903</v>
      </c>
      <c r="HT39" s="443">
        <v>8897007.1543023903</v>
      </c>
      <c r="HU39" s="443">
        <v>8897007.1543023903</v>
      </c>
      <c r="HV39" s="443">
        <v>8897007.1543023903</v>
      </c>
      <c r="HW39" s="443">
        <v>8897007.1543023903</v>
      </c>
      <c r="HX39" s="443">
        <v>8897007.1543023903</v>
      </c>
      <c r="HY39" s="443">
        <v>8897007.1543023903</v>
      </c>
      <c r="HZ39" s="443">
        <v>8897007.1543023903</v>
      </c>
      <c r="IA39" s="443">
        <v>8897007.1543023903</v>
      </c>
      <c r="IB39" s="443">
        <v>8897007.1543023903</v>
      </c>
      <c r="IC39" s="443">
        <v>8897007.1543023903</v>
      </c>
      <c r="ID39" s="443">
        <v>8897007.1543023903</v>
      </c>
      <c r="IE39" s="443">
        <v>9122197.167103231</v>
      </c>
      <c r="IF39" s="443">
        <v>9122197.167103231</v>
      </c>
      <c r="IG39" s="443">
        <v>9122197.167103231</v>
      </c>
      <c r="IH39" s="443">
        <v>9122197.167103231</v>
      </c>
      <c r="II39" s="443">
        <v>9122197.167103231</v>
      </c>
      <c r="IJ39" s="443">
        <v>9122197.167103231</v>
      </c>
      <c r="IK39" s="443">
        <v>9122197.167103231</v>
      </c>
      <c r="IL39" s="443">
        <v>9122197.167103231</v>
      </c>
      <c r="IM39" s="443">
        <v>9122197.167103231</v>
      </c>
      <c r="IN39" s="443">
        <v>9122197.167103231</v>
      </c>
      <c r="IO39" s="443">
        <v>9122197.167103231</v>
      </c>
      <c r="IP39" s="443">
        <v>9122197.167103231</v>
      </c>
      <c r="IQ39" s="443">
        <v>9353086.9102724716</v>
      </c>
      <c r="IR39" s="443">
        <v>9353086.9102724716</v>
      </c>
      <c r="IS39" s="443">
        <v>9353086.9102724716</v>
      </c>
      <c r="IT39" s="443">
        <v>9353086.9102724716</v>
      </c>
      <c r="IU39" s="443">
        <v>9353086.9102724716</v>
      </c>
      <c r="IV39" s="443">
        <v>9353086.9102724716</v>
      </c>
      <c r="IW39" s="443">
        <v>9353086.9102724716</v>
      </c>
      <c r="IX39" s="443">
        <v>9353086.9102724716</v>
      </c>
      <c r="IY39" s="443">
        <v>9353086.9102724716</v>
      </c>
      <c r="IZ39" s="443">
        <v>9353086.9102724716</v>
      </c>
      <c r="JA39" s="443">
        <v>9353086.9102724716</v>
      </c>
      <c r="JB39" s="443">
        <v>9353086.9102724716</v>
      </c>
      <c r="JC39" s="443">
        <v>9589820.6483175009</v>
      </c>
      <c r="JD39" s="443">
        <v>9589820.6483175009</v>
      </c>
      <c r="JE39" s="443">
        <v>9589820.6483175009</v>
      </c>
      <c r="JF39" s="443">
        <v>9589820.6483175009</v>
      </c>
      <c r="JG39" s="443">
        <v>9589820.6483175009</v>
      </c>
      <c r="JH39" s="443">
        <v>9589820.6483175009</v>
      </c>
      <c r="JI39" s="443">
        <v>9589820.6483175009</v>
      </c>
      <c r="JJ39" s="443">
        <v>9589820.6483175009</v>
      </c>
      <c r="JK39" s="443">
        <v>9589820.6483175009</v>
      </c>
      <c r="JL39" s="443">
        <v>9589820.6483175009</v>
      </c>
      <c r="JM39" s="443">
        <v>9589820.6483175009</v>
      </c>
      <c r="JN39" s="443">
        <v>9589820.6483175009</v>
      </c>
      <c r="JO39" s="443">
        <v>9832546.2971901298</v>
      </c>
      <c r="JP39" s="443">
        <v>9832546.2971901298</v>
      </c>
      <c r="JQ39" s="443">
        <v>9832546.2971901298</v>
      </c>
      <c r="JR39" s="443">
        <v>9832546.2971901298</v>
      </c>
      <c r="JS39" s="443">
        <v>9832546.2971901298</v>
      </c>
      <c r="JT39" s="443">
        <v>9832546.2971901298</v>
      </c>
      <c r="JU39" s="443">
        <v>9832546.2971901298</v>
      </c>
      <c r="JV39" s="443">
        <v>9832546.2971901298</v>
      </c>
      <c r="JW39" s="443">
        <v>9832546.2971901298</v>
      </c>
      <c r="JX39" s="443">
        <v>9832546.2971901298</v>
      </c>
      <c r="JY39" s="443">
        <v>9832546.2971901298</v>
      </c>
      <c r="JZ39" s="443">
        <v>9832546.2971901298</v>
      </c>
      <c r="KA39" s="443">
        <v>10081415.516707201</v>
      </c>
      <c r="KB39" s="443">
        <v>10081415.516707201</v>
      </c>
      <c r="KC39" s="443">
        <v>10081415.516707201</v>
      </c>
      <c r="KD39" s="443">
        <v>10081415.516707201</v>
      </c>
      <c r="KE39" s="443">
        <v>10081415.516707201</v>
      </c>
      <c r="KF39" s="443">
        <v>10081415.516707201</v>
      </c>
      <c r="KG39" s="443">
        <v>10081415.516707201</v>
      </c>
      <c r="KH39" s="443">
        <v>10081415.516707201</v>
      </c>
      <c r="KI39" s="443">
        <v>10081415.516707201</v>
      </c>
      <c r="KJ39" s="443">
        <v>10081415.516707201</v>
      </c>
      <c r="KK39" s="443">
        <v>10081415.516707201</v>
      </c>
      <c r="KL39" s="443">
        <v>10081415.516707201</v>
      </c>
      <c r="KM39" s="443">
        <v>10336583.80531083</v>
      </c>
      <c r="KN39" s="443">
        <v>10336583.80531083</v>
      </c>
      <c r="KO39" s="443">
        <v>10336583.80531083</v>
      </c>
      <c r="KP39" s="443">
        <v>10336583.80531083</v>
      </c>
      <c r="KQ39" s="443">
        <v>10336583.80531083</v>
      </c>
      <c r="KR39" s="443">
        <v>10336583.80531083</v>
      </c>
      <c r="KS39" s="443">
        <v>10336583.80531083</v>
      </c>
      <c r="KT39" s="443">
        <v>10336583.80531083</v>
      </c>
      <c r="KU39" s="443">
        <v>10336583.80531083</v>
      </c>
      <c r="KV39" s="443">
        <v>10336583.80531083</v>
      </c>
      <c r="KW39" s="443">
        <v>10336583.80531083</v>
      </c>
      <c r="KX39" s="443">
        <v>10336583.80531083</v>
      </c>
      <c r="KY39" s="443"/>
      <c r="KZ39" s="442"/>
      <c r="LA39" s="550"/>
    </row>
    <row r="40" spans="1:314">
      <c r="A40" s="459" t="s">
        <v>1234</v>
      </c>
      <c r="B40" s="463" t="s">
        <v>1184</v>
      </c>
      <c r="C40" s="463" t="s">
        <v>159</v>
      </c>
      <c r="D40" s="456" t="s">
        <v>1441</v>
      </c>
      <c r="E40" s="463"/>
      <c r="F40" s="456"/>
      <c r="G40" s="456"/>
      <c r="H40" s="456"/>
      <c r="I40" s="456"/>
      <c r="J40" s="456" t="s">
        <v>1417</v>
      </c>
      <c r="K40" s="456">
        <v>0</v>
      </c>
      <c r="L40" s="456" t="s">
        <v>899</v>
      </c>
      <c r="M40" s="470">
        <v>10</v>
      </c>
      <c r="N40" s="470">
        <v>10</v>
      </c>
      <c r="O40" s="470">
        <v>10</v>
      </c>
      <c r="P40" s="470">
        <v>10</v>
      </c>
      <c r="Q40" s="470">
        <v>10</v>
      </c>
      <c r="R40" s="470">
        <v>10</v>
      </c>
      <c r="S40" s="470">
        <v>10</v>
      </c>
      <c r="T40" s="470">
        <v>10</v>
      </c>
      <c r="U40" s="470">
        <v>10</v>
      </c>
      <c r="V40" s="470">
        <v>10</v>
      </c>
      <c r="W40" s="470">
        <v>0</v>
      </c>
      <c r="X40" s="457">
        <v>3</v>
      </c>
      <c r="Y40" s="472">
        <v>2751415.2490987401</v>
      </c>
      <c r="Z40" s="472">
        <v>2821055.6601290102</v>
      </c>
      <c r="AA40" s="472">
        <v>2892458.7228891798</v>
      </c>
      <c r="AB40" s="472">
        <v>2965669.0514341299</v>
      </c>
      <c r="AC40" s="472">
        <v>3040732.38903441</v>
      </c>
      <c r="AD40" s="472">
        <v>3117695.6367574902</v>
      </c>
      <c r="AE40" s="472">
        <v>3196606.8827725002</v>
      </c>
      <c r="AF40" s="472">
        <v>3277515.4323967099</v>
      </c>
      <c r="AG40" s="472">
        <v>3360471.8389023999</v>
      </c>
      <c r="AH40" s="472">
        <v>3445527.9351036102</v>
      </c>
      <c r="AI40" s="472">
        <v>0</v>
      </c>
      <c r="AJ40" s="457">
        <v>9</v>
      </c>
      <c r="AK40" s="457">
        <v>12</v>
      </c>
      <c r="AL40" s="457">
        <v>12</v>
      </c>
      <c r="AM40" s="457">
        <v>12</v>
      </c>
      <c r="AN40" s="457">
        <v>12</v>
      </c>
      <c r="AO40" s="457">
        <v>12</v>
      </c>
      <c r="AP40" s="457">
        <v>12</v>
      </c>
      <c r="AQ40" s="457">
        <v>12</v>
      </c>
      <c r="AR40" s="457">
        <v>12</v>
      </c>
      <c r="AS40" s="457">
        <v>12</v>
      </c>
      <c r="AT40" s="457"/>
      <c r="AU40" s="458">
        <v>1</v>
      </c>
      <c r="AV40" s="510">
        <v>1.02531076</v>
      </c>
      <c r="AW40" s="456">
        <v>0</v>
      </c>
      <c r="AX40" s="443">
        <v>3621755398.3492193</v>
      </c>
      <c r="AY40" s="443">
        <v>247627372.41888657</v>
      </c>
      <c r="AZ40" s="443">
        <v>338526679.21548122</v>
      </c>
      <c r="BA40" s="443">
        <v>347095046.74670154</v>
      </c>
      <c r="BB40" s="443">
        <v>355880286.1720956</v>
      </c>
      <c r="BC40" s="443">
        <v>364887886.68412906</v>
      </c>
      <c r="BD40" s="443">
        <v>374123476.41089892</v>
      </c>
      <c r="BE40" s="443">
        <v>383592825.93269998</v>
      </c>
      <c r="BF40" s="443">
        <v>393301851.88760519</v>
      </c>
      <c r="BG40" s="443">
        <v>403256620.66828805</v>
      </c>
      <c r="BH40" s="443">
        <v>413463352.2124331</v>
      </c>
      <c r="BI40" s="443">
        <v>0</v>
      </c>
      <c r="BJ40" s="531">
        <v>0</v>
      </c>
      <c r="BK40" s="532">
        <v>0</v>
      </c>
      <c r="BL40" s="532">
        <v>0</v>
      </c>
      <c r="BM40" s="443">
        <v>27514152.490987401</v>
      </c>
      <c r="BN40" s="443">
        <v>27514152.490987401</v>
      </c>
      <c r="BO40" s="443">
        <v>27514152.490987401</v>
      </c>
      <c r="BP40" s="443">
        <v>27514152.490987401</v>
      </c>
      <c r="BQ40" s="443">
        <v>27514152.490987401</v>
      </c>
      <c r="BR40" s="443">
        <v>27514152.490987401</v>
      </c>
      <c r="BS40" s="443">
        <v>27514152.490987401</v>
      </c>
      <c r="BT40" s="443">
        <v>27514152.490987401</v>
      </c>
      <c r="BU40" s="443">
        <v>27514152.490987401</v>
      </c>
      <c r="BV40" s="443">
        <v>28210556.601290103</v>
      </c>
      <c r="BW40" s="443">
        <v>28210556.601290103</v>
      </c>
      <c r="BX40" s="443">
        <v>28210556.601290103</v>
      </c>
      <c r="BY40" s="443">
        <v>28210556.601290103</v>
      </c>
      <c r="BZ40" s="443">
        <v>28210556.601290103</v>
      </c>
      <c r="CA40" s="443">
        <v>28210556.601290103</v>
      </c>
      <c r="CB40" s="443">
        <v>28210556.601290103</v>
      </c>
      <c r="CC40" s="443">
        <v>28210556.601290103</v>
      </c>
      <c r="CD40" s="443">
        <v>28210556.601290103</v>
      </c>
      <c r="CE40" s="443">
        <v>28210556.601290103</v>
      </c>
      <c r="CF40" s="443">
        <v>28210556.601290103</v>
      </c>
      <c r="CG40" s="443">
        <v>28210556.601290103</v>
      </c>
      <c r="CH40" s="443">
        <v>28924587.228891797</v>
      </c>
      <c r="CI40" s="443">
        <v>28924587.228891797</v>
      </c>
      <c r="CJ40" s="443">
        <v>28924587.228891797</v>
      </c>
      <c r="CK40" s="443">
        <v>28924587.228891797</v>
      </c>
      <c r="CL40" s="443">
        <v>28924587.228891797</v>
      </c>
      <c r="CM40" s="443">
        <v>28924587.228891797</v>
      </c>
      <c r="CN40" s="443">
        <v>28924587.228891797</v>
      </c>
      <c r="CO40" s="443">
        <v>28924587.228891797</v>
      </c>
      <c r="CP40" s="443">
        <v>28924587.228891797</v>
      </c>
      <c r="CQ40" s="443">
        <v>28924587.228891797</v>
      </c>
      <c r="CR40" s="443">
        <v>28924587.228891797</v>
      </c>
      <c r="CS40" s="443">
        <v>28924587.228891797</v>
      </c>
      <c r="CT40" s="443">
        <v>29656690.514341298</v>
      </c>
      <c r="CU40" s="443">
        <v>29656690.514341298</v>
      </c>
      <c r="CV40" s="443">
        <v>29656690.514341298</v>
      </c>
      <c r="CW40" s="443">
        <v>29656690.514341298</v>
      </c>
      <c r="CX40" s="443">
        <v>29656690.514341298</v>
      </c>
      <c r="CY40" s="443">
        <v>29656690.514341298</v>
      </c>
      <c r="CZ40" s="443">
        <v>29656690.514341298</v>
      </c>
      <c r="DA40" s="443">
        <v>29656690.514341298</v>
      </c>
      <c r="DB40" s="443">
        <v>29656690.514341298</v>
      </c>
      <c r="DC40" s="443">
        <v>29656690.514341298</v>
      </c>
      <c r="DD40" s="443">
        <v>29656690.514341298</v>
      </c>
      <c r="DE40" s="443">
        <v>29656690.514341298</v>
      </c>
      <c r="DF40" s="443">
        <v>30407323.890344098</v>
      </c>
      <c r="DG40" s="443">
        <v>30407323.890344098</v>
      </c>
      <c r="DH40" s="443">
        <v>30407323.890344098</v>
      </c>
      <c r="DI40" s="443">
        <v>30407323.890344098</v>
      </c>
      <c r="DJ40" s="443">
        <v>30407323.890344098</v>
      </c>
      <c r="DK40" s="443">
        <v>30407323.890344098</v>
      </c>
      <c r="DL40" s="443">
        <v>30407323.890344098</v>
      </c>
      <c r="DM40" s="443">
        <v>30407323.890344098</v>
      </c>
      <c r="DN40" s="443">
        <v>30407323.890344098</v>
      </c>
      <c r="DO40" s="443">
        <v>30407323.890344098</v>
      </c>
      <c r="DP40" s="443">
        <v>30407323.890344098</v>
      </c>
      <c r="DQ40" s="443">
        <v>30407323.890344098</v>
      </c>
      <c r="DR40" s="443">
        <v>31176956.3675749</v>
      </c>
      <c r="DS40" s="443">
        <v>31176956.3675749</v>
      </c>
      <c r="DT40" s="443">
        <v>31176956.3675749</v>
      </c>
      <c r="DU40" s="443">
        <v>31176956.3675749</v>
      </c>
      <c r="DV40" s="443">
        <v>31176956.3675749</v>
      </c>
      <c r="DW40" s="443">
        <v>31176956.3675749</v>
      </c>
      <c r="DX40" s="443">
        <v>31176956.3675749</v>
      </c>
      <c r="DY40" s="443">
        <v>31176956.3675749</v>
      </c>
      <c r="DZ40" s="443">
        <v>31176956.3675749</v>
      </c>
      <c r="EA40" s="443">
        <v>31176956.3675749</v>
      </c>
      <c r="EB40" s="443">
        <v>31176956.3675749</v>
      </c>
      <c r="EC40" s="443">
        <v>31176956.3675749</v>
      </c>
      <c r="ED40" s="443">
        <v>31966068.827725001</v>
      </c>
      <c r="EE40" s="443">
        <v>31966068.827725001</v>
      </c>
      <c r="EF40" s="443">
        <v>31966068.827725001</v>
      </c>
      <c r="EG40" s="443">
        <v>31966068.827725001</v>
      </c>
      <c r="EH40" s="443">
        <v>31966068.827725001</v>
      </c>
      <c r="EI40" s="443">
        <v>31966068.827725001</v>
      </c>
      <c r="EJ40" s="443">
        <v>31966068.827725001</v>
      </c>
      <c r="EK40" s="443">
        <v>31966068.827725001</v>
      </c>
      <c r="EL40" s="443">
        <v>31966068.827725001</v>
      </c>
      <c r="EM40" s="443">
        <v>31966068.827725001</v>
      </c>
      <c r="EN40" s="443">
        <v>31966068.827725001</v>
      </c>
      <c r="EO40" s="443">
        <v>31966068.827725001</v>
      </c>
      <c r="EP40" s="443">
        <v>32775154.323967099</v>
      </c>
      <c r="EQ40" s="443">
        <v>32775154.323967099</v>
      </c>
      <c r="ER40" s="443">
        <v>32775154.323967099</v>
      </c>
      <c r="ES40" s="443">
        <v>32775154.323967099</v>
      </c>
      <c r="ET40" s="443">
        <v>32775154.323967099</v>
      </c>
      <c r="EU40" s="443">
        <v>32775154.323967099</v>
      </c>
      <c r="EV40" s="443">
        <v>32775154.323967099</v>
      </c>
      <c r="EW40" s="443">
        <v>32775154.323967099</v>
      </c>
      <c r="EX40" s="443">
        <v>32775154.323967099</v>
      </c>
      <c r="EY40" s="443">
        <v>32775154.323967099</v>
      </c>
      <c r="EZ40" s="443">
        <v>32775154.323967099</v>
      </c>
      <c r="FA40" s="443">
        <v>32775154.323967099</v>
      </c>
      <c r="FB40" s="443">
        <v>33604718.389023997</v>
      </c>
      <c r="FC40" s="443">
        <v>33604718.389023997</v>
      </c>
      <c r="FD40" s="443">
        <v>33604718.389023997</v>
      </c>
      <c r="FE40" s="443">
        <v>33604718.389023997</v>
      </c>
      <c r="FF40" s="443">
        <v>33604718.389023997</v>
      </c>
      <c r="FG40" s="443">
        <v>33604718.389023997</v>
      </c>
      <c r="FH40" s="443">
        <v>33604718.389023997</v>
      </c>
      <c r="FI40" s="443">
        <v>33604718.389023997</v>
      </c>
      <c r="FJ40" s="443">
        <v>33604718.389023997</v>
      </c>
      <c r="FK40" s="443">
        <v>33604718.389023997</v>
      </c>
      <c r="FL40" s="443">
        <v>33604718.389023997</v>
      </c>
      <c r="FM40" s="443">
        <v>33604718.389023997</v>
      </c>
      <c r="FN40" s="443">
        <v>34455279.351036102</v>
      </c>
      <c r="FO40" s="443">
        <v>34455279.351036102</v>
      </c>
      <c r="FP40" s="443">
        <v>34455279.351036102</v>
      </c>
      <c r="FQ40" s="443">
        <v>34455279.351036102</v>
      </c>
      <c r="FR40" s="443">
        <v>34455279.351036102</v>
      </c>
      <c r="FS40" s="443">
        <v>34455279.351036102</v>
      </c>
      <c r="FT40" s="443">
        <v>34455279.351036102</v>
      </c>
      <c r="FU40" s="443">
        <v>34455279.351036102</v>
      </c>
      <c r="FV40" s="443">
        <v>34455279.351036102</v>
      </c>
      <c r="FW40" s="443">
        <v>34455279.351036102</v>
      </c>
      <c r="FX40" s="443">
        <v>34455279.351036102</v>
      </c>
      <c r="FY40" s="443">
        <v>34455279.351036102</v>
      </c>
      <c r="FZ40" s="443">
        <v>0</v>
      </c>
      <c r="GA40" s="443">
        <v>0</v>
      </c>
      <c r="GB40" s="443">
        <v>0</v>
      </c>
      <c r="GC40" s="443">
        <v>0</v>
      </c>
      <c r="GD40" s="443">
        <v>0</v>
      </c>
      <c r="GE40" s="443">
        <v>0</v>
      </c>
      <c r="GF40" s="443">
        <v>0</v>
      </c>
      <c r="GG40" s="443">
        <v>0</v>
      </c>
      <c r="GH40" s="443">
        <v>0</v>
      </c>
      <c r="GI40" s="443">
        <v>0</v>
      </c>
      <c r="GJ40" s="443">
        <v>0</v>
      </c>
      <c r="GK40" s="443">
        <v>0</v>
      </c>
      <c r="GL40" s="442">
        <v>27514152.490987401</v>
      </c>
      <c r="GM40" s="443">
        <v>27514152.490987401</v>
      </c>
      <c r="GN40" s="443">
        <v>27514152.490987401</v>
      </c>
      <c r="GO40" s="443">
        <v>27514152.490987401</v>
      </c>
      <c r="GP40" s="443">
        <v>27514152.490987401</v>
      </c>
      <c r="GQ40" s="443">
        <v>27514152.490987401</v>
      </c>
      <c r="GR40" s="443">
        <v>27514152.490987401</v>
      </c>
      <c r="GS40" s="443">
        <v>27514152.490987401</v>
      </c>
      <c r="GT40" s="443">
        <v>27514152.490987401</v>
      </c>
      <c r="GU40" s="443">
        <v>28210556.601290103</v>
      </c>
      <c r="GV40" s="443">
        <v>28210556.601290103</v>
      </c>
      <c r="GW40" s="443">
        <v>28210556.601290103</v>
      </c>
      <c r="GX40" s="443">
        <v>28210556.601290103</v>
      </c>
      <c r="GY40" s="443">
        <v>28210556.601290103</v>
      </c>
      <c r="GZ40" s="443">
        <v>28210556.601290103</v>
      </c>
      <c r="HA40" s="443">
        <v>28210556.601290103</v>
      </c>
      <c r="HB40" s="443">
        <v>28210556.601290103</v>
      </c>
      <c r="HC40" s="443">
        <v>28210556.601290103</v>
      </c>
      <c r="HD40" s="443">
        <v>28210556.601290103</v>
      </c>
      <c r="HE40" s="443">
        <v>28210556.601290103</v>
      </c>
      <c r="HF40" s="443">
        <v>28210556.601290103</v>
      </c>
      <c r="HG40" s="443">
        <v>28924587.228891797</v>
      </c>
      <c r="HH40" s="443">
        <v>28924587.228891797</v>
      </c>
      <c r="HI40" s="443">
        <v>28924587.228891797</v>
      </c>
      <c r="HJ40" s="443">
        <v>28924587.228891797</v>
      </c>
      <c r="HK40" s="443">
        <v>28924587.228891797</v>
      </c>
      <c r="HL40" s="443">
        <v>28924587.228891797</v>
      </c>
      <c r="HM40" s="443">
        <v>28924587.228891797</v>
      </c>
      <c r="HN40" s="443">
        <v>28924587.228891797</v>
      </c>
      <c r="HO40" s="443">
        <v>28924587.228891797</v>
      </c>
      <c r="HP40" s="443">
        <v>28924587.228891797</v>
      </c>
      <c r="HQ40" s="443">
        <v>28924587.228891797</v>
      </c>
      <c r="HR40" s="443">
        <v>28924587.228891797</v>
      </c>
      <c r="HS40" s="443">
        <v>29656690.514341298</v>
      </c>
      <c r="HT40" s="443">
        <v>29656690.514341298</v>
      </c>
      <c r="HU40" s="443">
        <v>29656690.514341298</v>
      </c>
      <c r="HV40" s="443">
        <v>29656690.514341298</v>
      </c>
      <c r="HW40" s="443">
        <v>29656690.514341298</v>
      </c>
      <c r="HX40" s="443">
        <v>29656690.514341298</v>
      </c>
      <c r="HY40" s="443">
        <v>29656690.514341298</v>
      </c>
      <c r="HZ40" s="443">
        <v>29656690.514341298</v>
      </c>
      <c r="IA40" s="443">
        <v>29656690.514341298</v>
      </c>
      <c r="IB40" s="443">
        <v>29656690.514341298</v>
      </c>
      <c r="IC40" s="443">
        <v>29656690.514341298</v>
      </c>
      <c r="ID40" s="443">
        <v>29656690.514341298</v>
      </c>
      <c r="IE40" s="443">
        <v>30407323.890344098</v>
      </c>
      <c r="IF40" s="443">
        <v>30407323.890344098</v>
      </c>
      <c r="IG40" s="443">
        <v>30407323.890344098</v>
      </c>
      <c r="IH40" s="443">
        <v>30407323.890344098</v>
      </c>
      <c r="II40" s="443">
        <v>30407323.890344098</v>
      </c>
      <c r="IJ40" s="443">
        <v>30407323.890344098</v>
      </c>
      <c r="IK40" s="443">
        <v>30407323.890344098</v>
      </c>
      <c r="IL40" s="443">
        <v>30407323.890344098</v>
      </c>
      <c r="IM40" s="443">
        <v>30407323.890344098</v>
      </c>
      <c r="IN40" s="443">
        <v>30407323.890344098</v>
      </c>
      <c r="IO40" s="443">
        <v>30407323.890344098</v>
      </c>
      <c r="IP40" s="443">
        <v>30407323.890344098</v>
      </c>
      <c r="IQ40" s="443">
        <v>31176956.3675749</v>
      </c>
      <c r="IR40" s="443">
        <v>31176956.3675749</v>
      </c>
      <c r="IS40" s="443">
        <v>31176956.3675749</v>
      </c>
      <c r="IT40" s="443">
        <v>31176956.3675749</v>
      </c>
      <c r="IU40" s="443">
        <v>31176956.3675749</v>
      </c>
      <c r="IV40" s="443">
        <v>31176956.3675749</v>
      </c>
      <c r="IW40" s="443">
        <v>31176956.3675749</v>
      </c>
      <c r="IX40" s="443">
        <v>31176956.3675749</v>
      </c>
      <c r="IY40" s="443">
        <v>31176956.3675749</v>
      </c>
      <c r="IZ40" s="443">
        <v>31176956.3675749</v>
      </c>
      <c r="JA40" s="443">
        <v>31176956.3675749</v>
      </c>
      <c r="JB40" s="443">
        <v>31176956.3675749</v>
      </c>
      <c r="JC40" s="443">
        <v>31966068.827725001</v>
      </c>
      <c r="JD40" s="443">
        <v>31966068.827725001</v>
      </c>
      <c r="JE40" s="443">
        <v>31966068.827725001</v>
      </c>
      <c r="JF40" s="443">
        <v>31966068.827725001</v>
      </c>
      <c r="JG40" s="443">
        <v>31966068.827725001</v>
      </c>
      <c r="JH40" s="443">
        <v>31966068.827725001</v>
      </c>
      <c r="JI40" s="443">
        <v>31966068.827725001</v>
      </c>
      <c r="JJ40" s="443">
        <v>31966068.827725001</v>
      </c>
      <c r="JK40" s="443">
        <v>31966068.827725001</v>
      </c>
      <c r="JL40" s="443">
        <v>31966068.827725001</v>
      </c>
      <c r="JM40" s="443">
        <v>31966068.827725001</v>
      </c>
      <c r="JN40" s="443">
        <v>31966068.827725001</v>
      </c>
      <c r="JO40" s="443">
        <v>32775154.323967099</v>
      </c>
      <c r="JP40" s="443">
        <v>32775154.323967099</v>
      </c>
      <c r="JQ40" s="443">
        <v>32775154.323967099</v>
      </c>
      <c r="JR40" s="443">
        <v>32775154.323967099</v>
      </c>
      <c r="JS40" s="443">
        <v>32775154.323967099</v>
      </c>
      <c r="JT40" s="443">
        <v>32775154.323967099</v>
      </c>
      <c r="JU40" s="443">
        <v>32775154.323967099</v>
      </c>
      <c r="JV40" s="443">
        <v>32775154.323967099</v>
      </c>
      <c r="JW40" s="443">
        <v>32775154.323967099</v>
      </c>
      <c r="JX40" s="443">
        <v>32775154.323967099</v>
      </c>
      <c r="JY40" s="443">
        <v>32775154.323967099</v>
      </c>
      <c r="JZ40" s="443">
        <v>32775154.323967099</v>
      </c>
      <c r="KA40" s="443">
        <v>33604718.389023997</v>
      </c>
      <c r="KB40" s="443">
        <v>33604718.389023997</v>
      </c>
      <c r="KC40" s="443">
        <v>33604718.389023997</v>
      </c>
      <c r="KD40" s="443">
        <v>33604718.389023997</v>
      </c>
      <c r="KE40" s="443">
        <v>33604718.389023997</v>
      </c>
      <c r="KF40" s="443">
        <v>33604718.389023997</v>
      </c>
      <c r="KG40" s="443">
        <v>33604718.389023997</v>
      </c>
      <c r="KH40" s="443">
        <v>33604718.389023997</v>
      </c>
      <c r="KI40" s="443">
        <v>33604718.389023997</v>
      </c>
      <c r="KJ40" s="443">
        <v>33604718.389023997</v>
      </c>
      <c r="KK40" s="443">
        <v>33604718.389023997</v>
      </c>
      <c r="KL40" s="443">
        <v>33604718.389023997</v>
      </c>
      <c r="KM40" s="443">
        <v>34455279.351036102</v>
      </c>
      <c r="KN40" s="443">
        <v>34455279.351036102</v>
      </c>
      <c r="KO40" s="443">
        <v>34455279.351036102</v>
      </c>
      <c r="KP40" s="443">
        <v>34455279.351036102</v>
      </c>
      <c r="KQ40" s="443">
        <v>34455279.351036102</v>
      </c>
      <c r="KR40" s="443">
        <v>34455279.351036102</v>
      </c>
      <c r="KS40" s="443">
        <v>34455279.351036102</v>
      </c>
      <c r="KT40" s="443">
        <v>34455279.351036102</v>
      </c>
      <c r="KU40" s="443">
        <v>34455279.351036102</v>
      </c>
      <c r="KV40" s="443">
        <v>34455279.351036102</v>
      </c>
      <c r="KW40" s="443">
        <v>34455279.351036102</v>
      </c>
      <c r="KX40" s="443">
        <v>34455279.351036102</v>
      </c>
      <c r="KY40" s="443"/>
      <c r="KZ40" s="442"/>
      <c r="LA40" s="550"/>
    </row>
    <row r="41" spans="1:314">
      <c r="A41" s="459" t="s">
        <v>1235</v>
      </c>
      <c r="B41" s="463" t="s">
        <v>1184</v>
      </c>
      <c r="C41" s="463" t="s">
        <v>176</v>
      </c>
      <c r="D41" s="456" t="s">
        <v>1441</v>
      </c>
      <c r="E41" s="463"/>
      <c r="F41" s="456"/>
      <c r="G41" s="456"/>
      <c r="H41" s="456"/>
      <c r="I41" s="456"/>
      <c r="J41" s="456" t="s">
        <v>1417</v>
      </c>
      <c r="K41" s="456">
        <v>0</v>
      </c>
      <c r="L41" s="456" t="s">
        <v>899</v>
      </c>
      <c r="M41" s="470">
        <v>2</v>
      </c>
      <c r="N41" s="470">
        <v>2</v>
      </c>
      <c r="O41" s="470">
        <v>2</v>
      </c>
      <c r="P41" s="470">
        <v>2</v>
      </c>
      <c r="Q41" s="470">
        <v>2</v>
      </c>
      <c r="R41" s="470">
        <v>2</v>
      </c>
      <c r="S41" s="470">
        <v>2</v>
      </c>
      <c r="T41" s="470">
        <v>2</v>
      </c>
      <c r="U41" s="470">
        <v>2</v>
      </c>
      <c r="V41" s="470">
        <v>2</v>
      </c>
      <c r="W41" s="470">
        <v>0</v>
      </c>
      <c r="X41" s="457">
        <v>3</v>
      </c>
      <c r="Y41" s="472">
        <v>2751415.2490987401</v>
      </c>
      <c r="Z41" s="472">
        <v>2821055.6601290102</v>
      </c>
      <c r="AA41" s="472">
        <v>2892458.7228891798</v>
      </c>
      <c r="AB41" s="472">
        <v>2965669.0514341299</v>
      </c>
      <c r="AC41" s="472">
        <v>3040732.38903441</v>
      </c>
      <c r="AD41" s="472">
        <v>3117695.6367574902</v>
      </c>
      <c r="AE41" s="472">
        <v>3196606.8827725002</v>
      </c>
      <c r="AF41" s="472">
        <v>3277515.4323967099</v>
      </c>
      <c r="AG41" s="472">
        <v>3360471.8389023999</v>
      </c>
      <c r="AH41" s="472">
        <v>3445527.9351036102</v>
      </c>
      <c r="AI41" s="472">
        <v>0</v>
      </c>
      <c r="AJ41" s="457">
        <v>9</v>
      </c>
      <c r="AK41" s="457">
        <v>12</v>
      </c>
      <c r="AL41" s="457">
        <v>12</v>
      </c>
      <c r="AM41" s="457">
        <v>12</v>
      </c>
      <c r="AN41" s="457">
        <v>12</v>
      </c>
      <c r="AO41" s="457">
        <v>12</v>
      </c>
      <c r="AP41" s="457">
        <v>12</v>
      </c>
      <c r="AQ41" s="457">
        <v>12</v>
      </c>
      <c r="AR41" s="457">
        <v>12</v>
      </c>
      <c r="AS41" s="457">
        <v>12</v>
      </c>
      <c r="AT41" s="457"/>
      <c r="AU41" s="458">
        <v>1</v>
      </c>
      <c r="AV41" s="510">
        <v>1.02531076</v>
      </c>
      <c r="AW41" s="456">
        <v>0</v>
      </c>
      <c r="AX41" s="443">
        <v>724351079.66984391</v>
      </c>
      <c r="AY41" s="443">
        <v>49525474.483777322</v>
      </c>
      <c r="AZ41" s="443">
        <v>67705335.843096241</v>
      </c>
      <c r="BA41" s="443">
        <v>69419009.349340335</v>
      </c>
      <c r="BB41" s="443">
        <v>71176057.234419122</v>
      </c>
      <c r="BC41" s="443">
        <v>72977577.336825833</v>
      </c>
      <c r="BD41" s="443">
        <v>74824695.282179758</v>
      </c>
      <c r="BE41" s="443">
        <v>76718565.186540008</v>
      </c>
      <c r="BF41" s="443">
        <v>78660370.377521038</v>
      </c>
      <c r="BG41" s="443">
        <v>80651324.13365759</v>
      </c>
      <c r="BH41" s="443">
        <v>82692670.442486644</v>
      </c>
      <c r="BI41" s="443">
        <v>0</v>
      </c>
      <c r="BJ41" s="531">
        <v>0</v>
      </c>
      <c r="BK41" s="532">
        <v>0</v>
      </c>
      <c r="BL41" s="532">
        <v>0</v>
      </c>
      <c r="BM41" s="443">
        <v>5502830.4981974801</v>
      </c>
      <c r="BN41" s="443">
        <v>5502830.4981974801</v>
      </c>
      <c r="BO41" s="443">
        <v>5502830.4981974801</v>
      </c>
      <c r="BP41" s="443">
        <v>5502830.4981974801</v>
      </c>
      <c r="BQ41" s="443">
        <v>5502830.4981974801</v>
      </c>
      <c r="BR41" s="443">
        <v>5502830.4981974801</v>
      </c>
      <c r="BS41" s="443">
        <v>5502830.4981974801</v>
      </c>
      <c r="BT41" s="443">
        <v>5502830.4981974801</v>
      </c>
      <c r="BU41" s="443">
        <v>5502830.4981974801</v>
      </c>
      <c r="BV41" s="443">
        <v>5642111.3202580204</v>
      </c>
      <c r="BW41" s="443">
        <v>5642111.3202580204</v>
      </c>
      <c r="BX41" s="443">
        <v>5642111.3202580204</v>
      </c>
      <c r="BY41" s="443">
        <v>5642111.3202580204</v>
      </c>
      <c r="BZ41" s="443">
        <v>5642111.3202580204</v>
      </c>
      <c r="CA41" s="443">
        <v>5642111.3202580204</v>
      </c>
      <c r="CB41" s="443">
        <v>5642111.3202580204</v>
      </c>
      <c r="CC41" s="443">
        <v>5642111.3202580204</v>
      </c>
      <c r="CD41" s="443">
        <v>5642111.3202580204</v>
      </c>
      <c r="CE41" s="443">
        <v>5642111.3202580204</v>
      </c>
      <c r="CF41" s="443">
        <v>5642111.3202580204</v>
      </c>
      <c r="CG41" s="443">
        <v>5642111.3202580204</v>
      </c>
      <c r="CH41" s="443">
        <v>5784917.4457783597</v>
      </c>
      <c r="CI41" s="443">
        <v>5784917.4457783597</v>
      </c>
      <c r="CJ41" s="443">
        <v>5784917.4457783597</v>
      </c>
      <c r="CK41" s="443">
        <v>5784917.4457783597</v>
      </c>
      <c r="CL41" s="443">
        <v>5784917.4457783597</v>
      </c>
      <c r="CM41" s="443">
        <v>5784917.4457783597</v>
      </c>
      <c r="CN41" s="443">
        <v>5784917.4457783597</v>
      </c>
      <c r="CO41" s="443">
        <v>5784917.4457783597</v>
      </c>
      <c r="CP41" s="443">
        <v>5784917.4457783597</v>
      </c>
      <c r="CQ41" s="443">
        <v>5784917.4457783597</v>
      </c>
      <c r="CR41" s="443">
        <v>5784917.4457783597</v>
      </c>
      <c r="CS41" s="443">
        <v>5784917.4457783597</v>
      </c>
      <c r="CT41" s="443">
        <v>5931338.1028682599</v>
      </c>
      <c r="CU41" s="443">
        <v>5931338.1028682599</v>
      </c>
      <c r="CV41" s="443">
        <v>5931338.1028682599</v>
      </c>
      <c r="CW41" s="443">
        <v>5931338.1028682599</v>
      </c>
      <c r="CX41" s="443">
        <v>5931338.1028682599</v>
      </c>
      <c r="CY41" s="443">
        <v>5931338.1028682599</v>
      </c>
      <c r="CZ41" s="443">
        <v>5931338.1028682599</v>
      </c>
      <c r="DA41" s="443">
        <v>5931338.1028682599</v>
      </c>
      <c r="DB41" s="443">
        <v>5931338.1028682599</v>
      </c>
      <c r="DC41" s="443">
        <v>5931338.1028682599</v>
      </c>
      <c r="DD41" s="443">
        <v>5931338.1028682599</v>
      </c>
      <c r="DE41" s="443">
        <v>5931338.1028682599</v>
      </c>
      <c r="DF41" s="443">
        <v>6081464.77806882</v>
      </c>
      <c r="DG41" s="443">
        <v>6081464.77806882</v>
      </c>
      <c r="DH41" s="443">
        <v>6081464.77806882</v>
      </c>
      <c r="DI41" s="443">
        <v>6081464.77806882</v>
      </c>
      <c r="DJ41" s="443">
        <v>6081464.77806882</v>
      </c>
      <c r="DK41" s="443">
        <v>6081464.77806882</v>
      </c>
      <c r="DL41" s="443">
        <v>6081464.77806882</v>
      </c>
      <c r="DM41" s="443">
        <v>6081464.77806882</v>
      </c>
      <c r="DN41" s="443">
        <v>6081464.77806882</v>
      </c>
      <c r="DO41" s="443">
        <v>6081464.77806882</v>
      </c>
      <c r="DP41" s="443">
        <v>6081464.77806882</v>
      </c>
      <c r="DQ41" s="443">
        <v>6081464.77806882</v>
      </c>
      <c r="DR41" s="443">
        <v>6235391.2735149805</v>
      </c>
      <c r="DS41" s="443">
        <v>6235391.2735149805</v>
      </c>
      <c r="DT41" s="443">
        <v>6235391.2735149805</v>
      </c>
      <c r="DU41" s="443">
        <v>6235391.2735149805</v>
      </c>
      <c r="DV41" s="443">
        <v>6235391.2735149805</v>
      </c>
      <c r="DW41" s="443">
        <v>6235391.2735149805</v>
      </c>
      <c r="DX41" s="443">
        <v>6235391.2735149805</v>
      </c>
      <c r="DY41" s="443">
        <v>6235391.2735149805</v>
      </c>
      <c r="DZ41" s="443">
        <v>6235391.2735149805</v>
      </c>
      <c r="EA41" s="443">
        <v>6235391.2735149805</v>
      </c>
      <c r="EB41" s="443">
        <v>6235391.2735149805</v>
      </c>
      <c r="EC41" s="443">
        <v>6235391.2735149805</v>
      </c>
      <c r="ED41" s="443">
        <v>6393213.7655450003</v>
      </c>
      <c r="EE41" s="443">
        <v>6393213.7655450003</v>
      </c>
      <c r="EF41" s="443">
        <v>6393213.7655450003</v>
      </c>
      <c r="EG41" s="443">
        <v>6393213.7655450003</v>
      </c>
      <c r="EH41" s="443">
        <v>6393213.7655450003</v>
      </c>
      <c r="EI41" s="443">
        <v>6393213.7655450003</v>
      </c>
      <c r="EJ41" s="443">
        <v>6393213.7655450003</v>
      </c>
      <c r="EK41" s="443">
        <v>6393213.7655450003</v>
      </c>
      <c r="EL41" s="443">
        <v>6393213.7655450003</v>
      </c>
      <c r="EM41" s="443">
        <v>6393213.7655450003</v>
      </c>
      <c r="EN41" s="443">
        <v>6393213.7655450003</v>
      </c>
      <c r="EO41" s="443">
        <v>6393213.7655450003</v>
      </c>
      <c r="EP41" s="443">
        <v>6555030.8647934198</v>
      </c>
      <c r="EQ41" s="443">
        <v>6555030.8647934198</v>
      </c>
      <c r="ER41" s="443">
        <v>6555030.8647934198</v>
      </c>
      <c r="ES41" s="443">
        <v>6555030.8647934198</v>
      </c>
      <c r="ET41" s="443">
        <v>6555030.8647934198</v>
      </c>
      <c r="EU41" s="443">
        <v>6555030.8647934198</v>
      </c>
      <c r="EV41" s="443">
        <v>6555030.8647934198</v>
      </c>
      <c r="EW41" s="443">
        <v>6555030.8647934198</v>
      </c>
      <c r="EX41" s="443">
        <v>6555030.8647934198</v>
      </c>
      <c r="EY41" s="443">
        <v>6555030.8647934198</v>
      </c>
      <c r="EZ41" s="443">
        <v>6555030.8647934198</v>
      </c>
      <c r="FA41" s="443">
        <v>6555030.8647934198</v>
      </c>
      <c r="FB41" s="443">
        <v>6720943.6778047998</v>
      </c>
      <c r="FC41" s="443">
        <v>6720943.6778047998</v>
      </c>
      <c r="FD41" s="443">
        <v>6720943.6778047998</v>
      </c>
      <c r="FE41" s="443">
        <v>6720943.6778047998</v>
      </c>
      <c r="FF41" s="443">
        <v>6720943.6778047998</v>
      </c>
      <c r="FG41" s="443">
        <v>6720943.6778047998</v>
      </c>
      <c r="FH41" s="443">
        <v>6720943.6778047998</v>
      </c>
      <c r="FI41" s="443">
        <v>6720943.6778047998</v>
      </c>
      <c r="FJ41" s="443">
        <v>6720943.6778047998</v>
      </c>
      <c r="FK41" s="443">
        <v>6720943.6778047998</v>
      </c>
      <c r="FL41" s="443">
        <v>6720943.6778047998</v>
      </c>
      <c r="FM41" s="443">
        <v>6720943.6778047998</v>
      </c>
      <c r="FN41" s="443">
        <v>6891055.8702072203</v>
      </c>
      <c r="FO41" s="443">
        <v>6891055.8702072203</v>
      </c>
      <c r="FP41" s="443">
        <v>6891055.8702072203</v>
      </c>
      <c r="FQ41" s="443">
        <v>6891055.8702072203</v>
      </c>
      <c r="FR41" s="443">
        <v>6891055.8702072203</v>
      </c>
      <c r="FS41" s="443">
        <v>6891055.8702072203</v>
      </c>
      <c r="FT41" s="443">
        <v>6891055.8702072203</v>
      </c>
      <c r="FU41" s="443">
        <v>6891055.8702072203</v>
      </c>
      <c r="FV41" s="443">
        <v>6891055.8702072203</v>
      </c>
      <c r="FW41" s="443">
        <v>6891055.8702072203</v>
      </c>
      <c r="FX41" s="443">
        <v>6891055.8702072203</v>
      </c>
      <c r="FY41" s="443">
        <v>6891055.8702072203</v>
      </c>
      <c r="FZ41" s="443">
        <v>0</v>
      </c>
      <c r="GA41" s="443">
        <v>0</v>
      </c>
      <c r="GB41" s="443">
        <v>0</v>
      </c>
      <c r="GC41" s="443">
        <v>0</v>
      </c>
      <c r="GD41" s="443">
        <v>0</v>
      </c>
      <c r="GE41" s="443">
        <v>0</v>
      </c>
      <c r="GF41" s="443">
        <v>0</v>
      </c>
      <c r="GG41" s="443">
        <v>0</v>
      </c>
      <c r="GH41" s="443">
        <v>0</v>
      </c>
      <c r="GI41" s="443">
        <v>0</v>
      </c>
      <c r="GJ41" s="443">
        <v>0</v>
      </c>
      <c r="GK41" s="443">
        <v>0</v>
      </c>
      <c r="GL41" s="442">
        <v>5502830.4981974801</v>
      </c>
      <c r="GM41" s="443">
        <v>5502830.4981974801</v>
      </c>
      <c r="GN41" s="443">
        <v>5502830.4981974801</v>
      </c>
      <c r="GO41" s="443">
        <v>5502830.4981974801</v>
      </c>
      <c r="GP41" s="443">
        <v>5502830.4981974801</v>
      </c>
      <c r="GQ41" s="443">
        <v>5502830.4981974801</v>
      </c>
      <c r="GR41" s="443">
        <v>5502830.4981974801</v>
      </c>
      <c r="GS41" s="443">
        <v>5502830.4981974801</v>
      </c>
      <c r="GT41" s="443">
        <v>5502830.4981974801</v>
      </c>
      <c r="GU41" s="443">
        <v>5642111.3202580204</v>
      </c>
      <c r="GV41" s="443">
        <v>5642111.3202580204</v>
      </c>
      <c r="GW41" s="443">
        <v>5642111.3202580204</v>
      </c>
      <c r="GX41" s="443">
        <v>5642111.3202580204</v>
      </c>
      <c r="GY41" s="443">
        <v>5642111.3202580204</v>
      </c>
      <c r="GZ41" s="443">
        <v>5642111.3202580204</v>
      </c>
      <c r="HA41" s="443">
        <v>5642111.3202580204</v>
      </c>
      <c r="HB41" s="443">
        <v>5642111.3202580204</v>
      </c>
      <c r="HC41" s="443">
        <v>5642111.3202580204</v>
      </c>
      <c r="HD41" s="443">
        <v>5642111.3202580204</v>
      </c>
      <c r="HE41" s="443">
        <v>5642111.3202580204</v>
      </c>
      <c r="HF41" s="443">
        <v>5642111.3202580204</v>
      </c>
      <c r="HG41" s="443">
        <v>5784917.4457783597</v>
      </c>
      <c r="HH41" s="443">
        <v>5784917.4457783597</v>
      </c>
      <c r="HI41" s="443">
        <v>5784917.4457783597</v>
      </c>
      <c r="HJ41" s="443">
        <v>5784917.4457783597</v>
      </c>
      <c r="HK41" s="443">
        <v>5784917.4457783597</v>
      </c>
      <c r="HL41" s="443">
        <v>5784917.4457783597</v>
      </c>
      <c r="HM41" s="443">
        <v>5784917.4457783597</v>
      </c>
      <c r="HN41" s="443">
        <v>5784917.4457783597</v>
      </c>
      <c r="HO41" s="443">
        <v>5784917.4457783597</v>
      </c>
      <c r="HP41" s="443">
        <v>5784917.4457783597</v>
      </c>
      <c r="HQ41" s="443">
        <v>5784917.4457783597</v>
      </c>
      <c r="HR41" s="443">
        <v>5784917.4457783597</v>
      </c>
      <c r="HS41" s="443">
        <v>5931338.1028682599</v>
      </c>
      <c r="HT41" s="443">
        <v>5931338.1028682599</v>
      </c>
      <c r="HU41" s="443">
        <v>5931338.1028682599</v>
      </c>
      <c r="HV41" s="443">
        <v>5931338.1028682599</v>
      </c>
      <c r="HW41" s="443">
        <v>5931338.1028682599</v>
      </c>
      <c r="HX41" s="443">
        <v>5931338.1028682599</v>
      </c>
      <c r="HY41" s="443">
        <v>5931338.1028682599</v>
      </c>
      <c r="HZ41" s="443">
        <v>5931338.1028682599</v>
      </c>
      <c r="IA41" s="443">
        <v>5931338.1028682599</v>
      </c>
      <c r="IB41" s="443">
        <v>5931338.1028682599</v>
      </c>
      <c r="IC41" s="443">
        <v>5931338.1028682599</v>
      </c>
      <c r="ID41" s="443">
        <v>5931338.1028682599</v>
      </c>
      <c r="IE41" s="443">
        <v>6081464.77806882</v>
      </c>
      <c r="IF41" s="443">
        <v>6081464.77806882</v>
      </c>
      <c r="IG41" s="443">
        <v>6081464.77806882</v>
      </c>
      <c r="IH41" s="443">
        <v>6081464.77806882</v>
      </c>
      <c r="II41" s="443">
        <v>6081464.77806882</v>
      </c>
      <c r="IJ41" s="443">
        <v>6081464.77806882</v>
      </c>
      <c r="IK41" s="443">
        <v>6081464.77806882</v>
      </c>
      <c r="IL41" s="443">
        <v>6081464.77806882</v>
      </c>
      <c r="IM41" s="443">
        <v>6081464.77806882</v>
      </c>
      <c r="IN41" s="443">
        <v>6081464.77806882</v>
      </c>
      <c r="IO41" s="443">
        <v>6081464.77806882</v>
      </c>
      <c r="IP41" s="443">
        <v>6081464.77806882</v>
      </c>
      <c r="IQ41" s="443">
        <v>6235391.2735149805</v>
      </c>
      <c r="IR41" s="443">
        <v>6235391.2735149805</v>
      </c>
      <c r="IS41" s="443">
        <v>6235391.2735149805</v>
      </c>
      <c r="IT41" s="443">
        <v>6235391.2735149805</v>
      </c>
      <c r="IU41" s="443">
        <v>6235391.2735149805</v>
      </c>
      <c r="IV41" s="443">
        <v>6235391.2735149805</v>
      </c>
      <c r="IW41" s="443">
        <v>6235391.2735149805</v>
      </c>
      <c r="IX41" s="443">
        <v>6235391.2735149805</v>
      </c>
      <c r="IY41" s="443">
        <v>6235391.2735149805</v>
      </c>
      <c r="IZ41" s="443">
        <v>6235391.2735149805</v>
      </c>
      <c r="JA41" s="443">
        <v>6235391.2735149805</v>
      </c>
      <c r="JB41" s="443">
        <v>6235391.2735149805</v>
      </c>
      <c r="JC41" s="443">
        <v>6393213.7655450003</v>
      </c>
      <c r="JD41" s="443">
        <v>6393213.7655450003</v>
      </c>
      <c r="JE41" s="443">
        <v>6393213.7655450003</v>
      </c>
      <c r="JF41" s="443">
        <v>6393213.7655450003</v>
      </c>
      <c r="JG41" s="443">
        <v>6393213.7655450003</v>
      </c>
      <c r="JH41" s="443">
        <v>6393213.7655450003</v>
      </c>
      <c r="JI41" s="443">
        <v>6393213.7655450003</v>
      </c>
      <c r="JJ41" s="443">
        <v>6393213.7655450003</v>
      </c>
      <c r="JK41" s="443">
        <v>6393213.7655450003</v>
      </c>
      <c r="JL41" s="443">
        <v>6393213.7655450003</v>
      </c>
      <c r="JM41" s="443">
        <v>6393213.7655450003</v>
      </c>
      <c r="JN41" s="443">
        <v>6393213.7655450003</v>
      </c>
      <c r="JO41" s="443">
        <v>6555030.8647934198</v>
      </c>
      <c r="JP41" s="443">
        <v>6555030.8647934198</v>
      </c>
      <c r="JQ41" s="443">
        <v>6555030.8647934198</v>
      </c>
      <c r="JR41" s="443">
        <v>6555030.8647934198</v>
      </c>
      <c r="JS41" s="443">
        <v>6555030.8647934198</v>
      </c>
      <c r="JT41" s="443">
        <v>6555030.8647934198</v>
      </c>
      <c r="JU41" s="443">
        <v>6555030.8647934198</v>
      </c>
      <c r="JV41" s="443">
        <v>6555030.8647934198</v>
      </c>
      <c r="JW41" s="443">
        <v>6555030.8647934198</v>
      </c>
      <c r="JX41" s="443">
        <v>6555030.8647934198</v>
      </c>
      <c r="JY41" s="443">
        <v>6555030.8647934198</v>
      </c>
      <c r="JZ41" s="443">
        <v>6555030.8647934198</v>
      </c>
      <c r="KA41" s="443">
        <v>6720943.6778047998</v>
      </c>
      <c r="KB41" s="443">
        <v>6720943.6778047998</v>
      </c>
      <c r="KC41" s="443">
        <v>6720943.6778047998</v>
      </c>
      <c r="KD41" s="443">
        <v>6720943.6778047998</v>
      </c>
      <c r="KE41" s="443">
        <v>6720943.6778047998</v>
      </c>
      <c r="KF41" s="443">
        <v>6720943.6778047998</v>
      </c>
      <c r="KG41" s="443">
        <v>6720943.6778047998</v>
      </c>
      <c r="KH41" s="443">
        <v>6720943.6778047998</v>
      </c>
      <c r="KI41" s="443">
        <v>6720943.6778047998</v>
      </c>
      <c r="KJ41" s="443">
        <v>6720943.6778047998</v>
      </c>
      <c r="KK41" s="443">
        <v>6720943.6778047998</v>
      </c>
      <c r="KL41" s="443">
        <v>6720943.6778047998</v>
      </c>
      <c r="KM41" s="443">
        <v>6891055.8702072203</v>
      </c>
      <c r="KN41" s="443">
        <v>6891055.8702072203</v>
      </c>
      <c r="KO41" s="443">
        <v>6891055.8702072203</v>
      </c>
      <c r="KP41" s="443">
        <v>6891055.8702072203</v>
      </c>
      <c r="KQ41" s="443">
        <v>6891055.8702072203</v>
      </c>
      <c r="KR41" s="443">
        <v>6891055.8702072203</v>
      </c>
      <c r="KS41" s="443">
        <v>6891055.8702072203</v>
      </c>
      <c r="KT41" s="443">
        <v>6891055.8702072203</v>
      </c>
      <c r="KU41" s="443">
        <v>6891055.8702072203</v>
      </c>
      <c r="KV41" s="443">
        <v>6891055.8702072203</v>
      </c>
      <c r="KW41" s="443">
        <v>6891055.8702072203</v>
      </c>
      <c r="KX41" s="443">
        <v>6891055.8702072203</v>
      </c>
      <c r="KY41" s="443"/>
      <c r="KZ41" s="442"/>
      <c r="LA41" s="550"/>
    </row>
    <row r="42" spans="1:314">
      <c r="A42" s="450" t="s">
        <v>1502</v>
      </c>
      <c r="B42" s="442" t="s">
        <v>1199</v>
      </c>
      <c r="C42" s="442" t="s">
        <v>1490</v>
      </c>
      <c r="D42" s="442" t="s">
        <v>1497</v>
      </c>
      <c r="E42" s="517"/>
      <c r="F42" s="517"/>
      <c r="G42" s="442"/>
      <c r="H42" s="442"/>
      <c r="I42" s="442"/>
      <c r="J42" s="456" t="s">
        <v>1417</v>
      </c>
      <c r="K42" s="456">
        <v>0</v>
      </c>
      <c r="L42" s="456" t="s">
        <v>1501</v>
      </c>
      <c r="M42" s="442">
        <v>1</v>
      </c>
      <c r="N42" s="442">
        <v>1</v>
      </c>
      <c r="O42" s="442">
        <v>1</v>
      </c>
      <c r="P42" s="442">
        <v>1</v>
      </c>
      <c r="Q42" s="442">
        <v>1</v>
      </c>
      <c r="R42" s="442">
        <v>1</v>
      </c>
      <c r="S42" s="442">
        <v>1</v>
      </c>
      <c r="T42" s="442">
        <v>1</v>
      </c>
      <c r="U42" s="442">
        <v>1</v>
      </c>
      <c r="V42" s="442">
        <v>1</v>
      </c>
      <c r="W42" s="442">
        <v>0</v>
      </c>
      <c r="X42" s="442">
        <v>0</v>
      </c>
      <c r="Y42" s="442">
        <v>10381875</v>
      </c>
      <c r="Z42" s="442">
        <v>15067500</v>
      </c>
      <c r="AA42" s="442">
        <v>15067500</v>
      </c>
      <c r="AB42" s="442">
        <v>15067500</v>
      </c>
      <c r="AC42" s="442">
        <v>15067500</v>
      </c>
      <c r="AD42" s="442">
        <v>15067500</v>
      </c>
      <c r="AE42" s="442">
        <v>15067500</v>
      </c>
      <c r="AF42" s="442">
        <v>15067500</v>
      </c>
      <c r="AG42" s="442">
        <v>15067500</v>
      </c>
      <c r="AH42" s="442">
        <v>15067500</v>
      </c>
      <c r="AI42" s="442">
        <v>0</v>
      </c>
      <c r="AJ42" s="442">
        <v>12</v>
      </c>
      <c r="AK42" s="442">
        <v>12</v>
      </c>
      <c r="AL42" s="442">
        <v>12</v>
      </c>
      <c r="AM42" s="442">
        <v>12</v>
      </c>
      <c r="AN42" s="442">
        <v>12</v>
      </c>
      <c r="AO42" s="442">
        <v>12</v>
      </c>
      <c r="AP42" s="442">
        <v>12</v>
      </c>
      <c r="AQ42" s="442">
        <v>12</v>
      </c>
      <c r="AR42" s="442">
        <v>12</v>
      </c>
      <c r="AS42" s="442">
        <v>12</v>
      </c>
      <c r="AT42" s="442"/>
      <c r="AU42" s="458">
        <v>1</v>
      </c>
      <c r="AV42" s="510">
        <v>1.02531076</v>
      </c>
      <c r="AW42" s="456">
        <v>0</v>
      </c>
      <c r="AX42" s="443">
        <v>1751872500</v>
      </c>
      <c r="AY42" s="443">
        <v>124582500</v>
      </c>
      <c r="AZ42" s="443">
        <v>180810000</v>
      </c>
      <c r="BA42" s="443">
        <v>180810000</v>
      </c>
      <c r="BB42" s="443">
        <v>180810000</v>
      </c>
      <c r="BC42" s="443">
        <v>180810000</v>
      </c>
      <c r="BD42" s="443">
        <v>180810000</v>
      </c>
      <c r="BE42" s="443">
        <v>180810000</v>
      </c>
      <c r="BF42" s="443">
        <v>180810000</v>
      </c>
      <c r="BG42" s="443">
        <v>180810000</v>
      </c>
      <c r="BH42" s="443">
        <v>180810000</v>
      </c>
      <c r="BI42" s="443">
        <v>0</v>
      </c>
      <c r="BJ42" s="442">
        <v>10381875</v>
      </c>
      <c r="BK42" s="443">
        <v>10381875</v>
      </c>
      <c r="BL42" s="443">
        <v>10381875</v>
      </c>
      <c r="BM42" s="443">
        <v>10381875</v>
      </c>
      <c r="BN42" s="443">
        <v>10381875</v>
      </c>
      <c r="BO42" s="443">
        <v>10381875</v>
      </c>
      <c r="BP42" s="443">
        <v>10381875</v>
      </c>
      <c r="BQ42" s="443">
        <v>10381875</v>
      </c>
      <c r="BR42" s="443">
        <v>10381875</v>
      </c>
      <c r="BS42" s="443">
        <v>10381875</v>
      </c>
      <c r="BT42" s="443">
        <v>10381875</v>
      </c>
      <c r="BU42" s="443">
        <v>10381875</v>
      </c>
      <c r="BV42" s="443">
        <v>15067500</v>
      </c>
      <c r="BW42" s="443">
        <v>15067500</v>
      </c>
      <c r="BX42" s="443">
        <v>15067500</v>
      </c>
      <c r="BY42" s="443">
        <v>15067500</v>
      </c>
      <c r="BZ42" s="443">
        <v>15067500</v>
      </c>
      <c r="CA42" s="443">
        <v>15067500</v>
      </c>
      <c r="CB42" s="443">
        <v>15067500</v>
      </c>
      <c r="CC42" s="443">
        <v>15067500</v>
      </c>
      <c r="CD42" s="443">
        <v>15067500</v>
      </c>
      <c r="CE42" s="443">
        <v>15067500</v>
      </c>
      <c r="CF42" s="443">
        <v>15067500</v>
      </c>
      <c r="CG42" s="443">
        <v>15067500</v>
      </c>
      <c r="CH42" s="443">
        <v>15067500</v>
      </c>
      <c r="CI42" s="443">
        <v>15067500</v>
      </c>
      <c r="CJ42" s="443">
        <v>15067500</v>
      </c>
      <c r="CK42" s="443">
        <v>15067500</v>
      </c>
      <c r="CL42" s="443">
        <v>15067500</v>
      </c>
      <c r="CM42" s="443">
        <v>15067500</v>
      </c>
      <c r="CN42" s="443">
        <v>15067500</v>
      </c>
      <c r="CO42" s="443">
        <v>15067500</v>
      </c>
      <c r="CP42" s="443">
        <v>15067500</v>
      </c>
      <c r="CQ42" s="443">
        <v>15067500</v>
      </c>
      <c r="CR42" s="443">
        <v>15067500</v>
      </c>
      <c r="CS42" s="443">
        <v>15067500</v>
      </c>
      <c r="CT42" s="443">
        <v>15067500</v>
      </c>
      <c r="CU42" s="443">
        <v>15067500</v>
      </c>
      <c r="CV42" s="443">
        <v>15067500</v>
      </c>
      <c r="CW42" s="443">
        <v>15067500</v>
      </c>
      <c r="CX42" s="443">
        <v>15067500</v>
      </c>
      <c r="CY42" s="443">
        <v>15067500</v>
      </c>
      <c r="CZ42" s="443">
        <v>15067500</v>
      </c>
      <c r="DA42" s="443">
        <v>15067500</v>
      </c>
      <c r="DB42" s="443">
        <v>15067500</v>
      </c>
      <c r="DC42" s="443">
        <v>15067500</v>
      </c>
      <c r="DD42" s="443">
        <v>15067500</v>
      </c>
      <c r="DE42" s="443">
        <v>15067500</v>
      </c>
      <c r="DF42" s="443">
        <v>15067500</v>
      </c>
      <c r="DG42" s="443">
        <v>15067500</v>
      </c>
      <c r="DH42" s="443">
        <v>15067500</v>
      </c>
      <c r="DI42" s="443">
        <v>15067500</v>
      </c>
      <c r="DJ42" s="443">
        <v>15067500</v>
      </c>
      <c r="DK42" s="443">
        <v>15067500</v>
      </c>
      <c r="DL42" s="443">
        <v>15067500</v>
      </c>
      <c r="DM42" s="443">
        <v>15067500</v>
      </c>
      <c r="DN42" s="443">
        <v>15067500</v>
      </c>
      <c r="DO42" s="443">
        <v>15067500</v>
      </c>
      <c r="DP42" s="443">
        <v>15067500</v>
      </c>
      <c r="DQ42" s="443">
        <v>15067500</v>
      </c>
      <c r="DR42" s="443">
        <v>15067500</v>
      </c>
      <c r="DS42" s="443">
        <v>15067500</v>
      </c>
      <c r="DT42" s="443">
        <v>15067500</v>
      </c>
      <c r="DU42" s="443">
        <v>15067500</v>
      </c>
      <c r="DV42" s="443">
        <v>15067500</v>
      </c>
      <c r="DW42" s="443">
        <v>15067500</v>
      </c>
      <c r="DX42" s="443">
        <v>15067500</v>
      </c>
      <c r="DY42" s="443">
        <v>15067500</v>
      </c>
      <c r="DZ42" s="443">
        <v>15067500</v>
      </c>
      <c r="EA42" s="443">
        <v>15067500</v>
      </c>
      <c r="EB42" s="443">
        <v>15067500</v>
      </c>
      <c r="EC42" s="443">
        <v>15067500</v>
      </c>
      <c r="ED42" s="443">
        <v>15067500</v>
      </c>
      <c r="EE42" s="443">
        <v>15067500</v>
      </c>
      <c r="EF42" s="443">
        <v>15067500</v>
      </c>
      <c r="EG42" s="443">
        <v>15067500</v>
      </c>
      <c r="EH42" s="443">
        <v>15067500</v>
      </c>
      <c r="EI42" s="443">
        <v>15067500</v>
      </c>
      <c r="EJ42" s="443">
        <v>15067500</v>
      </c>
      <c r="EK42" s="443">
        <v>15067500</v>
      </c>
      <c r="EL42" s="443">
        <v>15067500</v>
      </c>
      <c r="EM42" s="443">
        <v>15067500</v>
      </c>
      <c r="EN42" s="443">
        <v>15067500</v>
      </c>
      <c r="EO42" s="443">
        <v>15067500</v>
      </c>
      <c r="EP42" s="443">
        <v>15067500</v>
      </c>
      <c r="EQ42" s="443">
        <v>15067500</v>
      </c>
      <c r="ER42" s="443">
        <v>15067500</v>
      </c>
      <c r="ES42" s="443">
        <v>15067500</v>
      </c>
      <c r="ET42" s="443">
        <v>15067500</v>
      </c>
      <c r="EU42" s="443">
        <v>15067500</v>
      </c>
      <c r="EV42" s="443">
        <v>15067500</v>
      </c>
      <c r="EW42" s="443">
        <v>15067500</v>
      </c>
      <c r="EX42" s="443">
        <v>15067500</v>
      </c>
      <c r="EY42" s="443">
        <v>15067500</v>
      </c>
      <c r="EZ42" s="443">
        <v>15067500</v>
      </c>
      <c r="FA42" s="443">
        <v>15067500</v>
      </c>
      <c r="FB42" s="443">
        <v>15067500</v>
      </c>
      <c r="FC42" s="443">
        <v>15067500</v>
      </c>
      <c r="FD42" s="443">
        <v>15067500</v>
      </c>
      <c r="FE42" s="443">
        <v>15067500</v>
      </c>
      <c r="FF42" s="443">
        <v>15067500</v>
      </c>
      <c r="FG42" s="443">
        <v>15067500</v>
      </c>
      <c r="FH42" s="443">
        <v>15067500</v>
      </c>
      <c r="FI42" s="443">
        <v>15067500</v>
      </c>
      <c r="FJ42" s="443">
        <v>15067500</v>
      </c>
      <c r="FK42" s="443">
        <v>15067500</v>
      </c>
      <c r="FL42" s="443">
        <v>15067500</v>
      </c>
      <c r="FM42" s="443">
        <v>15067500</v>
      </c>
      <c r="FN42" s="443">
        <v>15067500</v>
      </c>
      <c r="FO42" s="443">
        <v>15067500</v>
      </c>
      <c r="FP42" s="443">
        <v>15067500</v>
      </c>
      <c r="FQ42" s="443">
        <v>15067500</v>
      </c>
      <c r="FR42" s="443">
        <v>15067500</v>
      </c>
      <c r="FS42" s="443">
        <v>15067500</v>
      </c>
      <c r="FT42" s="443">
        <v>15067500</v>
      </c>
      <c r="FU42" s="443">
        <v>15067500</v>
      </c>
      <c r="FV42" s="443">
        <v>15067500</v>
      </c>
      <c r="FW42" s="443">
        <v>15067500</v>
      </c>
      <c r="FX42" s="443">
        <v>15067500</v>
      </c>
      <c r="FY42" s="443">
        <v>15067500</v>
      </c>
      <c r="FZ42" s="443">
        <v>0</v>
      </c>
      <c r="GA42" s="443">
        <v>0</v>
      </c>
      <c r="GB42" s="443">
        <v>0</v>
      </c>
      <c r="GC42" s="443">
        <v>0</v>
      </c>
      <c r="GD42" s="443">
        <v>0</v>
      </c>
      <c r="GE42" s="443">
        <v>0</v>
      </c>
      <c r="GF42" s="443">
        <v>0</v>
      </c>
      <c r="GG42" s="443">
        <v>0</v>
      </c>
      <c r="GH42" s="443">
        <v>0</v>
      </c>
      <c r="GI42" s="443">
        <v>0</v>
      </c>
      <c r="GJ42" s="443">
        <v>0</v>
      </c>
      <c r="GK42" s="443">
        <v>0</v>
      </c>
      <c r="GL42" s="442">
        <v>10381875</v>
      </c>
      <c r="GM42" s="443">
        <v>10381875</v>
      </c>
      <c r="GN42" s="443">
        <v>10381875</v>
      </c>
      <c r="GO42" s="443">
        <v>10381875</v>
      </c>
      <c r="GP42" s="443">
        <v>10381875</v>
      </c>
      <c r="GQ42" s="443">
        <v>10381875</v>
      </c>
      <c r="GR42" s="443">
        <v>10381875</v>
      </c>
      <c r="GS42" s="443">
        <v>10381875</v>
      </c>
      <c r="GT42" s="443">
        <v>10381875</v>
      </c>
      <c r="GU42" s="443">
        <v>10381875</v>
      </c>
      <c r="GV42" s="443">
        <v>10381875</v>
      </c>
      <c r="GW42" s="443">
        <v>10381875</v>
      </c>
      <c r="GX42" s="443">
        <v>15067500</v>
      </c>
      <c r="GY42" s="443">
        <v>15067500</v>
      </c>
      <c r="GZ42" s="443">
        <v>15067500</v>
      </c>
      <c r="HA42" s="443">
        <v>15067500</v>
      </c>
      <c r="HB42" s="443">
        <v>15067500</v>
      </c>
      <c r="HC42" s="443">
        <v>15067500</v>
      </c>
      <c r="HD42" s="443">
        <v>15067500</v>
      </c>
      <c r="HE42" s="443">
        <v>15067500</v>
      </c>
      <c r="HF42" s="443">
        <v>15067500</v>
      </c>
      <c r="HG42" s="443">
        <v>15067500</v>
      </c>
      <c r="HH42" s="443">
        <v>15067500</v>
      </c>
      <c r="HI42" s="443">
        <v>15067500</v>
      </c>
      <c r="HJ42" s="443">
        <v>15067500</v>
      </c>
      <c r="HK42" s="443">
        <v>15067500</v>
      </c>
      <c r="HL42" s="443">
        <v>15067500</v>
      </c>
      <c r="HM42" s="443">
        <v>15067500</v>
      </c>
      <c r="HN42" s="443">
        <v>15067500</v>
      </c>
      <c r="HO42" s="443">
        <v>15067500</v>
      </c>
      <c r="HP42" s="443">
        <v>15067500</v>
      </c>
      <c r="HQ42" s="443">
        <v>15067500</v>
      </c>
      <c r="HR42" s="443">
        <v>15067500</v>
      </c>
      <c r="HS42" s="443">
        <v>15067500</v>
      </c>
      <c r="HT42" s="443">
        <v>15067500</v>
      </c>
      <c r="HU42" s="443">
        <v>15067500</v>
      </c>
      <c r="HV42" s="443">
        <v>15067500</v>
      </c>
      <c r="HW42" s="443">
        <v>15067500</v>
      </c>
      <c r="HX42" s="443">
        <v>15067500</v>
      </c>
      <c r="HY42" s="443">
        <v>15067500</v>
      </c>
      <c r="HZ42" s="443">
        <v>15067500</v>
      </c>
      <c r="IA42" s="443">
        <v>15067500</v>
      </c>
      <c r="IB42" s="443">
        <v>15067500</v>
      </c>
      <c r="IC42" s="443">
        <v>15067500</v>
      </c>
      <c r="ID42" s="443">
        <v>15067500</v>
      </c>
      <c r="IE42" s="443">
        <v>15067500</v>
      </c>
      <c r="IF42" s="443">
        <v>15067500</v>
      </c>
      <c r="IG42" s="443">
        <v>15067500</v>
      </c>
      <c r="IH42" s="443">
        <v>15067500</v>
      </c>
      <c r="II42" s="443">
        <v>15067500</v>
      </c>
      <c r="IJ42" s="443">
        <v>15067500</v>
      </c>
      <c r="IK42" s="443">
        <v>15067500</v>
      </c>
      <c r="IL42" s="443">
        <v>15067500</v>
      </c>
      <c r="IM42" s="443">
        <v>15067500</v>
      </c>
      <c r="IN42" s="443">
        <v>15067500</v>
      </c>
      <c r="IO42" s="443">
        <v>15067500</v>
      </c>
      <c r="IP42" s="443">
        <v>15067500</v>
      </c>
      <c r="IQ42" s="443">
        <v>15067500</v>
      </c>
      <c r="IR42" s="443">
        <v>15067500</v>
      </c>
      <c r="IS42" s="443">
        <v>15067500</v>
      </c>
      <c r="IT42" s="443">
        <v>15067500</v>
      </c>
      <c r="IU42" s="443">
        <v>15067500</v>
      </c>
      <c r="IV42" s="443">
        <v>15067500</v>
      </c>
      <c r="IW42" s="443">
        <v>15067500</v>
      </c>
      <c r="IX42" s="443">
        <v>15067500</v>
      </c>
      <c r="IY42" s="443">
        <v>15067500</v>
      </c>
      <c r="IZ42" s="443">
        <v>15067500</v>
      </c>
      <c r="JA42" s="443">
        <v>15067500</v>
      </c>
      <c r="JB42" s="443">
        <v>15067500</v>
      </c>
      <c r="JC42" s="443">
        <v>15067500</v>
      </c>
      <c r="JD42" s="443">
        <v>15067500</v>
      </c>
      <c r="JE42" s="443">
        <v>15067500</v>
      </c>
      <c r="JF42" s="443">
        <v>15067500</v>
      </c>
      <c r="JG42" s="443">
        <v>15067500</v>
      </c>
      <c r="JH42" s="443">
        <v>15067500</v>
      </c>
      <c r="JI42" s="443">
        <v>15067500</v>
      </c>
      <c r="JJ42" s="443">
        <v>15067500</v>
      </c>
      <c r="JK42" s="443">
        <v>15067500</v>
      </c>
      <c r="JL42" s="443">
        <v>15067500</v>
      </c>
      <c r="JM42" s="443">
        <v>15067500</v>
      </c>
      <c r="JN42" s="443">
        <v>15067500</v>
      </c>
      <c r="JO42" s="443">
        <v>15067500</v>
      </c>
      <c r="JP42" s="443">
        <v>15067500</v>
      </c>
      <c r="JQ42" s="443">
        <v>15067500</v>
      </c>
      <c r="JR42" s="443">
        <v>15067500</v>
      </c>
      <c r="JS42" s="443">
        <v>15067500</v>
      </c>
      <c r="JT42" s="443">
        <v>15067500</v>
      </c>
      <c r="JU42" s="443">
        <v>15067500</v>
      </c>
      <c r="JV42" s="443">
        <v>15067500</v>
      </c>
      <c r="JW42" s="443">
        <v>15067500</v>
      </c>
      <c r="JX42" s="443">
        <v>15067500</v>
      </c>
      <c r="JY42" s="443">
        <v>15067500</v>
      </c>
      <c r="JZ42" s="443">
        <v>15067500</v>
      </c>
      <c r="KA42" s="443">
        <v>15067500</v>
      </c>
      <c r="KB42" s="443">
        <v>15067500</v>
      </c>
      <c r="KC42" s="443">
        <v>15067500</v>
      </c>
      <c r="KD42" s="443">
        <v>15067500</v>
      </c>
      <c r="KE42" s="443">
        <v>15067500</v>
      </c>
      <c r="KF42" s="443">
        <v>15067500</v>
      </c>
      <c r="KG42" s="443">
        <v>15067500</v>
      </c>
      <c r="KH42" s="443">
        <v>15067500</v>
      </c>
      <c r="KI42" s="443">
        <v>15067500</v>
      </c>
      <c r="KJ42" s="443">
        <v>15067500</v>
      </c>
      <c r="KK42" s="443">
        <v>15067500</v>
      </c>
      <c r="KL42" s="443">
        <v>15067500</v>
      </c>
      <c r="KM42" s="443">
        <v>15067500</v>
      </c>
      <c r="KN42" s="443">
        <v>15067500</v>
      </c>
      <c r="KO42" s="443">
        <v>15067500</v>
      </c>
      <c r="KP42" s="443">
        <v>15067500</v>
      </c>
      <c r="KQ42" s="443">
        <v>15067500</v>
      </c>
      <c r="KR42" s="443">
        <v>15067500</v>
      </c>
      <c r="KS42" s="443">
        <v>15067500</v>
      </c>
      <c r="KT42" s="443">
        <v>15067500</v>
      </c>
      <c r="KU42" s="443">
        <v>15067500</v>
      </c>
      <c r="KV42" s="443">
        <v>15067500</v>
      </c>
      <c r="KW42" s="443">
        <v>15067500</v>
      </c>
      <c r="KX42" s="443">
        <v>15067500</v>
      </c>
      <c r="KY42" s="443">
        <v>15067500</v>
      </c>
      <c r="KZ42" s="443">
        <v>15067500</v>
      </c>
      <c r="LA42" s="33">
        <v>15067500</v>
      </c>
      <c r="LB42" s="27"/>
    </row>
    <row r="43" spans="1:314" ht="18" thickBot="1">
      <c r="A43" s="536" t="s">
        <v>1499</v>
      </c>
      <c r="B43" s="451" t="s">
        <v>1184</v>
      </c>
      <c r="C43" s="451" t="s">
        <v>1490</v>
      </c>
      <c r="D43" s="451" t="s">
        <v>1497</v>
      </c>
      <c r="E43" s="518"/>
      <c r="F43" s="518"/>
      <c r="G43" s="451"/>
      <c r="H43" s="451"/>
      <c r="I43" s="451"/>
      <c r="J43" s="460" t="s">
        <v>1417</v>
      </c>
      <c r="K43" s="460">
        <v>0</v>
      </c>
      <c r="L43" s="460" t="s">
        <v>1501</v>
      </c>
      <c r="M43" s="451">
        <v>1</v>
      </c>
      <c r="N43" s="451">
        <v>1</v>
      </c>
      <c r="O43" s="451">
        <v>1</v>
      </c>
      <c r="P43" s="451">
        <v>1</v>
      </c>
      <c r="Q43" s="451">
        <v>1</v>
      </c>
      <c r="R43" s="451">
        <v>1</v>
      </c>
      <c r="S43" s="451">
        <v>1</v>
      </c>
      <c r="T43" s="451">
        <v>1</v>
      </c>
      <c r="U43" s="451">
        <v>1</v>
      </c>
      <c r="V43" s="451">
        <v>1</v>
      </c>
      <c r="W43" s="451">
        <v>0</v>
      </c>
      <c r="X43" s="451">
        <v>3</v>
      </c>
      <c r="Y43" s="451">
        <v>18742500</v>
      </c>
      <c r="Z43" s="451">
        <v>18742500</v>
      </c>
      <c r="AA43" s="451">
        <v>18742500</v>
      </c>
      <c r="AB43" s="451">
        <v>18742500</v>
      </c>
      <c r="AC43" s="451">
        <v>18742500</v>
      </c>
      <c r="AD43" s="451">
        <v>18742500</v>
      </c>
      <c r="AE43" s="451">
        <v>18742500</v>
      </c>
      <c r="AF43" s="451">
        <v>18742500</v>
      </c>
      <c r="AG43" s="451">
        <v>18742500</v>
      </c>
      <c r="AH43" s="451">
        <v>18742500</v>
      </c>
      <c r="AI43" s="451">
        <v>0</v>
      </c>
      <c r="AJ43" s="461">
        <v>9</v>
      </c>
      <c r="AK43" s="461">
        <v>12</v>
      </c>
      <c r="AL43" s="461">
        <v>12</v>
      </c>
      <c r="AM43" s="461">
        <v>12</v>
      </c>
      <c r="AN43" s="461">
        <v>12</v>
      </c>
      <c r="AO43" s="461">
        <v>12</v>
      </c>
      <c r="AP43" s="461">
        <v>12</v>
      </c>
      <c r="AQ43" s="461">
        <v>12</v>
      </c>
      <c r="AR43" s="461">
        <v>12</v>
      </c>
      <c r="AS43" s="461">
        <v>12</v>
      </c>
      <c r="AT43" s="461"/>
      <c r="AU43" s="462">
        <v>1</v>
      </c>
      <c r="AV43" s="524">
        <v>1.02531076</v>
      </c>
      <c r="AW43" s="460">
        <v>0</v>
      </c>
      <c r="AX43" s="452">
        <v>2136645000</v>
      </c>
      <c r="AY43" s="452">
        <v>168682500</v>
      </c>
      <c r="AZ43" s="452">
        <v>224910000</v>
      </c>
      <c r="BA43" s="452">
        <v>224910000</v>
      </c>
      <c r="BB43" s="452">
        <v>224910000</v>
      </c>
      <c r="BC43" s="452">
        <v>224910000</v>
      </c>
      <c r="BD43" s="452">
        <v>224910000</v>
      </c>
      <c r="BE43" s="452">
        <v>224910000</v>
      </c>
      <c r="BF43" s="452">
        <v>224910000</v>
      </c>
      <c r="BG43" s="452">
        <v>224910000</v>
      </c>
      <c r="BH43" s="452">
        <v>168682500</v>
      </c>
      <c r="BI43" s="452">
        <v>0</v>
      </c>
      <c r="BJ43" s="533">
        <v>0</v>
      </c>
      <c r="BK43" s="534">
        <v>0</v>
      </c>
      <c r="BL43" s="534">
        <v>0</v>
      </c>
      <c r="BM43" s="452">
        <v>18742500</v>
      </c>
      <c r="BN43" s="452">
        <v>18742500</v>
      </c>
      <c r="BO43" s="452">
        <v>18742500</v>
      </c>
      <c r="BP43" s="452">
        <v>18742500</v>
      </c>
      <c r="BQ43" s="452">
        <v>18742500</v>
      </c>
      <c r="BR43" s="452">
        <v>18742500</v>
      </c>
      <c r="BS43" s="452">
        <v>18742500</v>
      </c>
      <c r="BT43" s="452">
        <v>18742500</v>
      </c>
      <c r="BU43" s="452">
        <v>18742500</v>
      </c>
      <c r="BV43" s="452">
        <v>18742500</v>
      </c>
      <c r="BW43" s="452">
        <v>18742500</v>
      </c>
      <c r="BX43" s="452">
        <v>18742500</v>
      </c>
      <c r="BY43" s="452">
        <v>18742500</v>
      </c>
      <c r="BZ43" s="452">
        <v>18742500</v>
      </c>
      <c r="CA43" s="452">
        <v>18742500</v>
      </c>
      <c r="CB43" s="452">
        <v>18742500</v>
      </c>
      <c r="CC43" s="452">
        <v>18742500</v>
      </c>
      <c r="CD43" s="452">
        <v>18742500</v>
      </c>
      <c r="CE43" s="452">
        <v>18742500</v>
      </c>
      <c r="CF43" s="452">
        <v>18742500</v>
      </c>
      <c r="CG43" s="452">
        <v>18742500</v>
      </c>
      <c r="CH43" s="452">
        <v>18742500</v>
      </c>
      <c r="CI43" s="452">
        <v>18742500</v>
      </c>
      <c r="CJ43" s="452">
        <v>18742500</v>
      </c>
      <c r="CK43" s="452">
        <v>18742500</v>
      </c>
      <c r="CL43" s="452">
        <v>18742500</v>
      </c>
      <c r="CM43" s="452">
        <v>18742500</v>
      </c>
      <c r="CN43" s="452">
        <v>18742500</v>
      </c>
      <c r="CO43" s="452">
        <v>18742500</v>
      </c>
      <c r="CP43" s="452">
        <v>18742500</v>
      </c>
      <c r="CQ43" s="452">
        <v>18742500</v>
      </c>
      <c r="CR43" s="452">
        <v>18742500</v>
      </c>
      <c r="CS43" s="452">
        <v>18742500</v>
      </c>
      <c r="CT43" s="452">
        <v>18742500</v>
      </c>
      <c r="CU43" s="452">
        <v>18742500</v>
      </c>
      <c r="CV43" s="452">
        <v>18742500</v>
      </c>
      <c r="CW43" s="452">
        <v>18742500</v>
      </c>
      <c r="CX43" s="452">
        <v>18742500</v>
      </c>
      <c r="CY43" s="452">
        <v>18742500</v>
      </c>
      <c r="CZ43" s="452">
        <v>18742500</v>
      </c>
      <c r="DA43" s="452">
        <v>18742500</v>
      </c>
      <c r="DB43" s="452">
        <v>18742500</v>
      </c>
      <c r="DC43" s="452">
        <v>18742500</v>
      </c>
      <c r="DD43" s="452">
        <v>18742500</v>
      </c>
      <c r="DE43" s="452">
        <v>18742500</v>
      </c>
      <c r="DF43" s="452">
        <v>18742500</v>
      </c>
      <c r="DG43" s="452">
        <v>18742500</v>
      </c>
      <c r="DH43" s="452">
        <v>18742500</v>
      </c>
      <c r="DI43" s="452">
        <v>18742500</v>
      </c>
      <c r="DJ43" s="452">
        <v>18742500</v>
      </c>
      <c r="DK43" s="452">
        <v>18742500</v>
      </c>
      <c r="DL43" s="452">
        <v>18742500</v>
      </c>
      <c r="DM43" s="452">
        <v>18742500</v>
      </c>
      <c r="DN43" s="452">
        <v>18742500</v>
      </c>
      <c r="DO43" s="452">
        <v>18742500</v>
      </c>
      <c r="DP43" s="452">
        <v>18742500</v>
      </c>
      <c r="DQ43" s="452">
        <v>18742500</v>
      </c>
      <c r="DR43" s="452">
        <v>18742500</v>
      </c>
      <c r="DS43" s="452">
        <v>18742500</v>
      </c>
      <c r="DT43" s="452">
        <v>18742500</v>
      </c>
      <c r="DU43" s="452">
        <v>18742500</v>
      </c>
      <c r="DV43" s="452">
        <v>18742500</v>
      </c>
      <c r="DW43" s="452">
        <v>18742500</v>
      </c>
      <c r="DX43" s="452">
        <v>18742500</v>
      </c>
      <c r="DY43" s="452">
        <v>18742500</v>
      </c>
      <c r="DZ43" s="452">
        <v>18742500</v>
      </c>
      <c r="EA43" s="452">
        <v>18742500</v>
      </c>
      <c r="EB43" s="452">
        <v>18742500</v>
      </c>
      <c r="EC43" s="452">
        <v>18742500</v>
      </c>
      <c r="ED43" s="452">
        <v>18742500</v>
      </c>
      <c r="EE43" s="452">
        <v>18742500</v>
      </c>
      <c r="EF43" s="452">
        <v>18742500</v>
      </c>
      <c r="EG43" s="452">
        <v>18742500</v>
      </c>
      <c r="EH43" s="452">
        <v>18742500</v>
      </c>
      <c r="EI43" s="452">
        <v>18742500</v>
      </c>
      <c r="EJ43" s="452">
        <v>18742500</v>
      </c>
      <c r="EK43" s="452">
        <v>18742500</v>
      </c>
      <c r="EL43" s="452">
        <v>18742500</v>
      </c>
      <c r="EM43" s="452">
        <v>18742500</v>
      </c>
      <c r="EN43" s="452">
        <v>18742500</v>
      </c>
      <c r="EO43" s="452">
        <v>18742500</v>
      </c>
      <c r="EP43" s="452">
        <v>18742500</v>
      </c>
      <c r="EQ43" s="452">
        <v>18742500</v>
      </c>
      <c r="ER43" s="452">
        <v>18742500</v>
      </c>
      <c r="ES43" s="452">
        <v>18742500</v>
      </c>
      <c r="ET43" s="452">
        <v>18742500</v>
      </c>
      <c r="EU43" s="452">
        <v>18742500</v>
      </c>
      <c r="EV43" s="452">
        <v>18742500</v>
      </c>
      <c r="EW43" s="452">
        <v>18742500</v>
      </c>
      <c r="EX43" s="452">
        <v>18742500</v>
      </c>
      <c r="EY43" s="452">
        <v>18742500</v>
      </c>
      <c r="EZ43" s="452">
        <v>18742500</v>
      </c>
      <c r="FA43" s="452">
        <v>18742500</v>
      </c>
      <c r="FB43" s="452">
        <v>18742500</v>
      </c>
      <c r="FC43" s="452">
        <v>18742500</v>
      </c>
      <c r="FD43" s="452">
        <v>18742500</v>
      </c>
      <c r="FE43" s="452">
        <v>18742500</v>
      </c>
      <c r="FF43" s="452">
        <v>18742500</v>
      </c>
      <c r="FG43" s="452">
        <v>18742500</v>
      </c>
      <c r="FH43" s="452">
        <v>18742500</v>
      </c>
      <c r="FI43" s="452">
        <v>18742500</v>
      </c>
      <c r="FJ43" s="452">
        <v>18742500</v>
      </c>
      <c r="FK43" s="452">
        <v>18742500</v>
      </c>
      <c r="FL43" s="452">
        <v>18742500</v>
      </c>
      <c r="FM43" s="452">
        <v>18742500</v>
      </c>
      <c r="FN43" s="452">
        <v>18742500</v>
      </c>
      <c r="FO43" s="452">
        <v>18742500</v>
      </c>
      <c r="FP43" s="452">
        <v>18742500</v>
      </c>
      <c r="FQ43" s="452">
        <v>18742500</v>
      </c>
      <c r="FR43" s="452">
        <v>18742500</v>
      </c>
      <c r="FS43" s="452">
        <v>18742500</v>
      </c>
      <c r="FT43" s="452">
        <v>18742500</v>
      </c>
      <c r="FU43" s="452">
        <v>18742500</v>
      </c>
      <c r="FV43" s="452">
        <v>18742500</v>
      </c>
      <c r="FW43" s="452">
        <v>0</v>
      </c>
      <c r="FX43" s="452">
        <v>0</v>
      </c>
      <c r="FY43" s="452">
        <v>0</v>
      </c>
      <c r="FZ43" s="452">
        <v>0</v>
      </c>
      <c r="GA43" s="452">
        <v>0</v>
      </c>
      <c r="GB43" s="452">
        <v>0</v>
      </c>
      <c r="GC43" s="452">
        <v>0</v>
      </c>
      <c r="GD43" s="452">
        <v>0</v>
      </c>
      <c r="GE43" s="452">
        <v>0</v>
      </c>
      <c r="GF43" s="452">
        <v>0</v>
      </c>
      <c r="GG43" s="452">
        <v>0</v>
      </c>
      <c r="GH43" s="452">
        <v>0</v>
      </c>
      <c r="GI43" s="452">
        <v>0</v>
      </c>
      <c r="GJ43" s="452">
        <v>0</v>
      </c>
      <c r="GK43" s="452">
        <v>0</v>
      </c>
      <c r="GL43" s="451">
        <v>18742500</v>
      </c>
      <c r="GM43" s="452">
        <v>18742500</v>
      </c>
      <c r="GN43" s="452">
        <v>18742500</v>
      </c>
      <c r="GO43" s="452">
        <v>18742500</v>
      </c>
      <c r="GP43" s="452">
        <v>18742500</v>
      </c>
      <c r="GQ43" s="452">
        <v>18742500</v>
      </c>
      <c r="GR43" s="452">
        <v>18742500</v>
      </c>
      <c r="GS43" s="452">
        <v>18742500</v>
      </c>
      <c r="GT43" s="452">
        <v>18742500</v>
      </c>
      <c r="GU43" s="452">
        <v>18742500</v>
      </c>
      <c r="GV43" s="452">
        <v>18742500</v>
      </c>
      <c r="GW43" s="452">
        <v>18742500</v>
      </c>
      <c r="GX43" s="452">
        <v>18742500</v>
      </c>
      <c r="GY43" s="452">
        <v>18742500</v>
      </c>
      <c r="GZ43" s="452">
        <v>18742500</v>
      </c>
      <c r="HA43" s="452">
        <v>18742500</v>
      </c>
      <c r="HB43" s="452">
        <v>18742500</v>
      </c>
      <c r="HC43" s="452">
        <v>18742500</v>
      </c>
      <c r="HD43" s="452">
        <v>18742500</v>
      </c>
      <c r="HE43" s="452">
        <v>18742500</v>
      </c>
      <c r="HF43" s="452">
        <v>18742500</v>
      </c>
      <c r="HG43" s="452">
        <v>18742500</v>
      </c>
      <c r="HH43" s="452">
        <v>18742500</v>
      </c>
      <c r="HI43" s="452">
        <v>18742500</v>
      </c>
      <c r="HJ43" s="452">
        <v>18742500</v>
      </c>
      <c r="HK43" s="452">
        <v>18742500</v>
      </c>
      <c r="HL43" s="452">
        <v>18742500</v>
      </c>
      <c r="HM43" s="452">
        <v>18742500</v>
      </c>
      <c r="HN43" s="452">
        <v>18742500</v>
      </c>
      <c r="HO43" s="452">
        <v>18742500</v>
      </c>
      <c r="HP43" s="452">
        <v>18742500</v>
      </c>
      <c r="HQ43" s="452">
        <v>18742500</v>
      </c>
      <c r="HR43" s="452">
        <v>18742500</v>
      </c>
      <c r="HS43" s="452">
        <v>18742500</v>
      </c>
      <c r="HT43" s="452">
        <v>18742500</v>
      </c>
      <c r="HU43" s="452">
        <v>18742500</v>
      </c>
      <c r="HV43" s="452">
        <v>18742500</v>
      </c>
      <c r="HW43" s="452">
        <v>18742500</v>
      </c>
      <c r="HX43" s="452">
        <v>18742500</v>
      </c>
      <c r="HY43" s="452">
        <v>18742500</v>
      </c>
      <c r="HZ43" s="452">
        <v>18742500</v>
      </c>
      <c r="IA43" s="452">
        <v>18742500</v>
      </c>
      <c r="IB43" s="452">
        <v>18742500</v>
      </c>
      <c r="IC43" s="452">
        <v>18742500</v>
      </c>
      <c r="ID43" s="452">
        <v>18742500</v>
      </c>
      <c r="IE43" s="452">
        <v>18742500</v>
      </c>
      <c r="IF43" s="452">
        <v>18742500</v>
      </c>
      <c r="IG43" s="452">
        <v>18742500</v>
      </c>
      <c r="IH43" s="452">
        <v>18742500</v>
      </c>
      <c r="II43" s="452">
        <v>18742500</v>
      </c>
      <c r="IJ43" s="452">
        <v>18742500</v>
      </c>
      <c r="IK43" s="452">
        <v>18742500</v>
      </c>
      <c r="IL43" s="452">
        <v>18742500</v>
      </c>
      <c r="IM43" s="452">
        <v>18742500</v>
      </c>
      <c r="IN43" s="452">
        <v>18742500</v>
      </c>
      <c r="IO43" s="452">
        <v>18742500</v>
      </c>
      <c r="IP43" s="452">
        <v>18742500</v>
      </c>
      <c r="IQ43" s="452">
        <v>18742500</v>
      </c>
      <c r="IR43" s="452">
        <v>18742500</v>
      </c>
      <c r="IS43" s="452">
        <v>18742500</v>
      </c>
      <c r="IT43" s="452">
        <v>18742500</v>
      </c>
      <c r="IU43" s="452">
        <v>18742500</v>
      </c>
      <c r="IV43" s="452">
        <v>18742500</v>
      </c>
      <c r="IW43" s="452">
        <v>18742500</v>
      </c>
      <c r="IX43" s="452">
        <v>18742500</v>
      </c>
      <c r="IY43" s="452">
        <v>18742500</v>
      </c>
      <c r="IZ43" s="452">
        <v>18742500</v>
      </c>
      <c r="JA43" s="452">
        <v>18742500</v>
      </c>
      <c r="JB43" s="452">
        <v>18742500</v>
      </c>
      <c r="JC43" s="452">
        <v>18742500</v>
      </c>
      <c r="JD43" s="452">
        <v>18742500</v>
      </c>
      <c r="JE43" s="452">
        <v>18742500</v>
      </c>
      <c r="JF43" s="452">
        <v>18742500</v>
      </c>
      <c r="JG43" s="452">
        <v>18742500</v>
      </c>
      <c r="JH43" s="452">
        <v>18742500</v>
      </c>
      <c r="JI43" s="452">
        <v>18742500</v>
      </c>
      <c r="JJ43" s="452">
        <v>18742500</v>
      </c>
      <c r="JK43" s="452">
        <v>18742500</v>
      </c>
      <c r="JL43" s="452">
        <v>18742500</v>
      </c>
      <c r="JM43" s="452">
        <v>18742500</v>
      </c>
      <c r="JN43" s="452">
        <v>18742500</v>
      </c>
      <c r="JO43" s="452">
        <v>18742500</v>
      </c>
      <c r="JP43" s="452">
        <v>18742500</v>
      </c>
      <c r="JQ43" s="452">
        <v>18742500</v>
      </c>
      <c r="JR43" s="452">
        <v>18742500</v>
      </c>
      <c r="JS43" s="452">
        <v>18742500</v>
      </c>
      <c r="JT43" s="452">
        <v>18742500</v>
      </c>
      <c r="JU43" s="452">
        <v>18742500</v>
      </c>
      <c r="JV43" s="452">
        <v>18742500</v>
      </c>
      <c r="JW43" s="452">
        <v>18742500</v>
      </c>
      <c r="JX43" s="452">
        <v>18742500</v>
      </c>
      <c r="JY43" s="452">
        <v>18742500</v>
      </c>
      <c r="JZ43" s="452">
        <v>18742500</v>
      </c>
      <c r="KA43" s="452">
        <v>18742500</v>
      </c>
      <c r="KB43" s="452">
        <v>18742500</v>
      </c>
      <c r="KC43" s="452">
        <v>18742500</v>
      </c>
      <c r="KD43" s="452">
        <v>18742500</v>
      </c>
      <c r="KE43" s="452">
        <v>18742500</v>
      </c>
      <c r="KF43" s="452">
        <v>18742500</v>
      </c>
      <c r="KG43" s="452">
        <v>18742500</v>
      </c>
      <c r="KH43" s="452">
        <v>18742500</v>
      </c>
      <c r="KI43" s="452">
        <v>18742500</v>
      </c>
      <c r="KJ43" s="452">
        <v>18742500</v>
      </c>
      <c r="KK43" s="452">
        <v>18742500</v>
      </c>
      <c r="KL43" s="452">
        <v>18742500</v>
      </c>
      <c r="KM43" s="452">
        <v>18742500</v>
      </c>
      <c r="KN43" s="452">
        <v>18742500</v>
      </c>
      <c r="KO43" s="452">
        <v>18742500</v>
      </c>
      <c r="KP43" s="452">
        <v>18742500</v>
      </c>
      <c r="KQ43" s="452">
        <v>18742500</v>
      </c>
      <c r="KR43" s="452">
        <v>18742500</v>
      </c>
      <c r="KS43" s="452">
        <v>18742500</v>
      </c>
      <c r="KT43" s="452">
        <v>18742500</v>
      </c>
      <c r="KU43" s="452">
        <v>18742500</v>
      </c>
      <c r="KV43" s="452">
        <v>18742500</v>
      </c>
      <c r="KW43" s="452">
        <v>18742500</v>
      </c>
      <c r="KX43" s="452">
        <v>18742500</v>
      </c>
      <c r="KY43" s="452"/>
      <c r="KZ43" s="451"/>
      <c r="LA43" s="551"/>
    </row>
  </sheetData>
  <phoneticPr fontId="1" type="noConversion"/>
  <conditionalFormatting sqref="A5:AT41 J42:L43 AV5:AW43">
    <cfRule type="expression" dxfId="84" priority="14">
      <formula>OR($D5="MA",$D5="운영")</formula>
    </cfRule>
  </conditionalFormatting>
  <conditionalFormatting sqref="AJ43:AT43">
    <cfRule type="expression" dxfId="83" priority="1">
      <formula>OR($D43="MA",$D43="운영")</formula>
    </cfRule>
  </conditionalFormatting>
  <hyperlinks>
    <hyperlink ref="A1" location="HOME!A1" display="HOME"/>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9701" r:id="rId4" name="OptionButton2">
          <controlPr defaultSize="0" autoFill="0" autoLine="0" r:id="rId5">
            <anchor moveWithCells="1">
              <from>
                <xdr:col>193</xdr:col>
                <xdr:colOff>0</xdr:colOff>
                <xdr:row>0</xdr:row>
                <xdr:rowOff>0</xdr:rowOff>
              </from>
              <to>
                <xdr:col>194</xdr:col>
                <xdr:colOff>449580</xdr:colOff>
                <xdr:row>1</xdr:row>
                <xdr:rowOff>121920</xdr:rowOff>
              </to>
            </anchor>
          </controlPr>
        </control>
      </mc:Choice>
      <mc:Fallback>
        <control shapeId="29701" r:id="rId4" name="OptionButton2"/>
      </mc:Fallback>
    </mc:AlternateContent>
    <mc:AlternateContent xmlns:mc="http://schemas.openxmlformats.org/markup-compatibility/2006">
      <mc:Choice Requires="x14">
        <control shapeId="29700" r:id="rId6" name="OptionButton1">
          <controlPr defaultSize="0" disabled="1" autoFill="0" autoLine="0" r:id="rId7">
            <anchor moveWithCells="1">
              <from>
                <xdr:col>193</xdr:col>
                <xdr:colOff>0</xdr:colOff>
                <xdr:row>0</xdr:row>
                <xdr:rowOff>76200</xdr:rowOff>
              </from>
              <to>
                <xdr:col>194</xdr:col>
                <xdr:colOff>487680</xdr:colOff>
                <xdr:row>1</xdr:row>
                <xdr:rowOff>144780</xdr:rowOff>
              </to>
            </anchor>
          </controlPr>
        </control>
      </mc:Choice>
      <mc:Fallback>
        <control shapeId="29700" r:id="rId6" name="OptionButton1"/>
      </mc:Fallback>
    </mc:AlternateContent>
    <mc:AlternateContent xmlns:mc="http://schemas.openxmlformats.org/markup-compatibility/2006">
      <mc:Choice Requires="x14">
        <control shapeId="29697" r:id="rId8" name="cmd_BL인건비">
          <controlPr defaultSize="0" autoFill="0" autoLine="0" r:id="rId9">
            <anchor moveWithCells="1">
              <from>
                <xdr:col>3</xdr:col>
                <xdr:colOff>175260</xdr:colOff>
                <xdr:row>0</xdr:row>
                <xdr:rowOff>0</xdr:rowOff>
              </from>
              <to>
                <xdr:col>3</xdr:col>
                <xdr:colOff>1089660</xdr:colOff>
                <xdr:row>1</xdr:row>
                <xdr:rowOff>83820</xdr:rowOff>
              </to>
            </anchor>
          </controlPr>
        </control>
      </mc:Choice>
      <mc:Fallback>
        <control shapeId="29697" r:id="rId8" name="cmd_BL인건비"/>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2_Sheet">
    <tabColor theme="9" tint="0.39997558519241921"/>
  </sheetPr>
  <dimension ref="A1:GL44"/>
  <sheetViews>
    <sheetView showGridLines="0" topLeftCell="L10" zoomScale="70" zoomScaleNormal="70" workbookViewId="0">
      <selection activeCell="J5" sqref="J5:J44"/>
    </sheetView>
  </sheetViews>
  <sheetFormatPr defaultRowHeight="17.399999999999999"/>
  <cols>
    <col min="1" max="1" width="12" bestFit="1" customWidth="1"/>
    <col min="2" max="2" width="9.09765625" bestFit="1" customWidth="1"/>
    <col min="3" max="3" width="7.59765625" style="42" customWidth="1"/>
    <col min="4" max="4" width="17.69921875" bestFit="1" customWidth="1"/>
    <col min="5" max="5" width="16.09765625" bestFit="1" customWidth="1"/>
    <col min="6" max="6" width="7.19921875" bestFit="1" customWidth="1"/>
    <col min="7" max="7" width="17.69921875" bestFit="1" customWidth="1"/>
    <col min="8" max="8" width="16.09765625" bestFit="1" customWidth="1"/>
    <col min="9" max="9" width="5.8984375" customWidth="1"/>
    <col min="10" max="10" width="7.59765625" customWidth="1"/>
    <col min="11" max="11" width="6.8984375" customWidth="1"/>
    <col min="12" max="12" width="8.69921875" bestFit="1" customWidth="1"/>
    <col min="13" max="21" width="9.5" customWidth="1"/>
    <col min="22" max="23" width="10.5" customWidth="1"/>
    <col min="24" max="24" width="11.19921875" customWidth="1"/>
    <col min="25" max="34" width="13.19921875" bestFit="1" customWidth="1"/>
    <col min="35" max="35" width="10.5" customWidth="1"/>
    <col min="36" max="44" width="7.796875" customWidth="1"/>
    <col min="45" max="46" width="8.796875" customWidth="1"/>
    <col min="47" max="47" width="6.19921875" bestFit="1" customWidth="1"/>
    <col min="48" max="48" width="7.59765625" customWidth="1"/>
    <col min="49" max="49" width="5.8984375" customWidth="1"/>
    <col min="50" max="50" width="16.09765625" bestFit="1" customWidth="1"/>
    <col min="51" max="60" width="15" bestFit="1" customWidth="1"/>
    <col min="61" max="61" width="5.5" customWidth="1"/>
    <col min="62" max="93" width="13.19921875" bestFit="1" customWidth="1"/>
    <col min="94" max="145" width="13.8984375" bestFit="1" customWidth="1"/>
    <col min="146" max="181" width="13.19921875" bestFit="1" customWidth="1"/>
    <col min="182" max="190" width="8.796875" customWidth="1"/>
    <col min="191" max="193" width="9.796875" customWidth="1"/>
  </cols>
  <sheetData>
    <row r="1" spans="1:194" ht="30" customHeight="1" thickBot="1">
      <c r="A1" s="70" t="s">
        <v>279</v>
      </c>
    </row>
    <row r="2" spans="1:194" ht="30" customHeight="1">
      <c r="A2" s="71" t="s">
        <v>287</v>
      </c>
      <c r="M2" s="525">
        <f>SUBTOTAL(9,M5:M100)</f>
        <v>167.25000000000011</v>
      </c>
      <c r="N2" s="525">
        <f t="shared" ref="N2:W2" si="0">SUBTOTAL(9,N5:N100)</f>
        <v>180.00000000000011</v>
      </c>
      <c r="O2" s="525">
        <f t="shared" si="0"/>
        <v>180.00000000000006</v>
      </c>
      <c r="P2" s="525">
        <f t="shared" si="0"/>
        <v>180.00000000000006</v>
      </c>
      <c r="Q2" s="525">
        <f t="shared" si="0"/>
        <v>180.00000000000006</v>
      </c>
      <c r="R2" s="525">
        <f t="shared" si="0"/>
        <v>180.00000000000006</v>
      </c>
      <c r="S2" s="525">
        <f t="shared" si="0"/>
        <v>180.00000000000006</v>
      </c>
      <c r="T2" s="525">
        <f t="shared" si="0"/>
        <v>180.00000000000006</v>
      </c>
      <c r="U2" s="525">
        <f t="shared" si="0"/>
        <v>180.00000000000006</v>
      </c>
      <c r="V2" s="525">
        <f t="shared" si="0"/>
        <v>180.00000000000006</v>
      </c>
      <c r="W2" s="525">
        <f t="shared" si="0"/>
        <v>0</v>
      </c>
      <c r="Y2" s="526">
        <f>SUBTOTAL(9,Y5:Y100)</f>
        <v>133160268.35279848</v>
      </c>
      <c r="Z2" s="526">
        <f t="shared" ref="Z2:AI2" si="1">SUBTOTAL(9,Z5:Z100)</f>
        <v>140291098.74111179</v>
      </c>
      <c r="AA2" s="526">
        <f t="shared" si="1"/>
        <v>143026966.59948438</v>
      </c>
      <c r="AB2" s="526">
        <f t="shared" si="1"/>
        <v>145832081.3526119</v>
      </c>
      <c r="AC2" s="526">
        <f t="shared" si="1"/>
        <v>148708195.69202834</v>
      </c>
      <c r="AD2" s="526">
        <f t="shared" si="1"/>
        <v>151657106.67122233</v>
      </c>
      <c r="AE2" s="526">
        <f t="shared" si="1"/>
        <v>154680656.82847202</v>
      </c>
      <c r="AF2" s="526">
        <f t="shared" si="1"/>
        <v>157780735.33809993</v>
      </c>
      <c r="AG2" s="526">
        <f t="shared" si="1"/>
        <v>160959279.19086596</v>
      </c>
      <c r="AH2" s="526">
        <f t="shared" si="1"/>
        <v>164218274.404239</v>
      </c>
      <c r="AI2" s="526">
        <f t="shared" si="1"/>
        <v>0</v>
      </c>
      <c r="AX2" s="473">
        <f t="shared" ref="AX2:DI2" si="2">SUBTOTAL(9,AX5:AX100)</f>
        <v>63392067401.746803</v>
      </c>
      <c r="AY2" s="466">
        <f t="shared" si="2"/>
        <v>4756311842.1391344</v>
      </c>
      <c r="AZ2" s="466">
        <f t="shared" si="2"/>
        <v>5920424521.2232151</v>
      </c>
      <c r="BA2" s="466">
        <f t="shared" si="2"/>
        <v>6060494887.7140083</v>
      </c>
      <c r="BB2" s="466">
        <f t="shared" si="2"/>
        <v>6204110541.6341639</v>
      </c>
      <c r="BC2" s="466">
        <f t="shared" si="2"/>
        <v>6351361216.9029379</v>
      </c>
      <c r="BD2" s="466">
        <f t="shared" si="2"/>
        <v>6502338918.673275</v>
      </c>
      <c r="BE2" s="466">
        <f t="shared" si="2"/>
        <v>6657137980.8184748</v>
      </c>
      <c r="BF2" s="466">
        <f t="shared" si="2"/>
        <v>6815855124.8738556</v>
      </c>
      <c r="BG2" s="466">
        <f t="shared" si="2"/>
        <v>6978589520.4703064</v>
      </c>
      <c r="BH2" s="466">
        <f t="shared" si="2"/>
        <v>7145442847.2974424</v>
      </c>
      <c r="BI2" s="466">
        <f t="shared" si="2"/>
        <v>0</v>
      </c>
      <c r="BJ2" s="467">
        <f t="shared" si="2"/>
        <v>245734052.36322343</v>
      </c>
      <c r="BK2" s="467">
        <f t="shared" si="2"/>
        <v>245734052.36322343</v>
      </c>
      <c r="BL2" s="467">
        <f t="shared" si="2"/>
        <v>245734052.36322343</v>
      </c>
      <c r="BM2" s="467">
        <f t="shared" si="2"/>
        <v>446567742.78327358</v>
      </c>
      <c r="BN2" s="467">
        <f t="shared" si="2"/>
        <v>446567742.78327358</v>
      </c>
      <c r="BO2" s="467">
        <f t="shared" si="2"/>
        <v>446567742.78327358</v>
      </c>
      <c r="BP2" s="467">
        <f t="shared" si="2"/>
        <v>446567742.78327358</v>
      </c>
      <c r="BQ2" s="467">
        <f t="shared" si="2"/>
        <v>446567742.78327358</v>
      </c>
      <c r="BR2" s="467">
        <f t="shared" si="2"/>
        <v>446567742.78327358</v>
      </c>
      <c r="BS2" s="467">
        <f t="shared" si="2"/>
        <v>446567742.78327358</v>
      </c>
      <c r="BT2" s="467">
        <f t="shared" si="2"/>
        <v>446567742.78327358</v>
      </c>
      <c r="BU2" s="467">
        <f t="shared" si="2"/>
        <v>446567742.78327358</v>
      </c>
      <c r="BV2" s="466">
        <f t="shared" si="2"/>
        <v>493368710.10193431</v>
      </c>
      <c r="BW2" s="466">
        <f t="shared" si="2"/>
        <v>493368710.10193431</v>
      </c>
      <c r="BX2" s="466">
        <f t="shared" si="2"/>
        <v>493368710.10193431</v>
      </c>
      <c r="BY2" s="466">
        <f t="shared" si="2"/>
        <v>493368710.10193431</v>
      </c>
      <c r="BZ2" s="466">
        <f t="shared" si="2"/>
        <v>493368710.10193431</v>
      </c>
      <c r="CA2" s="466">
        <f t="shared" si="2"/>
        <v>493368710.10193431</v>
      </c>
      <c r="CB2" s="466">
        <f t="shared" si="2"/>
        <v>493368710.10193431</v>
      </c>
      <c r="CC2" s="466">
        <f t="shared" si="2"/>
        <v>493368710.10193431</v>
      </c>
      <c r="CD2" s="466">
        <f t="shared" si="2"/>
        <v>493368710.10193431</v>
      </c>
      <c r="CE2" s="466">
        <f t="shared" si="2"/>
        <v>493368710.10193431</v>
      </c>
      <c r="CF2" s="466">
        <f t="shared" si="2"/>
        <v>493368710.10193431</v>
      </c>
      <c r="CG2" s="466">
        <f t="shared" si="2"/>
        <v>493368710.10193431</v>
      </c>
      <c r="CH2" s="467">
        <f t="shared" si="2"/>
        <v>505041240.64283389</v>
      </c>
      <c r="CI2" s="467">
        <f t="shared" si="2"/>
        <v>505041240.64283389</v>
      </c>
      <c r="CJ2" s="467">
        <f t="shared" si="2"/>
        <v>505041240.64283389</v>
      </c>
      <c r="CK2" s="467">
        <f t="shared" si="2"/>
        <v>505041240.64283389</v>
      </c>
      <c r="CL2" s="467">
        <f t="shared" si="2"/>
        <v>505041240.64283389</v>
      </c>
      <c r="CM2" s="467">
        <f t="shared" si="2"/>
        <v>505041240.64283389</v>
      </c>
      <c r="CN2" s="467">
        <f t="shared" si="2"/>
        <v>505041240.64283389</v>
      </c>
      <c r="CO2" s="467">
        <f t="shared" si="2"/>
        <v>505041240.64283389</v>
      </c>
      <c r="CP2" s="467">
        <f t="shared" si="2"/>
        <v>505041240.64283389</v>
      </c>
      <c r="CQ2" s="467">
        <f t="shared" si="2"/>
        <v>505041240.64283389</v>
      </c>
      <c r="CR2" s="467">
        <f t="shared" si="2"/>
        <v>505041240.64283389</v>
      </c>
      <c r="CS2" s="467">
        <f t="shared" si="2"/>
        <v>505041240.64283389</v>
      </c>
      <c r="CT2" s="466">
        <f t="shared" si="2"/>
        <v>517009211.80284715</v>
      </c>
      <c r="CU2" s="466">
        <f t="shared" si="2"/>
        <v>517009211.80284715</v>
      </c>
      <c r="CV2" s="466">
        <f t="shared" si="2"/>
        <v>517009211.80284715</v>
      </c>
      <c r="CW2" s="466">
        <f t="shared" si="2"/>
        <v>517009211.80284715</v>
      </c>
      <c r="CX2" s="466">
        <f t="shared" si="2"/>
        <v>517009211.80284715</v>
      </c>
      <c r="CY2" s="466">
        <f t="shared" si="2"/>
        <v>517009211.80284715</v>
      </c>
      <c r="CZ2" s="466">
        <f t="shared" si="2"/>
        <v>517009211.80284715</v>
      </c>
      <c r="DA2" s="466">
        <f t="shared" si="2"/>
        <v>517009211.80284715</v>
      </c>
      <c r="DB2" s="466">
        <f t="shared" si="2"/>
        <v>517009211.80284715</v>
      </c>
      <c r="DC2" s="466">
        <f t="shared" si="2"/>
        <v>517009211.80284715</v>
      </c>
      <c r="DD2" s="466">
        <f t="shared" si="2"/>
        <v>517009211.80284715</v>
      </c>
      <c r="DE2" s="466">
        <f t="shared" si="2"/>
        <v>517009211.80284715</v>
      </c>
      <c r="DF2" s="467">
        <f t="shared" si="2"/>
        <v>529280101.40857786</v>
      </c>
      <c r="DG2" s="467">
        <f t="shared" si="2"/>
        <v>529280101.40857786</v>
      </c>
      <c r="DH2" s="467">
        <f t="shared" si="2"/>
        <v>529280101.40857786</v>
      </c>
      <c r="DI2" s="467">
        <f t="shared" si="2"/>
        <v>529280101.40857786</v>
      </c>
      <c r="DJ2" s="467">
        <f t="shared" ref="DJ2:FU2" si="3">SUBTOTAL(9,DJ5:DJ100)</f>
        <v>529280101.40857786</v>
      </c>
      <c r="DK2" s="467">
        <f t="shared" si="3"/>
        <v>529280101.40857786</v>
      </c>
      <c r="DL2" s="467">
        <f t="shared" si="3"/>
        <v>529280101.40857786</v>
      </c>
      <c r="DM2" s="467">
        <f t="shared" si="3"/>
        <v>529280101.40857786</v>
      </c>
      <c r="DN2" s="467">
        <f t="shared" si="3"/>
        <v>529280101.40857786</v>
      </c>
      <c r="DO2" s="467">
        <f t="shared" si="3"/>
        <v>529280101.40857786</v>
      </c>
      <c r="DP2" s="467">
        <f t="shared" si="3"/>
        <v>529280101.40857786</v>
      </c>
      <c r="DQ2" s="467">
        <f t="shared" si="3"/>
        <v>529280101.40857786</v>
      </c>
      <c r="DR2" s="466">
        <f t="shared" si="3"/>
        <v>541861576.55610609</v>
      </c>
      <c r="DS2" s="466">
        <f t="shared" si="3"/>
        <v>541861576.55610609</v>
      </c>
      <c r="DT2" s="466">
        <f t="shared" si="3"/>
        <v>541861576.55610609</v>
      </c>
      <c r="DU2" s="466">
        <f t="shared" si="3"/>
        <v>541861576.55610609</v>
      </c>
      <c r="DV2" s="466">
        <f t="shared" si="3"/>
        <v>541861576.55610609</v>
      </c>
      <c r="DW2" s="466">
        <f t="shared" si="3"/>
        <v>541861576.55610609</v>
      </c>
      <c r="DX2" s="466">
        <f t="shared" si="3"/>
        <v>541861576.55610609</v>
      </c>
      <c r="DY2" s="466">
        <f t="shared" si="3"/>
        <v>541861576.55610609</v>
      </c>
      <c r="DZ2" s="466">
        <f t="shared" si="3"/>
        <v>541861576.55610609</v>
      </c>
      <c r="EA2" s="466">
        <f t="shared" si="3"/>
        <v>541861576.55610609</v>
      </c>
      <c r="EB2" s="466">
        <f t="shared" si="3"/>
        <v>541861576.55610609</v>
      </c>
      <c r="EC2" s="466">
        <f t="shared" si="3"/>
        <v>541861576.55610609</v>
      </c>
      <c r="ED2" s="467">
        <f t="shared" si="3"/>
        <v>554761498.40153956</v>
      </c>
      <c r="EE2" s="467">
        <f t="shared" si="3"/>
        <v>554761498.40153956</v>
      </c>
      <c r="EF2" s="467">
        <f t="shared" si="3"/>
        <v>554761498.40153956</v>
      </c>
      <c r="EG2" s="467">
        <f t="shared" si="3"/>
        <v>554761498.40153956</v>
      </c>
      <c r="EH2" s="467">
        <f t="shared" si="3"/>
        <v>554761498.40153956</v>
      </c>
      <c r="EI2" s="467">
        <f t="shared" si="3"/>
        <v>554761498.40153956</v>
      </c>
      <c r="EJ2" s="467">
        <f t="shared" si="3"/>
        <v>554761498.40153956</v>
      </c>
      <c r="EK2" s="467">
        <f t="shared" si="3"/>
        <v>554761498.40153956</v>
      </c>
      <c r="EL2" s="467">
        <f t="shared" si="3"/>
        <v>554761498.40153956</v>
      </c>
      <c r="EM2" s="467">
        <f t="shared" si="3"/>
        <v>554761498.40153956</v>
      </c>
      <c r="EN2" s="467">
        <f t="shared" si="3"/>
        <v>554761498.40153956</v>
      </c>
      <c r="EO2" s="467">
        <f t="shared" si="3"/>
        <v>554761498.40153956</v>
      </c>
      <c r="EP2" s="466">
        <f t="shared" si="3"/>
        <v>567987927.07282114</v>
      </c>
      <c r="EQ2" s="466">
        <f t="shared" si="3"/>
        <v>567987927.07282114</v>
      </c>
      <c r="ER2" s="466">
        <f t="shared" si="3"/>
        <v>567987927.07282114</v>
      </c>
      <c r="ES2" s="466">
        <f t="shared" si="3"/>
        <v>567987927.07282114</v>
      </c>
      <c r="ET2" s="466">
        <f t="shared" si="3"/>
        <v>567987927.07282114</v>
      </c>
      <c r="EU2" s="466">
        <f t="shared" si="3"/>
        <v>567987927.07282114</v>
      </c>
      <c r="EV2" s="466">
        <f t="shared" si="3"/>
        <v>567987927.07282114</v>
      </c>
      <c r="EW2" s="466">
        <f t="shared" si="3"/>
        <v>567987927.07282114</v>
      </c>
      <c r="EX2" s="466">
        <f t="shared" si="3"/>
        <v>567987927.07282114</v>
      </c>
      <c r="EY2" s="466">
        <f t="shared" si="3"/>
        <v>567987927.07282114</v>
      </c>
      <c r="EZ2" s="466">
        <f t="shared" si="3"/>
        <v>567987927.07282114</v>
      </c>
      <c r="FA2" s="466">
        <f t="shared" si="3"/>
        <v>567987927.07282114</v>
      </c>
      <c r="FB2" s="467">
        <f t="shared" si="3"/>
        <v>581549126.70585895</v>
      </c>
      <c r="FC2" s="467">
        <f t="shared" si="3"/>
        <v>581549126.70585895</v>
      </c>
      <c r="FD2" s="467">
        <f t="shared" si="3"/>
        <v>581549126.70585895</v>
      </c>
      <c r="FE2" s="467">
        <f t="shared" si="3"/>
        <v>581549126.70585895</v>
      </c>
      <c r="FF2" s="467">
        <f t="shared" si="3"/>
        <v>581549126.70585895</v>
      </c>
      <c r="FG2" s="467">
        <f t="shared" si="3"/>
        <v>581549126.70585895</v>
      </c>
      <c r="FH2" s="467">
        <f t="shared" si="3"/>
        <v>581549126.70585895</v>
      </c>
      <c r="FI2" s="467">
        <f t="shared" si="3"/>
        <v>581549126.70585895</v>
      </c>
      <c r="FJ2" s="467">
        <f t="shared" si="3"/>
        <v>581549126.70585895</v>
      </c>
      <c r="FK2" s="467">
        <f t="shared" si="3"/>
        <v>581549126.70585895</v>
      </c>
      <c r="FL2" s="467">
        <f t="shared" si="3"/>
        <v>581549126.70585895</v>
      </c>
      <c r="FM2" s="467">
        <f t="shared" si="3"/>
        <v>581549126.70585895</v>
      </c>
      <c r="FN2" s="466">
        <f t="shared" si="3"/>
        <v>595453570.60812044</v>
      </c>
      <c r="FO2" s="466">
        <f t="shared" si="3"/>
        <v>595453570.60812044</v>
      </c>
      <c r="FP2" s="466">
        <f t="shared" si="3"/>
        <v>595453570.60812044</v>
      </c>
      <c r="FQ2" s="466">
        <f t="shared" si="3"/>
        <v>595453570.60812044</v>
      </c>
      <c r="FR2" s="466">
        <f t="shared" si="3"/>
        <v>595453570.60812044</v>
      </c>
      <c r="FS2" s="466">
        <f t="shared" si="3"/>
        <v>595453570.60812044</v>
      </c>
      <c r="FT2" s="466">
        <f t="shared" si="3"/>
        <v>595453570.60812044</v>
      </c>
      <c r="FU2" s="466">
        <f t="shared" si="3"/>
        <v>595453570.60812044</v>
      </c>
      <c r="FV2" s="466">
        <f t="shared" ref="FV2:GK2" si="4">SUBTOTAL(9,FV5:FV100)</f>
        <v>595453570.60812044</v>
      </c>
      <c r="FW2" s="466">
        <f t="shared" si="4"/>
        <v>595453570.60812044</v>
      </c>
      <c r="FX2" s="466">
        <f t="shared" si="4"/>
        <v>595453570.60812044</v>
      </c>
      <c r="FY2" s="466">
        <f t="shared" si="4"/>
        <v>595453570.60812044</v>
      </c>
      <c r="FZ2" s="467">
        <f t="shared" si="4"/>
        <v>0</v>
      </c>
      <c r="GA2" s="467">
        <f t="shared" si="4"/>
        <v>0</v>
      </c>
      <c r="GB2" s="467">
        <f t="shared" si="4"/>
        <v>0</v>
      </c>
      <c r="GC2" s="467">
        <f t="shared" si="4"/>
        <v>0</v>
      </c>
      <c r="GD2" s="467">
        <f t="shared" si="4"/>
        <v>0</v>
      </c>
      <c r="GE2" s="467">
        <f t="shared" si="4"/>
        <v>0</v>
      </c>
      <c r="GF2" s="467">
        <f t="shared" si="4"/>
        <v>0</v>
      </c>
      <c r="GG2" s="467">
        <f t="shared" si="4"/>
        <v>0</v>
      </c>
      <c r="GH2" s="467">
        <f t="shared" si="4"/>
        <v>0</v>
      </c>
      <c r="GI2" s="467">
        <f t="shared" si="4"/>
        <v>0</v>
      </c>
      <c r="GJ2" s="467">
        <f t="shared" si="4"/>
        <v>0</v>
      </c>
      <c r="GK2" s="468">
        <f t="shared" si="4"/>
        <v>0</v>
      </c>
    </row>
    <row r="3" spans="1:194" ht="18" thickBot="1"/>
    <row r="4" spans="1:194" s="1" customFormat="1" ht="23.25" customHeight="1">
      <c r="A4" s="527" t="s">
        <v>1242</v>
      </c>
      <c r="B4" s="525" t="s">
        <v>1243</v>
      </c>
      <c r="C4" s="525" t="s">
        <v>1244</v>
      </c>
      <c r="D4" s="525" t="s">
        <v>3</v>
      </c>
      <c r="E4" s="525" t="s">
        <v>1245</v>
      </c>
      <c r="F4" s="525" t="s">
        <v>1246</v>
      </c>
      <c r="G4" s="525" t="s">
        <v>1247</v>
      </c>
      <c r="H4" s="525" t="s">
        <v>1248</v>
      </c>
      <c r="I4" s="525" t="s">
        <v>151</v>
      </c>
      <c r="J4" s="525" t="s">
        <v>5</v>
      </c>
      <c r="K4" s="525" t="s">
        <v>154</v>
      </c>
      <c r="L4" s="525" t="s">
        <v>1249</v>
      </c>
      <c r="M4" s="525" t="s">
        <v>1250</v>
      </c>
      <c r="N4" s="525" t="s">
        <v>1251</v>
      </c>
      <c r="O4" s="525" t="s">
        <v>1252</v>
      </c>
      <c r="P4" s="525" t="s">
        <v>1253</v>
      </c>
      <c r="Q4" s="525" t="s">
        <v>1254</v>
      </c>
      <c r="R4" s="525" t="s">
        <v>1255</v>
      </c>
      <c r="S4" s="525" t="s">
        <v>1256</v>
      </c>
      <c r="T4" s="525" t="s">
        <v>1257</v>
      </c>
      <c r="U4" s="525" t="s">
        <v>1258</v>
      </c>
      <c r="V4" s="525" t="s">
        <v>1259</v>
      </c>
      <c r="W4" s="525" t="s">
        <v>1260</v>
      </c>
      <c r="X4" s="96" t="s">
        <v>174</v>
      </c>
      <c r="Y4" s="525" t="s">
        <v>175</v>
      </c>
      <c r="Z4" s="525" t="s">
        <v>1261</v>
      </c>
      <c r="AA4" s="525" t="s">
        <v>1262</v>
      </c>
      <c r="AB4" s="525" t="s">
        <v>1263</v>
      </c>
      <c r="AC4" s="525" t="s">
        <v>1264</v>
      </c>
      <c r="AD4" s="525" t="s">
        <v>1265</v>
      </c>
      <c r="AE4" s="525" t="s">
        <v>1266</v>
      </c>
      <c r="AF4" s="525" t="s">
        <v>1267</v>
      </c>
      <c r="AG4" s="525" t="s">
        <v>1268</v>
      </c>
      <c r="AH4" s="525" t="s">
        <v>1269</v>
      </c>
      <c r="AI4" s="525" t="s">
        <v>1239</v>
      </c>
      <c r="AJ4" s="96" t="s">
        <v>158</v>
      </c>
      <c r="AK4" s="96" t="s">
        <v>1270</v>
      </c>
      <c r="AL4" s="96" t="s">
        <v>1271</v>
      </c>
      <c r="AM4" s="96" t="s">
        <v>1272</v>
      </c>
      <c r="AN4" s="96" t="s">
        <v>1273</v>
      </c>
      <c r="AO4" s="96" t="s">
        <v>1274</v>
      </c>
      <c r="AP4" s="96" t="s">
        <v>1275</v>
      </c>
      <c r="AQ4" s="96" t="s">
        <v>1276</v>
      </c>
      <c r="AR4" s="96" t="s">
        <v>1277</v>
      </c>
      <c r="AS4" s="96" t="s">
        <v>1278</v>
      </c>
      <c r="AT4" s="96" t="s">
        <v>1279</v>
      </c>
      <c r="AU4" s="96" t="s">
        <v>155</v>
      </c>
      <c r="AV4" s="96" t="s">
        <v>156</v>
      </c>
      <c r="AW4" s="96" t="s">
        <v>16</v>
      </c>
      <c r="AX4" s="525" t="s">
        <v>1280</v>
      </c>
      <c r="AY4" s="525" t="s">
        <v>41</v>
      </c>
      <c r="AZ4" s="525" t="s">
        <v>139</v>
      </c>
      <c r="BA4" s="525" t="s">
        <v>140</v>
      </c>
      <c r="BB4" s="525" t="s">
        <v>141</v>
      </c>
      <c r="BC4" s="525" t="s">
        <v>1281</v>
      </c>
      <c r="BD4" s="525" t="s">
        <v>1282</v>
      </c>
      <c r="BE4" s="525" t="s">
        <v>1283</v>
      </c>
      <c r="BF4" s="525" t="s">
        <v>145</v>
      </c>
      <c r="BG4" s="525" t="s">
        <v>1284</v>
      </c>
      <c r="BH4" s="525" t="s">
        <v>1285</v>
      </c>
      <c r="BI4" s="525" t="s">
        <v>173</v>
      </c>
      <c r="BJ4" s="525" t="s">
        <v>17</v>
      </c>
      <c r="BK4" s="525" t="s">
        <v>1286</v>
      </c>
      <c r="BL4" s="525" t="s">
        <v>1287</v>
      </c>
      <c r="BM4" s="525" t="s">
        <v>1288</v>
      </c>
      <c r="BN4" s="525" t="s">
        <v>1289</v>
      </c>
      <c r="BO4" s="525" t="s">
        <v>1290</v>
      </c>
      <c r="BP4" s="525" t="s">
        <v>1291</v>
      </c>
      <c r="BQ4" s="525" t="s">
        <v>1292</v>
      </c>
      <c r="BR4" s="525" t="s">
        <v>1293</v>
      </c>
      <c r="BS4" s="525" t="s">
        <v>1294</v>
      </c>
      <c r="BT4" s="525" t="s">
        <v>1295</v>
      </c>
      <c r="BU4" s="525" t="s">
        <v>1296</v>
      </c>
      <c r="BV4" s="525" t="s">
        <v>1297</v>
      </c>
      <c r="BW4" s="525" t="s">
        <v>1298</v>
      </c>
      <c r="BX4" s="525" t="s">
        <v>1299</v>
      </c>
      <c r="BY4" s="525" t="s">
        <v>1300</v>
      </c>
      <c r="BZ4" s="525" t="s">
        <v>1301</v>
      </c>
      <c r="CA4" s="525" t="s">
        <v>1302</v>
      </c>
      <c r="CB4" s="525" t="s">
        <v>1303</v>
      </c>
      <c r="CC4" s="525" t="s">
        <v>1304</v>
      </c>
      <c r="CD4" s="525" t="s">
        <v>1305</v>
      </c>
      <c r="CE4" s="525" t="s">
        <v>1306</v>
      </c>
      <c r="CF4" s="525" t="s">
        <v>1307</v>
      </c>
      <c r="CG4" s="525" t="s">
        <v>1308</v>
      </c>
      <c r="CH4" s="525" t="s">
        <v>1309</v>
      </c>
      <c r="CI4" s="525" t="s">
        <v>1310</v>
      </c>
      <c r="CJ4" s="525" t="s">
        <v>1311</v>
      </c>
      <c r="CK4" s="525" t="s">
        <v>1312</v>
      </c>
      <c r="CL4" s="525" t="s">
        <v>1313</v>
      </c>
      <c r="CM4" s="525" t="s">
        <v>1314</v>
      </c>
      <c r="CN4" s="525" t="s">
        <v>1315</v>
      </c>
      <c r="CO4" s="525" t="s">
        <v>1316</v>
      </c>
      <c r="CP4" s="525" t="s">
        <v>1317</v>
      </c>
      <c r="CQ4" s="525" t="s">
        <v>1318</v>
      </c>
      <c r="CR4" s="525" t="s">
        <v>1319</v>
      </c>
      <c r="CS4" s="525" t="s">
        <v>1320</v>
      </c>
      <c r="CT4" s="525" t="s">
        <v>1321</v>
      </c>
      <c r="CU4" s="525" t="s">
        <v>1322</v>
      </c>
      <c r="CV4" s="525" t="s">
        <v>1323</v>
      </c>
      <c r="CW4" s="525" t="s">
        <v>1324</v>
      </c>
      <c r="CX4" s="525" t="s">
        <v>1325</v>
      </c>
      <c r="CY4" s="525" t="s">
        <v>1326</v>
      </c>
      <c r="CZ4" s="525" t="s">
        <v>1327</v>
      </c>
      <c r="DA4" s="525" t="s">
        <v>1328</v>
      </c>
      <c r="DB4" s="525" t="s">
        <v>1329</v>
      </c>
      <c r="DC4" s="525" t="s">
        <v>1330</v>
      </c>
      <c r="DD4" s="525" t="s">
        <v>1331</v>
      </c>
      <c r="DE4" s="525" t="s">
        <v>1332</v>
      </c>
      <c r="DF4" s="525" t="s">
        <v>1333</v>
      </c>
      <c r="DG4" s="525" t="s">
        <v>1334</v>
      </c>
      <c r="DH4" s="525" t="s">
        <v>1335</v>
      </c>
      <c r="DI4" s="525" t="s">
        <v>1336</v>
      </c>
      <c r="DJ4" s="525" t="s">
        <v>1337</v>
      </c>
      <c r="DK4" s="525" t="s">
        <v>1338</v>
      </c>
      <c r="DL4" s="525" t="s">
        <v>1339</v>
      </c>
      <c r="DM4" s="525" t="s">
        <v>1340</v>
      </c>
      <c r="DN4" s="525" t="s">
        <v>1341</v>
      </c>
      <c r="DO4" s="525" t="s">
        <v>1342</v>
      </c>
      <c r="DP4" s="525" t="s">
        <v>1343</v>
      </c>
      <c r="DQ4" s="525" t="s">
        <v>1344</v>
      </c>
      <c r="DR4" s="525" t="s">
        <v>1345</v>
      </c>
      <c r="DS4" s="525" t="s">
        <v>1346</v>
      </c>
      <c r="DT4" s="525" t="s">
        <v>1347</v>
      </c>
      <c r="DU4" s="525" t="s">
        <v>1348</v>
      </c>
      <c r="DV4" s="525" t="s">
        <v>1349</v>
      </c>
      <c r="DW4" s="525" t="s">
        <v>1350</v>
      </c>
      <c r="DX4" s="525" t="s">
        <v>1351</v>
      </c>
      <c r="DY4" s="525" t="s">
        <v>1352</v>
      </c>
      <c r="DZ4" s="525" t="s">
        <v>1353</v>
      </c>
      <c r="EA4" s="525" t="s">
        <v>1354</v>
      </c>
      <c r="EB4" s="525" t="s">
        <v>1355</v>
      </c>
      <c r="EC4" s="525" t="s">
        <v>1356</v>
      </c>
      <c r="ED4" s="525" t="s">
        <v>1357</v>
      </c>
      <c r="EE4" s="525" t="s">
        <v>1358</v>
      </c>
      <c r="EF4" s="525" t="s">
        <v>1359</v>
      </c>
      <c r="EG4" s="525" t="s">
        <v>1360</v>
      </c>
      <c r="EH4" s="525" t="s">
        <v>1361</v>
      </c>
      <c r="EI4" s="525" t="s">
        <v>1362</v>
      </c>
      <c r="EJ4" s="525" t="s">
        <v>1363</v>
      </c>
      <c r="EK4" s="525" t="s">
        <v>1364</v>
      </c>
      <c r="EL4" s="525" t="s">
        <v>1365</v>
      </c>
      <c r="EM4" s="525" t="s">
        <v>1366</v>
      </c>
      <c r="EN4" s="525" t="s">
        <v>1367</v>
      </c>
      <c r="EO4" s="525" t="s">
        <v>1368</v>
      </c>
      <c r="EP4" s="525" t="s">
        <v>1369</v>
      </c>
      <c r="EQ4" s="525" t="s">
        <v>1370</v>
      </c>
      <c r="ER4" s="525" t="s">
        <v>1371</v>
      </c>
      <c r="ES4" s="525" t="s">
        <v>1372</v>
      </c>
      <c r="ET4" s="525" t="s">
        <v>1373</v>
      </c>
      <c r="EU4" s="525" t="s">
        <v>1374</v>
      </c>
      <c r="EV4" s="525" t="s">
        <v>1375</v>
      </c>
      <c r="EW4" s="525" t="s">
        <v>1376</v>
      </c>
      <c r="EX4" s="525" t="s">
        <v>1377</v>
      </c>
      <c r="EY4" s="525" t="s">
        <v>1378</v>
      </c>
      <c r="EZ4" s="525" t="s">
        <v>1379</v>
      </c>
      <c r="FA4" s="525" t="s">
        <v>1380</v>
      </c>
      <c r="FB4" s="525" t="s">
        <v>1381</v>
      </c>
      <c r="FC4" s="525" t="s">
        <v>1382</v>
      </c>
      <c r="FD4" s="525" t="s">
        <v>1383</v>
      </c>
      <c r="FE4" s="525" t="s">
        <v>1384</v>
      </c>
      <c r="FF4" s="525" t="s">
        <v>1385</v>
      </c>
      <c r="FG4" s="525" t="s">
        <v>1386</v>
      </c>
      <c r="FH4" s="525" t="s">
        <v>1387</v>
      </c>
      <c r="FI4" s="525" t="s">
        <v>1388</v>
      </c>
      <c r="FJ4" s="525" t="s">
        <v>1389</v>
      </c>
      <c r="FK4" s="525" t="s">
        <v>1390</v>
      </c>
      <c r="FL4" s="525" t="s">
        <v>1391</v>
      </c>
      <c r="FM4" s="525" t="s">
        <v>1392</v>
      </c>
      <c r="FN4" s="525" t="s">
        <v>1393</v>
      </c>
      <c r="FO4" s="525" t="s">
        <v>1394</v>
      </c>
      <c r="FP4" s="525" t="s">
        <v>1395</v>
      </c>
      <c r="FQ4" s="525" t="s">
        <v>1396</v>
      </c>
      <c r="FR4" s="525" t="s">
        <v>1397</v>
      </c>
      <c r="FS4" s="525" t="s">
        <v>1398</v>
      </c>
      <c r="FT4" s="525" t="s">
        <v>1399</v>
      </c>
      <c r="FU4" s="525" t="s">
        <v>1400</v>
      </c>
      <c r="FV4" s="525" t="s">
        <v>1401</v>
      </c>
      <c r="FW4" s="525" t="s">
        <v>1402</v>
      </c>
      <c r="FX4" s="525" t="s">
        <v>1403</v>
      </c>
      <c r="FY4" s="525" t="s">
        <v>1404</v>
      </c>
      <c r="FZ4" s="525" t="s">
        <v>1405</v>
      </c>
      <c r="GA4" s="525" t="s">
        <v>1406</v>
      </c>
      <c r="GB4" s="525" t="s">
        <v>1407</v>
      </c>
      <c r="GC4" s="525" t="s">
        <v>1408</v>
      </c>
      <c r="GD4" s="525" t="s">
        <v>1409</v>
      </c>
      <c r="GE4" s="525" t="s">
        <v>1410</v>
      </c>
      <c r="GF4" s="525" t="s">
        <v>1411</v>
      </c>
      <c r="GG4" s="525" t="s">
        <v>1412</v>
      </c>
      <c r="GH4" s="525" t="s">
        <v>1413</v>
      </c>
      <c r="GI4" s="525" t="s">
        <v>1414</v>
      </c>
      <c r="GJ4" s="525" t="s">
        <v>1415</v>
      </c>
      <c r="GK4" s="528" t="s">
        <v>1416</v>
      </c>
    </row>
    <row r="5" spans="1:194">
      <c r="A5" s="99" t="s">
        <v>982</v>
      </c>
      <c r="B5" s="89" t="s">
        <v>1185</v>
      </c>
      <c r="C5" s="540" t="s">
        <v>159</v>
      </c>
      <c r="D5" s="89" t="s">
        <v>1200</v>
      </c>
      <c r="E5" s="108" t="s">
        <v>1201</v>
      </c>
      <c r="F5" s="108"/>
      <c r="G5" s="89"/>
      <c r="H5" s="89">
        <v>0</v>
      </c>
      <c r="I5" s="89">
        <v>0</v>
      </c>
      <c r="J5" s="89" t="s">
        <v>1237</v>
      </c>
      <c r="K5" s="89">
        <v>0</v>
      </c>
      <c r="L5" s="89" t="s">
        <v>183</v>
      </c>
      <c r="M5" s="469">
        <v>1</v>
      </c>
      <c r="N5" s="469">
        <v>1</v>
      </c>
      <c r="O5" s="469">
        <v>1</v>
      </c>
      <c r="P5" s="469">
        <v>1</v>
      </c>
      <c r="Q5" s="469">
        <v>1</v>
      </c>
      <c r="R5" s="469">
        <v>1</v>
      </c>
      <c r="S5" s="469">
        <v>1</v>
      </c>
      <c r="T5" s="469">
        <v>1</v>
      </c>
      <c r="U5" s="469">
        <v>1</v>
      </c>
      <c r="V5" s="469">
        <v>1</v>
      </c>
      <c r="W5" s="469">
        <v>0</v>
      </c>
      <c r="X5" s="90">
        <v>0</v>
      </c>
      <c r="Y5" s="471">
        <v>3198644.5476890798</v>
      </c>
      <c r="Z5" s="471">
        <v>3279604.6721609468</v>
      </c>
      <c r="AA5" s="471">
        <v>3362613.9589128913</v>
      </c>
      <c r="AB5" s="471">
        <v>3447724.2737995852</v>
      </c>
      <c r="AC5" s="471">
        <v>3534988.7954399008</v>
      </c>
      <c r="AD5" s="471">
        <v>3624462.0484439693</v>
      </c>
      <c r="AE5" s="471">
        <v>3716199.9374812432</v>
      </c>
      <c r="AF5" s="471">
        <v>3810259.782210846</v>
      </c>
      <c r="AG5" s="471">
        <v>3906700.3530960367</v>
      </c>
      <c r="AH5" s="471">
        <v>4005581.9081251658</v>
      </c>
      <c r="AI5" s="471">
        <v>0</v>
      </c>
      <c r="AJ5" s="90">
        <v>12</v>
      </c>
      <c r="AK5" s="90">
        <v>12</v>
      </c>
      <c r="AL5" s="90">
        <v>12</v>
      </c>
      <c r="AM5" s="90">
        <v>12</v>
      </c>
      <c r="AN5" s="90">
        <v>12</v>
      </c>
      <c r="AO5" s="90">
        <v>12</v>
      </c>
      <c r="AP5" s="90">
        <v>12</v>
      </c>
      <c r="AQ5" s="90">
        <v>12</v>
      </c>
      <c r="AR5" s="90">
        <v>12</v>
      </c>
      <c r="AS5" s="90">
        <v>12</v>
      </c>
      <c r="AT5" s="90">
        <v>12</v>
      </c>
      <c r="AU5" s="91">
        <v>1</v>
      </c>
      <c r="AV5" s="92">
        <v>1.02531076</v>
      </c>
      <c r="AW5" s="89">
        <v>0</v>
      </c>
      <c r="AX5" s="93">
        <v>430641363.32831597</v>
      </c>
      <c r="AY5" s="93">
        <v>38383734.572268955</v>
      </c>
      <c r="AZ5" s="93">
        <v>39355256.065931357</v>
      </c>
      <c r="BA5" s="93">
        <v>40351367.5069547</v>
      </c>
      <c r="BB5" s="93">
        <v>41372691.285595007</v>
      </c>
      <c r="BC5" s="93">
        <v>42419865.545278795</v>
      </c>
      <c r="BD5" s="93">
        <v>43493544.581327632</v>
      </c>
      <c r="BE5" s="93">
        <v>44594399.249774918</v>
      </c>
      <c r="BF5" s="93">
        <v>45723117.386530161</v>
      </c>
      <c r="BG5" s="93">
        <v>46880404.23715245</v>
      </c>
      <c r="BH5" s="93">
        <v>48066982.897501975</v>
      </c>
      <c r="BI5" s="93">
        <v>0</v>
      </c>
      <c r="BJ5" s="94">
        <v>3198644.5476890798</v>
      </c>
      <c r="BK5" s="93">
        <v>3198644.5476890798</v>
      </c>
      <c r="BL5" s="93">
        <v>3198644.5476890798</v>
      </c>
      <c r="BM5" s="93">
        <v>3198644.5476890798</v>
      </c>
      <c r="BN5" s="93">
        <v>3198644.5476890798</v>
      </c>
      <c r="BO5" s="93">
        <v>3198644.5476890798</v>
      </c>
      <c r="BP5" s="93">
        <v>3198644.5476890798</v>
      </c>
      <c r="BQ5" s="93">
        <v>3198644.5476890798</v>
      </c>
      <c r="BR5" s="93">
        <v>3198644.5476890798</v>
      </c>
      <c r="BS5" s="93">
        <v>3198644.5476890798</v>
      </c>
      <c r="BT5" s="93">
        <v>3198644.5476890798</v>
      </c>
      <c r="BU5" s="93">
        <v>3198644.5476890798</v>
      </c>
      <c r="BV5" s="93">
        <v>3279604.6721609468</v>
      </c>
      <c r="BW5" s="93">
        <v>3279604.6721609468</v>
      </c>
      <c r="BX5" s="93">
        <v>3279604.6721609468</v>
      </c>
      <c r="BY5" s="93">
        <v>3279604.6721609468</v>
      </c>
      <c r="BZ5" s="93">
        <v>3279604.6721609468</v>
      </c>
      <c r="CA5" s="93">
        <v>3279604.6721609468</v>
      </c>
      <c r="CB5" s="93">
        <v>3279604.6721609468</v>
      </c>
      <c r="CC5" s="93">
        <v>3279604.6721609468</v>
      </c>
      <c r="CD5" s="93">
        <v>3279604.6721609468</v>
      </c>
      <c r="CE5" s="93">
        <v>3279604.6721609468</v>
      </c>
      <c r="CF5" s="93">
        <v>3279604.6721609468</v>
      </c>
      <c r="CG5" s="93">
        <v>3279604.6721609468</v>
      </c>
      <c r="CH5" s="93">
        <v>3362613.9589128913</v>
      </c>
      <c r="CI5" s="93">
        <v>3362613.9589128913</v>
      </c>
      <c r="CJ5" s="93">
        <v>3362613.9589128913</v>
      </c>
      <c r="CK5" s="93">
        <v>3362613.9589128913</v>
      </c>
      <c r="CL5" s="93">
        <v>3362613.9589128913</v>
      </c>
      <c r="CM5" s="93">
        <v>3362613.9589128913</v>
      </c>
      <c r="CN5" s="93">
        <v>3362613.9589128913</v>
      </c>
      <c r="CO5" s="93">
        <v>3362613.9589128913</v>
      </c>
      <c r="CP5" s="93">
        <v>3362613.9589128913</v>
      </c>
      <c r="CQ5" s="93">
        <v>3362613.9589128913</v>
      </c>
      <c r="CR5" s="93">
        <v>3362613.9589128913</v>
      </c>
      <c r="CS5" s="93">
        <v>3362613.9589128913</v>
      </c>
      <c r="CT5" s="93">
        <v>3447724.2737995852</v>
      </c>
      <c r="CU5" s="93">
        <v>3447724.2737995852</v>
      </c>
      <c r="CV5" s="93">
        <v>3447724.2737995852</v>
      </c>
      <c r="CW5" s="93">
        <v>3447724.2737995852</v>
      </c>
      <c r="CX5" s="93">
        <v>3447724.2737995852</v>
      </c>
      <c r="CY5" s="93">
        <v>3447724.2737995852</v>
      </c>
      <c r="CZ5" s="93">
        <v>3447724.2737995852</v>
      </c>
      <c r="DA5" s="93">
        <v>3447724.2737995852</v>
      </c>
      <c r="DB5" s="93">
        <v>3447724.2737995852</v>
      </c>
      <c r="DC5" s="93">
        <v>3447724.2737995852</v>
      </c>
      <c r="DD5" s="93">
        <v>3447724.2737995852</v>
      </c>
      <c r="DE5" s="93">
        <v>3447724.2737995852</v>
      </c>
      <c r="DF5" s="93">
        <v>3534988.7954399008</v>
      </c>
      <c r="DG5" s="93">
        <v>3534988.7954399008</v>
      </c>
      <c r="DH5" s="93">
        <v>3534988.7954399008</v>
      </c>
      <c r="DI5" s="93">
        <v>3534988.7954399008</v>
      </c>
      <c r="DJ5" s="93">
        <v>3534988.7954399008</v>
      </c>
      <c r="DK5" s="93">
        <v>3534988.7954399008</v>
      </c>
      <c r="DL5" s="93">
        <v>3534988.7954399008</v>
      </c>
      <c r="DM5" s="93">
        <v>3534988.7954399008</v>
      </c>
      <c r="DN5" s="93">
        <v>3534988.7954399008</v>
      </c>
      <c r="DO5" s="93">
        <v>3534988.7954399008</v>
      </c>
      <c r="DP5" s="93">
        <v>3534988.7954399008</v>
      </c>
      <c r="DQ5" s="93">
        <v>3534988.7954399008</v>
      </c>
      <c r="DR5" s="93">
        <v>3624462.0484439693</v>
      </c>
      <c r="DS5" s="93">
        <v>3624462.0484439693</v>
      </c>
      <c r="DT5" s="93">
        <v>3624462.0484439693</v>
      </c>
      <c r="DU5" s="93">
        <v>3624462.0484439693</v>
      </c>
      <c r="DV5" s="93">
        <v>3624462.0484439693</v>
      </c>
      <c r="DW5" s="93">
        <v>3624462.0484439693</v>
      </c>
      <c r="DX5" s="93">
        <v>3624462.0484439693</v>
      </c>
      <c r="DY5" s="93">
        <v>3624462.0484439693</v>
      </c>
      <c r="DZ5" s="93">
        <v>3624462.0484439693</v>
      </c>
      <c r="EA5" s="93">
        <v>3624462.0484439693</v>
      </c>
      <c r="EB5" s="93">
        <v>3624462.0484439693</v>
      </c>
      <c r="EC5" s="93">
        <v>3624462.0484439693</v>
      </c>
      <c r="ED5" s="93">
        <v>3716199.9374812432</v>
      </c>
      <c r="EE5" s="93">
        <v>3716199.9374812432</v>
      </c>
      <c r="EF5" s="93">
        <v>3716199.9374812432</v>
      </c>
      <c r="EG5" s="93">
        <v>3716199.9374812432</v>
      </c>
      <c r="EH5" s="93">
        <v>3716199.9374812432</v>
      </c>
      <c r="EI5" s="93">
        <v>3716199.9374812432</v>
      </c>
      <c r="EJ5" s="93">
        <v>3716199.9374812432</v>
      </c>
      <c r="EK5" s="93">
        <v>3716199.9374812432</v>
      </c>
      <c r="EL5" s="93">
        <v>3716199.9374812432</v>
      </c>
      <c r="EM5" s="93">
        <v>3716199.9374812432</v>
      </c>
      <c r="EN5" s="93">
        <v>3716199.9374812432</v>
      </c>
      <c r="EO5" s="93">
        <v>3716199.9374812432</v>
      </c>
      <c r="EP5" s="93">
        <v>3810259.782210846</v>
      </c>
      <c r="EQ5" s="93">
        <v>3810259.782210846</v>
      </c>
      <c r="ER5" s="93">
        <v>3810259.782210846</v>
      </c>
      <c r="ES5" s="93">
        <v>3810259.782210846</v>
      </c>
      <c r="ET5" s="93">
        <v>3810259.782210846</v>
      </c>
      <c r="EU5" s="93">
        <v>3810259.782210846</v>
      </c>
      <c r="EV5" s="93">
        <v>3810259.782210846</v>
      </c>
      <c r="EW5" s="93">
        <v>3810259.782210846</v>
      </c>
      <c r="EX5" s="93">
        <v>3810259.782210846</v>
      </c>
      <c r="EY5" s="93">
        <v>3810259.782210846</v>
      </c>
      <c r="EZ5" s="93">
        <v>3810259.782210846</v>
      </c>
      <c r="FA5" s="93">
        <v>3810259.782210846</v>
      </c>
      <c r="FB5" s="93">
        <v>3906700.3530960367</v>
      </c>
      <c r="FC5" s="93">
        <v>3906700.3530960367</v>
      </c>
      <c r="FD5" s="93">
        <v>3906700.3530960367</v>
      </c>
      <c r="FE5" s="93">
        <v>3906700.3530960367</v>
      </c>
      <c r="FF5" s="93">
        <v>3906700.3530960367</v>
      </c>
      <c r="FG5" s="93">
        <v>3906700.3530960367</v>
      </c>
      <c r="FH5" s="93">
        <v>3906700.3530960367</v>
      </c>
      <c r="FI5" s="93">
        <v>3906700.3530960367</v>
      </c>
      <c r="FJ5" s="93">
        <v>3906700.3530960367</v>
      </c>
      <c r="FK5" s="93">
        <v>3906700.3530960367</v>
      </c>
      <c r="FL5" s="93">
        <v>3906700.3530960367</v>
      </c>
      <c r="FM5" s="93">
        <v>3906700.3530960367</v>
      </c>
      <c r="FN5" s="93">
        <v>4005581.9081251658</v>
      </c>
      <c r="FO5" s="93">
        <v>4005581.9081251658</v>
      </c>
      <c r="FP5" s="93">
        <v>4005581.9081251658</v>
      </c>
      <c r="FQ5" s="93">
        <v>4005581.9081251658</v>
      </c>
      <c r="FR5" s="93">
        <v>4005581.9081251658</v>
      </c>
      <c r="FS5" s="93">
        <v>4005581.9081251658</v>
      </c>
      <c r="FT5" s="93">
        <v>4005581.9081251658</v>
      </c>
      <c r="FU5" s="93">
        <v>4005581.9081251658</v>
      </c>
      <c r="FV5" s="93">
        <v>4005581.9081251658</v>
      </c>
      <c r="FW5" s="93">
        <v>4005581.9081251658</v>
      </c>
      <c r="FX5" s="93">
        <v>4005581.9081251658</v>
      </c>
      <c r="FY5" s="93">
        <v>4005581.9081251658</v>
      </c>
      <c r="FZ5" s="93">
        <v>0</v>
      </c>
      <c r="GA5" s="93">
        <v>0</v>
      </c>
      <c r="GB5" s="93">
        <v>0</v>
      </c>
      <c r="GC5" s="93">
        <v>0</v>
      </c>
      <c r="GD5" s="93">
        <v>0</v>
      </c>
      <c r="GE5" s="93">
        <v>0</v>
      </c>
      <c r="GF5" s="93">
        <v>0</v>
      </c>
      <c r="GG5" s="93">
        <v>0</v>
      </c>
      <c r="GH5" s="93">
        <v>0</v>
      </c>
      <c r="GI5" s="93">
        <v>0</v>
      </c>
      <c r="GJ5" s="93">
        <v>0</v>
      </c>
      <c r="GK5" s="32">
        <v>0</v>
      </c>
      <c r="GL5" s="27"/>
    </row>
    <row r="6" spans="1:194">
      <c r="A6" s="459" t="s">
        <v>983</v>
      </c>
      <c r="B6" s="456" t="s">
        <v>1185</v>
      </c>
      <c r="C6" s="541" t="s">
        <v>159</v>
      </c>
      <c r="D6" s="456" t="s">
        <v>1200</v>
      </c>
      <c r="E6" s="463" t="s">
        <v>159</v>
      </c>
      <c r="F6" s="463"/>
      <c r="G6" s="456"/>
      <c r="H6" s="456">
        <v>0</v>
      </c>
      <c r="I6" s="456">
        <v>0</v>
      </c>
      <c r="J6" s="456" t="s">
        <v>1237</v>
      </c>
      <c r="K6" s="456">
        <v>0</v>
      </c>
      <c r="L6" s="456" t="s">
        <v>183</v>
      </c>
      <c r="M6" s="470">
        <v>5</v>
      </c>
      <c r="N6" s="470">
        <v>5</v>
      </c>
      <c r="O6" s="470">
        <v>5</v>
      </c>
      <c r="P6" s="470">
        <v>5</v>
      </c>
      <c r="Q6" s="470">
        <v>5</v>
      </c>
      <c r="R6" s="470">
        <v>5</v>
      </c>
      <c r="S6" s="470">
        <v>5</v>
      </c>
      <c r="T6" s="470">
        <v>5</v>
      </c>
      <c r="U6" s="470">
        <v>5</v>
      </c>
      <c r="V6" s="470">
        <v>5</v>
      </c>
      <c r="W6" s="470">
        <v>0</v>
      </c>
      <c r="X6" s="457">
        <v>0</v>
      </c>
      <c r="Y6" s="472">
        <v>2416906.6118346802</v>
      </c>
      <c r="Z6" s="472">
        <v>2478080.3550292407</v>
      </c>
      <c r="AA6" s="472">
        <v>2540802.4521561004</v>
      </c>
      <c r="AB6" s="472">
        <v>2605112.0932300352</v>
      </c>
      <c r="AC6" s="472">
        <v>2671049.4601948783</v>
      </c>
      <c r="AD6" s="472">
        <v>2738655.7520300006</v>
      </c>
      <c r="AE6" s="472">
        <v>2807973.2104922514</v>
      </c>
      <c r="AF6" s="472">
        <v>2879045.1465094504</v>
      </c>
      <c r="AG6" s="472">
        <v>2951915.9672419159</v>
      </c>
      <c r="AH6" s="472">
        <v>3026631.2038289439</v>
      </c>
      <c r="AI6" s="472">
        <v>0</v>
      </c>
      <c r="AJ6" s="457">
        <v>12</v>
      </c>
      <c r="AK6" s="457">
        <v>12</v>
      </c>
      <c r="AL6" s="457">
        <v>12</v>
      </c>
      <c r="AM6" s="457">
        <v>12</v>
      </c>
      <c r="AN6" s="457">
        <v>12</v>
      </c>
      <c r="AO6" s="457">
        <v>12</v>
      </c>
      <c r="AP6" s="457">
        <v>12</v>
      </c>
      <c r="AQ6" s="457">
        <v>12</v>
      </c>
      <c r="AR6" s="457">
        <v>12</v>
      </c>
      <c r="AS6" s="457">
        <v>12</v>
      </c>
      <c r="AT6" s="457">
        <v>12</v>
      </c>
      <c r="AU6" s="458">
        <v>1</v>
      </c>
      <c r="AV6" s="510">
        <v>1.02531076</v>
      </c>
      <c r="AW6" s="456">
        <v>0</v>
      </c>
      <c r="AX6" s="443">
        <v>1626970335.1528497</v>
      </c>
      <c r="AY6" s="443">
        <v>145014396.71008083</v>
      </c>
      <c r="AZ6" s="443">
        <v>148684821.30175444</v>
      </c>
      <c r="BA6" s="443">
        <v>152448147.12936601</v>
      </c>
      <c r="BB6" s="443">
        <v>156306725.59380212</v>
      </c>
      <c r="BC6" s="443">
        <v>160262967.61169273</v>
      </c>
      <c r="BD6" s="443">
        <v>164319345.12180007</v>
      </c>
      <c r="BE6" s="443">
        <v>168478392.62953508</v>
      </c>
      <c r="BF6" s="443">
        <v>172742708.79056701</v>
      </c>
      <c r="BG6" s="443">
        <v>177114958.03451496</v>
      </c>
      <c r="BH6" s="443">
        <v>181597872.2297366</v>
      </c>
      <c r="BI6" s="443">
        <v>0</v>
      </c>
      <c r="BJ6" s="442">
        <v>12084533.059173401</v>
      </c>
      <c r="BK6" s="443">
        <v>12084533.059173401</v>
      </c>
      <c r="BL6" s="443">
        <v>12084533.059173401</v>
      </c>
      <c r="BM6" s="443">
        <v>12084533.059173401</v>
      </c>
      <c r="BN6" s="443">
        <v>12084533.059173401</v>
      </c>
      <c r="BO6" s="443">
        <v>12084533.059173401</v>
      </c>
      <c r="BP6" s="443">
        <v>12084533.059173401</v>
      </c>
      <c r="BQ6" s="443">
        <v>12084533.059173401</v>
      </c>
      <c r="BR6" s="443">
        <v>12084533.059173401</v>
      </c>
      <c r="BS6" s="443">
        <v>12084533.059173401</v>
      </c>
      <c r="BT6" s="443">
        <v>12084533.059173401</v>
      </c>
      <c r="BU6" s="443">
        <v>12084533.059173401</v>
      </c>
      <c r="BV6" s="443">
        <v>12390401.775146203</v>
      </c>
      <c r="BW6" s="443">
        <v>12390401.775146203</v>
      </c>
      <c r="BX6" s="443">
        <v>12390401.775146203</v>
      </c>
      <c r="BY6" s="443">
        <v>12390401.775146203</v>
      </c>
      <c r="BZ6" s="443">
        <v>12390401.775146203</v>
      </c>
      <c r="CA6" s="443">
        <v>12390401.775146203</v>
      </c>
      <c r="CB6" s="443">
        <v>12390401.775146203</v>
      </c>
      <c r="CC6" s="443">
        <v>12390401.775146203</v>
      </c>
      <c r="CD6" s="443">
        <v>12390401.775146203</v>
      </c>
      <c r="CE6" s="443">
        <v>12390401.775146203</v>
      </c>
      <c r="CF6" s="443">
        <v>12390401.775146203</v>
      </c>
      <c r="CG6" s="443">
        <v>12390401.775146203</v>
      </c>
      <c r="CH6" s="443">
        <v>12704012.260780502</v>
      </c>
      <c r="CI6" s="443">
        <v>12704012.260780502</v>
      </c>
      <c r="CJ6" s="443">
        <v>12704012.260780502</v>
      </c>
      <c r="CK6" s="443">
        <v>12704012.260780502</v>
      </c>
      <c r="CL6" s="443">
        <v>12704012.260780502</v>
      </c>
      <c r="CM6" s="443">
        <v>12704012.260780502</v>
      </c>
      <c r="CN6" s="443">
        <v>12704012.260780502</v>
      </c>
      <c r="CO6" s="443">
        <v>12704012.260780502</v>
      </c>
      <c r="CP6" s="443">
        <v>12704012.260780502</v>
      </c>
      <c r="CQ6" s="443">
        <v>12704012.260780502</v>
      </c>
      <c r="CR6" s="443">
        <v>12704012.260780502</v>
      </c>
      <c r="CS6" s="443">
        <v>12704012.260780502</v>
      </c>
      <c r="CT6" s="443">
        <v>13025560.466150176</v>
      </c>
      <c r="CU6" s="443">
        <v>13025560.466150176</v>
      </c>
      <c r="CV6" s="443">
        <v>13025560.466150176</v>
      </c>
      <c r="CW6" s="443">
        <v>13025560.466150176</v>
      </c>
      <c r="CX6" s="443">
        <v>13025560.466150176</v>
      </c>
      <c r="CY6" s="443">
        <v>13025560.466150176</v>
      </c>
      <c r="CZ6" s="443">
        <v>13025560.466150176</v>
      </c>
      <c r="DA6" s="443">
        <v>13025560.466150176</v>
      </c>
      <c r="DB6" s="443">
        <v>13025560.466150176</v>
      </c>
      <c r="DC6" s="443">
        <v>13025560.466150176</v>
      </c>
      <c r="DD6" s="443">
        <v>13025560.466150176</v>
      </c>
      <c r="DE6" s="443">
        <v>13025560.466150176</v>
      </c>
      <c r="DF6" s="443">
        <v>13355247.300974391</v>
      </c>
      <c r="DG6" s="443">
        <v>13355247.300974391</v>
      </c>
      <c r="DH6" s="443">
        <v>13355247.300974391</v>
      </c>
      <c r="DI6" s="443">
        <v>13355247.300974391</v>
      </c>
      <c r="DJ6" s="443">
        <v>13355247.300974391</v>
      </c>
      <c r="DK6" s="443">
        <v>13355247.300974391</v>
      </c>
      <c r="DL6" s="443">
        <v>13355247.300974391</v>
      </c>
      <c r="DM6" s="443">
        <v>13355247.300974391</v>
      </c>
      <c r="DN6" s="443">
        <v>13355247.300974391</v>
      </c>
      <c r="DO6" s="443">
        <v>13355247.300974391</v>
      </c>
      <c r="DP6" s="443">
        <v>13355247.300974391</v>
      </c>
      <c r="DQ6" s="443">
        <v>13355247.300974391</v>
      </c>
      <c r="DR6" s="443">
        <v>13693278.760150002</v>
      </c>
      <c r="DS6" s="443">
        <v>13693278.760150002</v>
      </c>
      <c r="DT6" s="443">
        <v>13693278.760150002</v>
      </c>
      <c r="DU6" s="443">
        <v>13693278.760150002</v>
      </c>
      <c r="DV6" s="443">
        <v>13693278.760150002</v>
      </c>
      <c r="DW6" s="443">
        <v>13693278.760150002</v>
      </c>
      <c r="DX6" s="443">
        <v>13693278.760150002</v>
      </c>
      <c r="DY6" s="443">
        <v>13693278.760150002</v>
      </c>
      <c r="DZ6" s="443">
        <v>13693278.760150002</v>
      </c>
      <c r="EA6" s="443">
        <v>13693278.760150002</v>
      </c>
      <c r="EB6" s="443">
        <v>13693278.760150002</v>
      </c>
      <c r="EC6" s="443">
        <v>13693278.760150002</v>
      </c>
      <c r="ED6" s="443">
        <v>14039866.052461257</v>
      </c>
      <c r="EE6" s="443">
        <v>14039866.052461257</v>
      </c>
      <c r="EF6" s="443">
        <v>14039866.052461257</v>
      </c>
      <c r="EG6" s="443">
        <v>14039866.052461257</v>
      </c>
      <c r="EH6" s="443">
        <v>14039866.052461257</v>
      </c>
      <c r="EI6" s="443">
        <v>14039866.052461257</v>
      </c>
      <c r="EJ6" s="443">
        <v>14039866.052461257</v>
      </c>
      <c r="EK6" s="443">
        <v>14039866.052461257</v>
      </c>
      <c r="EL6" s="443">
        <v>14039866.052461257</v>
      </c>
      <c r="EM6" s="443">
        <v>14039866.052461257</v>
      </c>
      <c r="EN6" s="443">
        <v>14039866.052461257</v>
      </c>
      <c r="EO6" s="443">
        <v>14039866.052461257</v>
      </c>
      <c r="EP6" s="443">
        <v>14395225.732547252</v>
      </c>
      <c r="EQ6" s="443">
        <v>14395225.732547252</v>
      </c>
      <c r="ER6" s="443">
        <v>14395225.732547252</v>
      </c>
      <c r="ES6" s="443">
        <v>14395225.732547252</v>
      </c>
      <c r="ET6" s="443">
        <v>14395225.732547252</v>
      </c>
      <c r="EU6" s="443">
        <v>14395225.732547252</v>
      </c>
      <c r="EV6" s="443">
        <v>14395225.732547252</v>
      </c>
      <c r="EW6" s="443">
        <v>14395225.732547252</v>
      </c>
      <c r="EX6" s="443">
        <v>14395225.732547252</v>
      </c>
      <c r="EY6" s="443">
        <v>14395225.732547252</v>
      </c>
      <c r="EZ6" s="443">
        <v>14395225.732547252</v>
      </c>
      <c r="FA6" s="443">
        <v>14395225.732547252</v>
      </c>
      <c r="FB6" s="443">
        <v>14759579.83620958</v>
      </c>
      <c r="FC6" s="443">
        <v>14759579.83620958</v>
      </c>
      <c r="FD6" s="443">
        <v>14759579.83620958</v>
      </c>
      <c r="FE6" s="443">
        <v>14759579.83620958</v>
      </c>
      <c r="FF6" s="443">
        <v>14759579.83620958</v>
      </c>
      <c r="FG6" s="443">
        <v>14759579.83620958</v>
      </c>
      <c r="FH6" s="443">
        <v>14759579.83620958</v>
      </c>
      <c r="FI6" s="443">
        <v>14759579.83620958</v>
      </c>
      <c r="FJ6" s="443">
        <v>14759579.83620958</v>
      </c>
      <c r="FK6" s="443">
        <v>14759579.83620958</v>
      </c>
      <c r="FL6" s="443">
        <v>14759579.83620958</v>
      </c>
      <c r="FM6" s="443">
        <v>14759579.83620958</v>
      </c>
      <c r="FN6" s="443">
        <v>15133156.019144719</v>
      </c>
      <c r="FO6" s="443">
        <v>15133156.019144719</v>
      </c>
      <c r="FP6" s="443">
        <v>15133156.019144719</v>
      </c>
      <c r="FQ6" s="443">
        <v>15133156.019144719</v>
      </c>
      <c r="FR6" s="443">
        <v>15133156.019144719</v>
      </c>
      <c r="FS6" s="443">
        <v>15133156.019144719</v>
      </c>
      <c r="FT6" s="443">
        <v>15133156.019144719</v>
      </c>
      <c r="FU6" s="443">
        <v>15133156.019144719</v>
      </c>
      <c r="FV6" s="443">
        <v>15133156.019144719</v>
      </c>
      <c r="FW6" s="443">
        <v>15133156.019144719</v>
      </c>
      <c r="FX6" s="443">
        <v>15133156.019144719</v>
      </c>
      <c r="FY6" s="443">
        <v>15133156.019144719</v>
      </c>
      <c r="FZ6" s="443">
        <v>0</v>
      </c>
      <c r="GA6" s="443">
        <v>0</v>
      </c>
      <c r="GB6" s="443">
        <v>0</v>
      </c>
      <c r="GC6" s="443">
        <v>0</v>
      </c>
      <c r="GD6" s="443">
        <v>0</v>
      </c>
      <c r="GE6" s="443">
        <v>0</v>
      </c>
      <c r="GF6" s="443">
        <v>0</v>
      </c>
      <c r="GG6" s="443">
        <v>0</v>
      </c>
      <c r="GH6" s="443">
        <v>0</v>
      </c>
      <c r="GI6" s="443">
        <v>0</v>
      </c>
      <c r="GJ6" s="443">
        <v>0</v>
      </c>
      <c r="GK6" s="33">
        <v>0</v>
      </c>
      <c r="GL6" s="27"/>
    </row>
    <row r="7" spans="1:194">
      <c r="A7" s="459" t="s">
        <v>984</v>
      </c>
      <c r="B7" s="456" t="s">
        <v>1185</v>
      </c>
      <c r="C7" s="541" t="s">
        <v>159</v>
      </c>
      <c r="D7" s="456" t="s">
        <v>1202</v>
      </c>
      <c r="E7" s="463" t="s">
        <v>159</v>
      </c>
      <c r="F7" s="463"/>
      <c r="G7" s="456"/>
      <c r="H7" s="456">
        <v>0</v>
      </c>
      <c r="I7" s="456">
        <v>0</v>
      </c>
      <c r="J7" s="456" t="s">
        <v>1237</v>
      </c>
      <c r="K7" s="456">
        <v>0</v>
      </c>
      <c r="L7" s="456" t="s">
        <v>183</v>
      </c>
      <c r="M7" s="470">
        <v>5</v>
      </c>
      <c r="N7" s="470">
        <v>5</v>
      </c>
      <c r="O7" s="470">
        <v>5</v>
      </c>
      <c r="P7" s="470">
        <v>5</v>
      </c>
      <c r="Q7" s="470">
        <v>5</v>
      </c>
      <c r="R7" s="470">
        <v>5</v>
      </c>
      <c r="S7" s="470">
        <v>5</v>
      </c>
      <c r="T7" s="470">
        <v>5</v>
      </c>
      <c r="U7" s="470">
        <v>5</v>
      </c>
      <c r="V7" s="470">
        <v>5</v>
      </c>
      <c r="W7" s="470">
        <v>0</v>
      </c>
      <c r="X7" s="457">
        <v>0</v>
      </c>
      <c r="Y7" s="472">
        <v>2416906.6118346802</v>
      </c>
      <c r="Z7" s="472">
        <v>2478080.3550292407</v>
      </c>
      <c r="AA7" s="472">
        <v>2540802.4521561004</v>
      </c>
      <c r="AB7" s="472">
        <v>2605112.0932300352</v>
      </c>
      <c r="AC7" s="472">
        <v>2671049.4601948783</v>
      </c>
      <c r="AD7" s="472">
        <v>2738655.7520300006</v>
      </c>
      <c r="AE7" s="472">
        <v>2807973.2104922514</v>
      </c>
      <c r="AF7" s="472">
        <v>2879045.1465094504</v>
      </c>
      <c r="AG7" s="472">
        <v>2951915.9672419159</v>
      </c>
      <c r="AH7" s="472">
        <v>3026631.2038289439</v>
      </c>
      <c r="AI7" s="472">
        <v>0</v>
      </c>
      <c r="AJ7" s="457">
        <v>12</v>
      </c>
      <c r="AK7" s="457">
        <v>12</v>
      </c>
      <c r="AL7" s="457">
        <v>12</v>
      </c>
      <c r="AM7" s="457">
        <v>12</v>
      </c>
      <c r="AN7" s="457">
        <v>12</v>
      </c>
      <c r="AO7" s="457">
        <v>12</v>
      </c>
      <c r="AP7" s="457">
        <v>12</v>
      </c>
      <c r="AQ7" s="457">
        <v>12</v>
      </c>
      <c r="AR7" s="457">
        <v>12</v>
      </c>
      <c r="AS7" s="457">
        <v>12</v>
      </c>
      <c r="AT7" s="457">
        <v>12</v>
      </c>
      <c r="AU7" s="458">
        <v>1</v>
      </c>
      <c r="AV7" s="510">
        <v>1.02531076</v>
      </c>
      <c r="AW7" s="456">
        <v>0</v>
      </c>
      <c r="AX7" s="443">
        <v>1626970335.1528497</v>
      </c>
      <c r="AY7" s="443">
        <v>145014396.71008083</v>
      </c>
      <c r="AZ7" s="443">
        <v>148684821.30175444</v>
      </c>
      <c r="BA7" s="443">
        <v>152448147.12936601</v>
      </c>
      <c r="BB7" s="443">
        <v>156306725.59380212</v>
      </c>
      <c r="BC7" s="443">
        <v>160262967.61169273</v>
      </c>
      <c r="BD7" s="443">
        <v>164319345.12180007</v>
      </c>
      <c r="BE7" s="443">
        <v>168478392.62953508</v>
      </c>
      <c r="BF7" s="443">
        <v>172742708.79056701</v>
      </c>
      <c r="BG7" s="443">
        <v>177114958.03451496</v>
      </c>
      <c r="BH7" s="443">
        <v>181597872.2297366</v>
      </c>
      <c r="BI7" s="443">
        <v>0</v>
      </c>
      <c r="BJ7" s="442">
        <v>12084533.059173401</v>
      </c>
      <c r="BK7" s="443">
        <v>12084533.059173401</v>
      </c>
      <c r="BL7" s="443">
        <v>12084533.059173401</v>
      </c>
      <c r="BM7" s="443">
        <v>12084533.059173401</v>
      </c>
      <c r="BN7" s="443">
        <v>12084533.059173401</v>
      </c>
      <c r="BO7" s="443">
        <v>12084533.059173401</v>
      </c>
      <c r="BP7" s="443">
        <v>12084533.059173401</v>
      </c>
      <c r="BQ7" s="443">
        <v>12084533.059173401</v>
      </c>
      <c r="BR7" s="443">
        <v>12084533.059173401</v>
      </c>
      <c r="BS7" s="443">
        <v>12084533.059173401</v>
      </c>
      <c r="BT7" s="443">
        <v>12084533.059173401</v>
      </c>
      <c r="BU7" s="443">
        <v>12084533.059173401</v>
      </c>
      <c r="BV7" s="443">
        <v>12390401.775146203</v>
      </c>
      <c r="BW7" s="443">
        <v>12390401.775146203</v>
      </c>
      <c r="BX7" s="443">
        <v>12390401.775146203</v>
      </c>
      <c r="BY7" s="443">
        <v>12390401.775146203</v>
      </c>
      <c r="BZ7" s="443">
        <v>12390401.775146203</v>
      </c>
      <c r="CA7" s="443">
        <v>12390401.775146203</v>
      </c>
      <c r="CB7" s="443">
        <v>12390401.775146203</v>
      </c>
      <c r="CC7" s="443">
        <v>12390401.775146203</v>
      </c>
      <c r="CD7" s="443">
        <v>12390401.775146203</v>
      </c>
      <c r="CE7" s="443">
        <v>12390401.775146203</v>
      </c>
      <c r="CF7" s="443">
        <v>12390401.775146203</v>
      </c>
      <c r="CG7" s="443">
        <v>12390401.775146203</v>
      </c>
      <c r="CH7" s="443">
        <v>12704012.260780502</v>
      </c>
      <c r="CI7" s="443">
        <v>12704012.260780502</v>
      </c>
      <c r="CJ7" s="443">
        <v>12704012.260780502</v>
      </c>
      <c r="CK7" s="443">
        <v>12704012.260780502</v>
      </c>
      <c r="CL7" s="443">
        <v>12704012.260780502</v>
      </c>
      <c r="CM7" s="443">
        <v>12704012.260780502</v>
      </c>
      <c r="CN7" s="443">
        <v>12704012.260780502</v>
      </c>
      <c r="CO7" s="443">
        <v>12704012.260780502</v>
      </c>
      <c r="CP7" s="443">
        <v>12704012.260780502</v>
      </c>
      <c r="CQ7" s="443">
        <v>12704012.260780502</v>
      </c>
      <c r="CR7" s="443">
        <v>12704012.260780502</v>
      </c>
      <c r="CS7" s="443">
        <v>12704012.260780502</v>
      </c>
      <c r="CT7" s="443">
        <v>13025560.466150176</v>
      </c>
      <c r="CU7" s="443">
        <v>13025560.466150176</v>
      </c>
      <c r="CV7" s="443">
        <v>13025560.466150176</v>
      </c>
      <c r="CW7" s="443">
        <v>13025560.466150176</v>
      </c>
      <c r="CX7" s="443">
        <v>13025560.466150176</v>
      </c>
      <c r="CY7" s="443">
        <v>13025560.466150176</v>
      </c>
      <c r="CZ7" s="443">
        <v>13025560.466150176</v>
      </c>
      <c r="DA7" s="443">
        <v>13025560.466150176</v>
      </c>
      <c r="DB7" s="443">
        <v>13025560.466150176</v>
      </c>
      <c r="DC7" s="443">
        <v>13025560.466150176</v>
      </c>
      <c r="DD7" s="443">
        <v>13025560.466150176</v>
      </c>
      <c r="DE7" s="443">
        <v>13025560.466150176</v>
      </c>
      <c r="DF7" s="443">
        <v>13355247.300974391</v>
      </c>
      <c r="DG7" s="443">
        <v>13355247.300974391</v>
      </c>
      <c r="DH7" s="443">
        <v>13355247.300974391</v>
      </c>
      <c r="DI7" s="443">
        <v>13355247.300974391</v>
      </c>
      <c r="DJ7" s="443">
        <v>13355247.300974391</v>
      </c>
      <c r="DK7" s="443">
        <v>13355247.300974391</v>
      </c>
      <c r="DL7" s="443">
        <v>13355247.300974391</v>
      </c>
      <c r="DM7" s="443">
        <v>13355247.300974391</v>
      </c>
      <c r="DN7" s="443">
        <v>13355247.300974391</v>
      </c>
      <c r="DO7" s="443">
        <v>13355247.300974391</v>
      </c>
      <c r="DP7" s="443">
        <v>13355247.300974391</v>
      </c>
      <c r="DQ7" s="443">
        <v>13355247.300974391</v>
      </c>
      <c r="DR7" s="443">
        <v>13693278.760150002</v>
      </c>
      <c r="DS7" s="443">
        <v>13693278.760150002</v>
      </c>
      <c r="DT7" s="443">
        <v>13693278.760150002</v>
      </c>
      <c r="DU7" s="443">
        <v>13693278.760150002</v>
      </c>
      <c r="DV7" s="443">
        <v>13693278.760150002</v>
      </c>
      <c r="DW7" s="443">
        <v>13693278.760150002</v>
      </c>
      <c r="DX7" s="443">
        <v>13693278.760150002</v>
      </c>
      <c r="DY7" s="443">
        <v>13693278.760150002</v>
      </c>
      <c r="DZ7" s="443">
        <v>13693278.760150002</v>
      </c>
      <c r="EA7" s="443">
        <v>13693278.760150002</v>
      </c>
      <c r="EB7" s="443">
        <v>13693278.760150002</v>
      </c>
      <c r="EC7" s="443">
        <v>13693278.760150002</v>
      </c>
      <c r="ED7" s="443">
        <v>14039866.052461257</v>
      </c>
      <c r="EE7" s="443">
        <v>14039866.052461257</v>
      </c>
      <c r="EF7" s="443">
        <v>14039866.052461257</v>
      </c>
      <c r="EG7" s="443">
        <v>14039866.052461257</v>
      </c>
      <c r="EH7" s="443">
        <v>14039866.052461257</v>
      </c>
      <c r="EI7" s="443">
        <v>14039866.052461257</v>
      </c>
      <c r="EJ7" s="443">
        <v>14039866.052461257</v>
      </c>
      <c r="EK7" s="443">
        <v>14039866.052461257</v>
      </c>
      <c r="EL7" s="443">
        <v>14039866.052461257</v>
      </c>
      <c r="EM7" s="443">
        <v>14039866.052461257</v>
      </c>
      <c r="EN7" s="443">
        <v>14039866.052461257</v>
      </c>
      <c r="EO7" s="443">
        <v>14039866.052461257</v>
      </c>
      <c r="EP7" s="443">
        <v>14395225.732547252</v>
      </c>
      <c r="EQ7" s="443">
        <v>14395225.732547252</v>
      </c>
      <c r="ER7" s="443">
        <v>14395225.732547252</v>
      </c>
      <c r="ES7" s="443">
        <v>14395225.732547252</v>
      </c>
      <c r="ET7" s="443">
        <v>14395225.732547252</v>
      </c>
      <c r="EU7" s="443">
        <v>14395225.732547252</v>
      </c>
      <c r="EV7" s="443">
        <v>14395225.732547252</v>
      </c>
      <c r="EW7" s="443">
        <v>14395225.732547252</v>
      </c>
      <c r="EX7" s="443">
        <v>14395225.732547252</v>
      </c>
      <c r="EY7" s="443">
        <v>14395225.732547252</v>
      </c>
      <c r="EZ7" s="443">
        <v>14395225.732547252</v>
      </c>
      <c r="FA7" s="443">
        <v>14395225.732547252</v>
      </c>
      <c r="FB7" s="443">
        <v>14759579.83620958</v>
      </c>
      <c r="FC7" s="443">
        <v>14759579.83620958</v>
      </c>
      <c r="FD7" s="443">
        <v>14759579.83620958</v>
      </c>
      <c r="FE7" s="443">
        <v>14759579.83620958</v>
      </c>
      <c r="FF7" s="443">
        <v>14759579.83620958</v>
      </c>
      <c r="FG7" s="443">
        <v>14759579.83620958</v>
      </c>
      <c r="FH7" s="443">
        <v>14759579.83620958</v>
      </c>
      <c r="FI7" s="443">
        <v>14759579.83620958</v>
      </c>
      <c r="FJ7" s="443">
        <v>14759579.83620958</v>
      </c>
      <c r="FK7" s="443">
        <v>14759579.83620958</v>
      </c>
      <c r="FL7" s="443">
        <v>14759579.83620958</v>
      </c>
      <c r="FM7" s="443">
        <v>14759579.83620958</v>
      </c>
      <c r="FN7" s="443">
        <v>15133156.019144719</v>
      </c>
      <c r="FO7" s="443">
        <v>15133156.019144719</v>
      </c>
      <c r="FP7" s="443">
        <v>15133156.019144719</v>
      </c>
      <c r="FQ7" s="443">
        <v>15133156.019144719</v>
      </c>
      <c r="FR7" s="443">
        <v>15133156.019144719</v>
      </c>
      <c r="FS7" s="443">
        <v>15133156.019144719</v>
      </c>
      <c r="FT7" s="443">
        <v>15133156.019144719</v>
      </c>
      <c r="FU7" s="443">
        <v>15133156.019144719</v>
      </c>
      <c r="FV7" s="443">
        <v>15133156.019144719</v>
      </c>
      <c r="FW7" s="443">
        <v>15133156.019144719</v>
      </c>
      <c r="FX7" s="443">
        <v>15133156.019144719</v>
      </c>
      <c r="FY7" s="443">
        <v>15133156.019144719</v>
      </c>
      <c r="FZ7" s="443">
        <v>0</v>
      </c>
      <c r="GA7" s="443">
        <v>0</v>
      </c>
      <c r="GB7" s="443">
        <v>0</v>
      </c>
      <c r="GC7" s="443">
        <v>0</v>
      </c>
      <c r="GD7" s="443">
        <v>0</v>
      </c>
      <c r="GE7" s="443">
        <v>0</v>
      </c>
      <c r="GF7" s="443">
        <v>0</v>
      </c>
      <c r="GG7" s="443">
        <v>0</v>
      </c>
      <c r="GH7" s="443">
        <v>0</v>
      </c>
      <c r="GI7" s="443">
        <v>0</v>
      </c>
      <c r="GJ7" s="443">
        <v>0</v>
      </c>
      <c r="GK7" s="33">
        <v>0</v>
      </c>
      <c r="GL7" s="27"/>
    </row>
    <row r="8" spans="1:194">
      <c r="A8" s="459" t="s">
        <v>985</v>
      </c>
      <c r="B8" s="456" t="s">
        <v>1185</v>
      </c>
      <c r="C8" s="541" t="s">
        <v>159</v>
      </c>
      <c r="D8" s="456" t="s">
        <v>1203</v>
      </c>
      <c r="E8" s="463" t="s">
        <v>159</v>
      </c>
      <c r="F8" s="463"/>
      <c r="G8" s="456"/>
      <c r="H8" s="456">
        <v>0</v>
      </c>
      <c r="I8" s="456">
        <v>0</v>
      </c>
      <c r="J8" s="456" t="s">
        <v>1237</v>
      </c>
      <c r="K8" s="456">
        <v>0</v>
      </c>
      <c r="L8" s="456" t="s">
        <v>183</v>
      </c>
      <c r="M8" s="470">
        <v>25</v>
      </c>
      <c r="N8" s="470">
        <v>25</v>
      </c>
      <c r="O8" s="470">
        <v>25</v>
      </c>
      <c r="P8" s="470">
        <v>25</v>
      </c>
      <c r="Q8" s="470">
        <v>25</v>
      </c>
      <c r="R8" s="470">
        <v>25</v>
      </c>
      <c r="S8" s="470">
        <v>25</v>
      </c>
      <c r="T8" s="470">
        <v>25</v>
      </c>
      <c r="U8" s="470">
        <v>25</v>
      </c>
      <c r="V8" s="470">
        <v>25</v>
      </c>
      <c r="W8" s="470">
        <v>0</v>
      </c>
      <c r="X8" s="457">
        <v>0</v>
      </c>
      <c r="Y8" s="472">
        <v>2475400.5906926799</v>
      </c>
      <c r="Z8" s="472">
        <v>2538054.8609475605</v>
      </c>
      <c r="AA8" s="472">
        <v>2602294.9583998374</v>
      </c>
      <c r="AB8" s="472">
        <v>2668161.0215411056</v>
      </c>
      <c r="AC8" s="472">
        <v>2735694.2047986872</v>
      </c>
      <c r="AD8" s="472">
        <v>2804936.7042497378</v>
      </c>
      <c r="AE8" s="472">
        <v>2875931.7839861941</v>
      </c>
      <c r="AF8" s="472">
        <v>2948723.8031470403</v>
      </c>
      <c r="AG8" s="472">
        <v>3023358.2436347823</v>
      </c>
      <c r="AH8" s="472">
        <v>3099881.7385334438</v>
      </c>
      <c r="AI8" s="472">
        <v>0</v>
      </c>
      <c r="AJ8" s="457">
        <v>12</v>
      </c>
      <c r="AK8" s="457">
        <v>12</v>
      </c>
      <c r="AL8" s="457">
        <v>12</v>
      </c>
      <c r="AM8" s="457">
        <v>12</v>
      </c>
      <c r="AN8" s="457">
        <v>12</v>
      </c>
      <c r="AO8" s="457">
        <v>12</v>
      </c>
      <c r="AP8" s="457">
        <v>12</v>
      </c>
      <c r="AQ8" s="457">
        <v>12</v>
      </c>
      <c r="AR8" s="457">
        <v>12</v>
      </c>
      <c r="AS8" s="457">
        <v>12</v>
      </c>
      <c r="AT8" s="457">
        <v>12</v>
      </c>
      <c r="AU8" s="458">
        <v>1</v>
      </c>
      <c r="AV8" s="510">
        <v>1.02531076</v>
      </c>
      <c r="AW8" s="456">
        <v>0</v>
      </c>
      <c r="AX8" s="443">
        <v>8331731372.9793205</v>
      </c>
      <c r="AY8" s="443">
        <v>742620177.2078042</v>
      </c>
      <c r="AZ8" s="443">
        <v>761416458.28426826</v>
      </c>
      <c r="BA8" s="443">
        <v>780688487.51995134</v>
      </c>
      <c r="BB8" s="443">
        <v>800448306.46233141</v>
      </c>
      <c r="BC8" s="443">
        <v>820708261.43960631</v>
      </c>
      <c r="BD8" s="443">
        <v>841481011.27492154</v>
      </c>
      <c r="BE8" s="443">
        <v>862779535.19585848</v>
      </c>
      <c r="BF8" s="443">
        <v>884617140.94411194</v>
      </c>
      <c r="BG8" s="443">
        <v>907007473.09043467</v>
      </c>
      <c r="BH8" s="443">
        <v>929964521.5600332</v>
      </c>
      <c r="BI8" s="443">
        <v>0</v>
      </c>
      <c r="BJ8" s="442">
        <v>61885014.767316997</v>
      </c>
      <c r="BK8" s="443">
        <v>61885014.767316997</v>
      </c>
      <c r="BL8" s="443">
        <v>61885014.767316997</v>
      </c>
      <c r="BM8" s="443">
        <v>61885014.767316997</v>
      </c>
      <c r="BN8" s="443">
        <v>61885014.767316997</v>
      </c>
      <c r="BO8" s="443">
        <v>61885014.767316997</v>
      </c>
      <c r="BP8" s="443">
        <v>61885014.767316997</v>
      </c>
      <c r="BQ8" s="443">
        <v>61885014.767316997</v>
      </c>
      <c r="BR8" s="443">
        <v>61885014.767316997</v>
      </c>
      <c r="BS8" s="443">
        <v>61885014.767316997</v>
      </c>
      <c r="BT8" s="443">
        <v>61885014.767316997</v>
      </c>
      <c r="BU8" s="443">
        <v>61885014.767316997</v>
      </c>
      <c r="BV8" s="443">
        <v>63451371.523689017</v>
      </c>
      <c r="BW8" s="443">
        <v>63451371.523689017</v>
      </c>
      <c r="BX8" s="443">
        <v>63451371.523689017</v>
      </c>
      <c r="BY8" s="443">
        <v>63451371.523689017</v>
      </c>
      <c r="BZ8" s="443">
        <v>63451371.523689017</v>
      </c>
      <c r="CA8" s="443">
        <v>63451371.523689017</v>
      </c>
      <c r="CB8" s="443">
        <v>63451371.523689017</v>
      </c>
      <c r="CC8" s="443">
        <v>63451371.523689017</v>
      </c>
      <c r="CD8" s="443">
        <v>63451371.523689017</v>
      </c>
      <c r="CE8" s="443">
        <v>63451371.523689017</v>
      </c>
      <c r="CF8" s="443">
        <v>63451371.523689017</v>
      </c>
      <c r="CG8" s="443">
        <v>63451371.523689017</v>
      </c>
      <c r="CH8" s="443">
        <v>65057373.959995933</v>
      </c>
      <c r="CI8" s="443">
        <v>65057373.959995933</v>
      </c>
      <c r="CJ8" s="443">
        <v>65057373.959995933</v>
      </c>
      <c r="CK8" s="443">
        <v>65057373.959995933</v>
      </c>
      <c r="CL8" s="443">
        <v>65057373.959995933</v>
      </c>
      <c r="CM8" s="443">
        <v>65057373.959995933</v>
      </c>
      <c r="CN8" s="443">
        <v>65057373.959995933</v>
      </c>
      <c r="CO8" s="443">
        <v>65057373.959995933</v>
      </c>
      <c r="CP8" s="443">
        <v>65057373.959995933</v>
      </c>
      <c r="CQ8" s="443">
        <v>65057373.959995933</v>
      </c>
      <c r="CR8" s="443">
        <v>65057373.959995933</v>
      </c>
      <c r="CS8" s="443">
        <v>65057373.959995933</v>
      </c>
      <c r="CT8" s="443">
        <v>66704025.538527638</v>
      </c>
      <c r="CU8" s="443">
        <v>66704025.538527638</v>
      </c>
      <c r="CV8" s="443">
        <v>66704025.538527638</v>
      </c>
      <c r="CW8" s="443">
        <v>66704025.538527638</v>
      </c>
      <c r="CX8" s="443">
        <v>66704025.538527638</v>
      </c>
      <c r="CY8" s="443">
        <v>66704025.538527638</v>
      </c>
      <c r="CZ8" s="443">
        <v>66704025.538527638</v>
      </c>
      <c r="DA8" s="443">
        <v>66704025.538527638</v>
      </c>
      <c r="DB8" s="443">
        <v>66704025.538527638</v>
      </c>
      <c r="DC8" s="443">
        <v>66704025.538527638</v>
      </c>
      <c r="DD8" s="443">
        <v>66704025.538527638</v>
      </c>
      <c r="DE8" s="443">
        <v>66704025.538527638</v>
      </c>
      <c r="DF8" s="443">
        <v>68392355.119967178</v>
      </c>
      <c r="DG8" s="443">
        <v>68392355.119967178</v>
      </c>
      <c r="DH8" s="443">
        <v>68392355.119967178</v>
      </c>
      <c r="DI8" s="443">
        <v>68392355.119967178</v>
      </c>
      <c r="DJ8" s="443">
        <v>68392355.119967178</v>
      </c>
      <c r="DK8" s="443">
        <v>68392355.119967178</v>
      </c>
      <c r="DL8" s="443">
        <v>68392355.119967178</v>
      </c>
      <c r="DM8" s="443">
        <v>68392355.119967178</v>
      </c>
      <c r="DN8" s="443">
        <v>68392355.119967178</v>
      </c>
      <c r="DO8" s="443">
        <v>68392355.119967178</v>
      </c>
      <c r="DP8" s="443">
        <v>68392355.119967178</v>
      </c>
      <c r="DQ8" s="443">
        <v>68392355.119967178</v>
      </c>
      <c r="DR8" s="443">
        <v>70123417.606243446</v>
      </c>
      <c r="DS8" s="443">
        <v>70123417.606243446</v>
      </c>
      <c r="DT8" s="443">
        <v>70123417.606243446</v>
      </c>
      <c r="DU8" s="443">
        <v>70123417.606243446</v>
      </c>
      <c r="DV8" s="443">
        <v>70123417.606243446</v>
      </c>
      <c r="DW8" s="443">
        <v>70123417.606243446</v>
      </c>
      <c r="DX8" s="443">
        <v>70123417.606243446</v>
      </c>
      <c r="DY8" s="443">
        <v>70123417.606243446</v>
      </c>
      <c r="DZ8" s="443">
        <v>70123417.606243446</v>
      </c>
      <c r="EA8" s="443">
        <v>70123417.606243446</v>
      </c>
      <c r="EB8" s="443">
        <v>70123417.606243446</v>
      </c>
      <c r="EC8" s="443">
        <v>70123417.606243446</v>
      </c>
      <c r="ED8" s="443">
        <v>71898294.599654853</v>
      </c>
      <c r="EE8" s="443">
        <v>71898294.599654853</v>
      </c>
      <c r="EF8" s="443">
        <v>71898294.599654853</v>
      </c>
      <c r="EG8" s="443">
        <v>71898294.599654853</v>
      </c>
      <c r="EH8" s="443">
        <v>71898294.599654853</v>
      </c>
      <c r="EI8" s="443">
        <v>71898294.599654853</v>
      </c>
      <c r="EJ8" s="443">
        <v>71898294.599654853</v>
      </c>
      <c r="EK8" s="443">
        <v>71898294.599654853</v>
      </c>
      <c r="EL8" s="443">
        <v>71898294.599654853</v>
      </c>
      <c r="EM8" s="443">
        <v>71898294.599654853</v>
      </c>
      <c r="EN8" s="443">
        <v>71898294.599654853</v>
      </c>
      <c r="EO8" s="443">
        <v>71898294.599654853</v>
      </c>
      <c r="EP8" s="443">
        <v>73718095.078676015</v>
      </c>
      <c r="EQ8" s="443">
        <v>73718095.078676015</v>
      </c>
      <c r="ER8" s="443">
        <v>73718095.078676015</v>
      </c>
      <c r="ES8" s="443">
        <v>73718095.078676015</v>
      </c>
      <c r="ET8" s="443">
        <v>73718095.078676015</v>
      </c>
      <c r="EU8" s="443">
        <v>73718095.078676015</v>
      </c>
      <c r="EV8" s="443">
        <v>73718095.078676015</v>
      </c>
      <c r="EW8" s="443">
        <v>73718095.078676015</v>
      </c>
      <c r="EX8" s="443">
        <v>73718095.078676015</v>
      </c>
      <c r="EY8" s="443">
        <v>73718095.078676015</v>
      </c>
      <c r="EZ8" s="443">
        <v>73718095.078676015</v>
      </c>
      <c r="FA8" s="443">
        <v>73718095.078676015</v>
      </c>
      <c r="FB8" s="443">
        <v>75583956.090869561</v>
      </c>
      <c r="FC8" s="443">
        <v>75583956.090869561</v>
      </c>
      <c r="FD8" s="443">
        <v>75583956.090869561</v>
      </c>
      <c r="FE8" s="443">
        <v>75583956.090869561</v>
      </c>
      <c r="FF8" s="443">
        <v>75583956.090869561</v>
      </c>
      <c r="FG8" s="443">
        <v>75583956.090869561</v>
      </c>
      <c r="FH8" s="443">
        <v>75583956.090869561</v>
      </c>
      <c r="FI8" s="443">
        <v>75583956.090869561</v>
      </c>
      <c r="FJ8" s="443">
        <v>75583956.090869561</v>
      </c>
      <c r="FK8" s="443">
        <v>75583956.090869561</v>
      </c>
      <c r="FL8" s="443">
        <v>75583956.090869561</v>
      </c>
      <c r="FM8" s="443">
        <v>75583956.090869561</v>
      </c>
      <c r="FN8" s="443">
        <v>77497043.463336095</v>
      </c>
      <c r="FO8" s="443">
        <v>77497043.463336095</v>
      </c>
      <c r="FP8" s="443">
        <v>77497043.463336095</v>
      </c>
      <c r="FQ8" s="443">
        <v>77497043.463336095</v>
      </c>
      <c r="FR8" s="443">
        <v>77497043.463336095</v>
      </c>
      <c r="FS8" s="443">
        <v>77497043.463336095</v>
      </c>
      <c r="FT8" s="443">
        <v>77497043.463336095</v>
      </c>
      <c r="FU8" s="443">
        <v>77497043.463336095</v>
      </c>
      <c r="FV8" s="443">
        <v>77497043.463336095</v>
      </c>
      <c r="FW8" s="443">
        <v>77497043.463336095</v>
      </c>
      <c r="FX8" s="443">
        <v>77497043.463336095</v>
      </c>
      <c r="FY8" s="443">
        <v>77497043.463336095</v>
      </c>
      <c r="FZ8" s="443">
        <v>0</v>
      </c>
      <c r="GA8" s="443">
        <v>0</v>
      </c>
      <c r="GB8" s="443">
        <v>0</v>
      </c>
      <c r="GC8" s="443">
        <v>0</v>
      </c>
      <c r="GD8" s="443">
        <v>0</v>
      </c>
      <c r="GE8" s="443">
        <v>0</v>
      </c>
      <c r="GF8" s="443">
        <v>0</v>
      </c>
      <c r="GG8" s="443">
        <v>0</v>
      </c>
      <c r="GH8" s="443">
        <v>0</v>
      </c>
      <c r="GI8" s="443">
        <v>0</v>
      </c>
      <c r="GJ8" s="443">
        <v>0</v>
      </c>
      <c r="GK8" s="33">
        <v>0</v>
      </c>
      <c r="GL8" s="27"/>
    </row>
    <row r="9" spans="1:194">
      <c r="A9" s="459" t="s">
        <v>986</v>
      </c>
      <c r="B9" s="456" t="s">
        <v>1185</v>
      </c>
      <c r="C9" s="541" t="s">
        <v>159</v>
      </c>
      <c r="D9" s="456" t="s">
        <v>1203</v>
      </c>
      <c r="E9" s="463" t="s">
        <v>1204</v>
      </c>
      <c r="F9" s="463"/>
      <c r="G9" s="456"/>
      <c r="H9" s="456">
        <v>0</v>
      </c>
      <c r="I9" s="456">
        <v>0</v>
      </c>
      <c r="J9" s="456" t="s">
        <v>1237</v>
      </c>
      <c r="K9" s="456">
        <v>0</v>
      </c>
      <c r="L9" s="456" t="s">
        <v>183</v>
      </c>
      <c r="M9" s="470">
        <v>1</v>
      </c>
      <c r="N9" s="470">
        <v>1</v>
      </c>
      <c r="O9" s="470">
        <v>1</v>
      </c>
      <c r="P9" s="470">
        <v>1</v>
      </c>
      <c r="Q9" s="470">
        <v>1</v>
      </c>
      <c r="R9" s="470">
        <v>1</v>
      </c>
      <c r="S9" s="470">
        <v>1</v>
      </c>
      <c r="T9" s="470">
        <v>1</v>
      </c>
      <c r="U9" s="470">
        <v>1</v>
      </c>
      <c r="V9" s="470">
        <v>1</v>
      </c>
      <c r="W9" s="470">
        <v>0</v>
      </c>
      <c r="X9" s="457">
        <v>0</v>
      </c>
      <c r="Y9" s="472">
        <v>2890361.2855476001</v>
      </c>
      <c r="Z9" s="472">
        <v>2963518.5263593867</v>
      </c>
      <c r="AA9" s="472">
        <v>3038527.4325356227</v>
      </c>
      <c r="AB9" s="472">
        <v>3115434.8711339482</v>
      </c>
      <c r="AC9" s="472">
        <v>3194288.8954528505</v>
      </c>
      <c r="AD9" s="472">
        <v>3275138.7750563226</v>
      </c>
      <c r="AE9" s="472">
        <v>3358035.0265584672</v>
      </c>
      <c r="AF9" s="472">
        <v>3443029.4451872823</v>
      </c>
      <c r="AG9" s="472">
        <v>3530175.1371473507</v>
      </c>
      <c r="AH9" s="472">
        <v>3619526.5528016542</v>
      </c>
      <c r="AI9" s="472">
        <v>0</v>
      </c>
      <c r="AJ9" s="457">
        <v>12</v>
      </c>
      <c r="AK9" s="457">
        <v>12</v>
      </c>
      <c r="AL9" s="457">
        <v>12</v>
      </c>
      <c r="AM9" s="457">
        <v>12</v>
      </c>
      <c r="AN9" s="457">
        <v>12</v>
      </c>
      <c r="AO9" s="457">
        <v>12</v>
      </c>
      <c r="AP9" s="457">
        <v>12</v>
      </c>
      <c r="AQ9" s="457">
        <v>12</v>
      </c>
      <c r="AR9" s="457">
        <v>12</v>
      </c>
      <c r="AS9" s="457">
        <v>12</v>
      </c>
      <c r="AT9" s="457">
        <v>12</v>
      </c>
      <c r="AU9" s="458">
        <v>1</v>
      </c>
      <c r="AV9" s="510">
        <v>1.02531076</v>
      </c>
      <c r="AW9" s="456">
        <v>0</v>
      </c>
      <c r="AX9" s="443">
        <v>389136431.37336582</v>
      </c>
      <c r="AY9" s="443">
        <v>34684335.426571198</v>
      </c>
      <c r="AZ9" s="443">
        <v>35562222.316312641</v>
      </c>
      <c r="BA9" s="443">
        <v>36462329.190427475</v>
      </c>
      <c r="BB9" s="443">
        <v>37385218.45360738</v>
      </c>
      <c r="BC9" s="443">
        <v>38331466.745434202</v>
      </c>
      <c r="BD9" s="443">
        <v>39301665.300675869</v>
      </c>
      <c r="BE9" s="443">
        <v>40296420.318701603</v>
      </c>
      <c r="BF9" s="443">
        <v>41316353.342247397</v>
      </c>
      <c r="BG9" s="443">
        <v>42362101.645768218</v>
      </c>
      <c r="BH9" s="443">
        <v>43434318.633619852</v>
      </c>
      <c r="BI9" s="443">
        <v>0</v>
      </c>
      <c r="BJ9" s="442">
        <v>2890361.2855476001</v>
      </c>
      <c r="BK9" s="443">
        <v>2890361.2855476001</v>
      </c>
      <c r="BL9" s="443">
        <v>2890361.2855476001</v>
      </c>
      <c r="BM9" s="443">
        <v>2890361.2855476001</v>
      </c>
      <c r="BN9" s="443">
        <v>2890361.2855476001</v>
      </c>
      <c r="BO9" s="443">
        <v>2890361.2855476001</v>
      </c>
      <c r="BP9" s="443">
        <v>2890361.2855476001</v>
      </c>
      <c r="BQ9" s="443">
        <v>2890361.2855476001</v>
      </c>
      <c r="BR9" s="443">
        <v>2890361.2855476001</v>
      </c>
      <c r="BS9" s="443">
        <v>2890361.2855476001</v>
      </c>
      <c r="BT9" s="443">
        <v>2890361.2855476001</v>
      </c>
      <c r="BU9" s="443">
        <v>2890361.2855476001</v>
      </c>
      <c r="BV9" s="443">
        <v>2963518.5263593867</v>
      </c>
      <c r="BW9" s="443">
        <v>2963518.5263593867</v>
      </c>
      <c r="BX9" s="443">
        <v>2963518.5263593867</v>
      </c>
      <c r="BY9" s="443">
        <v>2963518.5263593867</v>
      </c>
      <c r="BZ9" s="443">
        <v>2963518.5263593867</v>
      </c>
      <c r="CA9" s="443">
        <v>2963518.5263593867</v>
      </c>
      <c r="CB9" s="443">
        <v>2963518.5263593867</v>
      </c>
      <c r="CC9" s="443">
        <v>2963518.5263593867</v>
      </c>
      <c r="CD9" s="443">
        <v>2963518.5263593867</v>
      </c>
      <c r="CE9" s="443">
        <v>2963518.5263593867</v>
      </c>
      <c r="CF9" s="443">
        <v>2963518.5263593867</v>
      </c>
      <c r="CG9" s="443">
        <v>2963518.5263593867</v>
      </c>
      <c r="CH9" s="443">
        <v>3038527.4325356227</v>
      </c>
      <c r="CI9" s="443">
        <v>3038527.4325356227</v>
      </c>
      <c r="CJ9" s="443">
        <v>3038527.4325356227</v>
      </c>
      <c r="CK9" s="443">
        <v>3038527.4325356227</v>
      </c>
      <c r="CL9" s="443">
        <v>3038527.4325356227</v>
      </c>
      <c r="CM9" s="443">
        <v>3038527.4325356227</v>
      </c>
      <c r="CN9" s="443">
        <v>3038527.4325356227</v>
      </c>
      <c r="CO9" s="443">
        <v>3038527.4325356227</v>
      </c>
      <c r="CP9" s="443">
        <v>3038527.4325356227</v>
      </c>
      <c r="CQ9" s="443">
        <v>3038527.4325356227</v>
      </c>
      <c r="CR9" s="443">
        <v>3038527.4325356227</v>
      </c>
      <c r="CS9" s="443">
        <v>3038527.4325356227</v>
      </c>
      <c r="CT9" s="443">
        <v>3115434.8711339482</v>
      </c>
      <c r="CU9" s="443">
        <v>3115434.8711339482</v>
      </c>
      <c r="CV9" s="443">
        <v>3115434.8711339482</v>
      </c>
      <c r="CW9" s="443">
        <v>3115434.8711339482</v>
      </c>
      <c r="CX9" s="443">
        <v>3115434.8711339482</v>
      </c>
      <c r="CY9" s="443">
        <v>3115434.8711339482</v>
      </c>
      <c r="CZ9" s="443">
        <v>3115434.8711339482</v>
      </c>
      <c r="DA9" s="443">
        <v>3115434.8711339482</v>
      </c>
      <c r="DB9" s="443">
        <v>3115434.8711339482</v>
      </c>
      <c r="DC9" s="443">
        <v>3115434.8711339482</v>
      </c>
      <c r="DD9" s="443">
        <v>3115434.8711339482</v>
      </c>
      <c r="DE9" s="443">
        <v>3115434.8711339482</v>
      </c>
      <c r="DF9" s="443">
        <v>3194288.8954528505</v>
      </c>
      <c r="DG9" s="443">
        <v>3194288.8954528505</v>
      </c>
      <c r="DH9" s="443">
        <v>3194288.8954528505</v>
      </c>
      <c r="DI9" s="443">
        <v>3194288.8954528505</v>
      </c>
      <c r="DJ9" s="443">
        <v>3194288.8954528505</v>
      </c>
      <c r="DK9" s="443">
        <v>3194288.8954528505</v>
      </c>
      <c r="DL9" s="443">
        <v>3194288.8954528505</v>
      </c>
      <c r="DM9" s="443">
        <v>3194288.8954528505</v>
      </c>
      <c r="DN9" s="443">
        <v>3194288.8954528505</v>
      </c>
      <c r="DO9" s="443">
        <v>3194288.8954528505</v>
      </c>
      <c r="DP9" s="443">
        <v>3194288.8954528505</v>
      </c>
      <c r="DQ9" s="443">
        <v>3194288.8954528505</v>
      </c>
      <c r="DR9" s="443">
        <v>3275138.7750563226</v>
      </c>
      <c r="DS9" s="443">
        <v>3275138.7750563226</v>
      </c>
      <c r="DT9" s="443">
        <v>3275138.7750563226</v>
      </c>
      <c r="DU9" s="443">
        <v>3275138.7750563226</v>
      </c>
      <c r="DV9" s="443">
        <v>3275138.7750563226</v>
      </c>
      <c r="DW9" s="443">
        <v>3275138.7750563226</v>
      </c>
      <c r="DX9" s="443">
        <v>3275138.7750563226</v>
      </c>
      <c r="DY9" s="443">
        <v>3275138.7750563226</v>
      </c>
      <c r="DZ9" s="443">
        <v>3275138.7750563226</v>
      </c>
      <c r="EA9" s="443">
        <v>3275138.7750563226</v>
      </c>
      <c r="EB9" s="443">
        <v>3275138.7750563226</v>
      </c>
      <c r="EC9" s="443">
        <v>3275138.7750563226</v>
      </c>
      <c r="ED9" s="443">
        <v>3358035.0265584672</v>
      </c>
      <c r="EE9" s="443">
        <v>3358035.0265584672</v>
      </c>
      <c r="EF9" s="443">
        <v>3358035.0265584672</v>
      </c>
      <c r="EG9" s="443">
        <v>3358035.0265584672</v>
      </c>
      <c r="EH9" s="443">
        <v>3358035.0265584672</v>
      </c>
      <c r="EI9" s="443">
        <v>3358035.0265584672</v>
      </c>
      <c r="EJ9" s="443">
        <v>3358035.0265584672</v>
      </c>
      <c r="EK9" s="443">
        <v>3358035.0265584672</v>
      </c>
      <c r="EL9" s="443">
        <v>3358035.0265584672</v>
      </c>
      <c r="EM9" s="443">
        <v>3358035.0265584672</v>
      </c>
      <c r="EN9" s="443">
        <v>3358035.0265584672</v>
      </c>
      <c r="EO9" s="443">
        <v>3358035.0265584672</v>
      </c>
      <c r="EP9" s="443">
        <v>3443029.4451872823</v>
      </c>
      <c r="EQ9" s="443">
        <v>3443029.4451872823</v>
      </c>
      <c r="ER9" s="443">
        <v>3443029.4451872823</v>
      </c>
      <c r="ES9" s="443">
        <v>3443029.4451872823</v>
      </c>
      <c r="ET9" s="443">
        <v>3443029.4451872823</v>
      </c>
      <c r="EU9" s="443">
        <v>3443029.4451872823</v>
      </c>
      <c r="EV9" s="443">
        <v>3443029.4451872823</v>
      </c>
      <c r="EW9" s="443">
        <v>3443029.4451872823</v>
      </c>
      <c r="EX9" s="443">
        <v>3443029.4451872823</v>
      </c>
      <c r="EY9" s="443">
        <v>3443029.4451872823</v>
      </c>
      <c r="EZ9" s="443">
        <v>3443029.4451872823</v>
      </c>
      <c r="FA9" s="443">
        <v>3443029.4451872823</v>
      </c>
      <c r="FB9" s="443">
        <v>3530175.1371473507</v>
      </c>
      <c r="FC9" s="443">
        <v>3530175.1371473507</v>
      </c>
      <c r="FD9" s="443">
        <v>3530175.1371473507</v>
      </c>
      <c r="FE9" s="443">
        <v>3530175.1371473507</v>
      </c>
      <c r="FF9" s="443">
        <v>3530175.1371473507</v>
      </c>
      <c r="FG9" s="443">
        <v>3530175.1371473507</v>
      </c>
      <c r="FH9" s="443">
        <v>3530175.1371473507</v>
      </c>
      <c r="FI9" s="443">
        <v>3530175.1371473507</v>
      </c>
      <c r="FJ9" s="443">
        <v>3530175.1371473507</v>
      </c>
      <c r="FK9" s="443">
        <v>3530175.1371473507</v>
      </c>
      <c r="FL9" s="443">
        <v>3530175.1371473507</v>
      </c>
      <c r="FM9" s="443">
        <v>3530175.1371473507</v>
      </c>
      <c r="FN9" s="443">
        <v>3619526.5528016542</v>
      </c>
      <c r="FO9" s="443">
        <v>3619526.5528016542</v>
      </c>
      <c r="FP9" s="443">
        <v>3619526.5528016542</v>
      </c>
      <c r="FQ9" s="443">
        <v>3619526.5528016542</v>
      </c>
      <c r="FR9" s="443">
        <v>3619526.5528016542</v>
      </c>
      <c r="FS9" s="443">
        <v>3619526.5528016542</v>
      </c>
      <c r="FT9" s="443">
        <v>3619526.5528016542</v>
      </c>
      <c r="FU9" s="443">
        <v>3619526.5528016542</v>
      </c>
      <c r="FV9" s="443">
        <v>3619526.5528016542</v>
      </c>
      <c r="FW9" s="443">
        <v>3619526.5528016542</v>
      </c>
      <c r="FX9" s="443">
        <v>3619526.5528016542</v>
      </c>
      <c r="FY9" s="443">
        <v>3619526.5528016542</v>
      </c>
      <c r="FZ9" s="443">
        <v>0</v>
      </c>
      <c r="GA9" s="443">
        <v>0</v>
      </c>
      <c r="GB9" s="443">
        <v>0</v>
      </c>
      <c r="GC9" s="443">
        <v>0</v>
      </c>
      <c r="GD9" s="443">
        <v>0</v>
      </c>
      <c r="GE9" s="443">
        <v>0</v>
      </c>
      <c r="GF9" s="443">
        <v>0</v>
      </c>
      <c r="GG9" s="443">
        <v>0</v>
      </c>
      <c r="GH9" s="443">
        <v>0</v>
      </c>
      <c r="GI9" s="443">
        <v>0</v>
      </c>
      <c r="GJ9" s="443">
        <v>0</v>
      </c>
      <c r="GK9" s="33">
        <v>0</v>
      </c>
      <c r="GL9" s="27"/>
    </row>
    <row r="10" spans="1:194">
      <c r="A10" s="459" t="s">
        <v>987</v>
      </c>
      <c r="B10" s="456" t="s">
        <v>1185</v>
      </c>
      <c r="C10" s="541" t="s">
        <v>159</v>
      </c>
      <c r="D10" s="456" t="s">
        <v>1203</v>
      </c>
      <c r="E10" s="463" t="s">
        <v>1205</v>
      </c>
      <c r="F10" s="463"/>
      <c r="G10" s="456"/>
      <c r="H10" s="456">
        <v>0</v>
      </c>
      <c r="I10" s="456">
        <v>0</v>
      </c>
      <c r="J10" s="456" t="s">
        <v>1237</v>
      </c>
      <c r="K10" s="456">
        <v>0</v>
      </c>
      <c r="L10" s="456" t="s">
        <v>183</v>
      </c>
      <c r="M10" s="470">
        <v>1</v>
      </c>
      <c r="N10" s="470">
        <v>1</v>
      </c>
      <c r="O10" s="470">
        <v>1</v>
      </c>
      <c r="P10" s="470">
        <v>1</v>
      </c>
      <c r="Q10" s="470">
        <v>1</v>
      </c>
      <c r="R10" s="470">
        <v>1</v>
      </c>
      <c r="S10" s="470">
        <v>1</v>
      </c>
      <c r="T10" s="470">
        <v>1</v>
      </c>
      <c r="U10" s="470">
        <v>1</v>
      </c>
      <c r="V10" s="470">
        <v>1</v>
      </c>
      <c r="W10" s="470">
        <v>0</v>
      </c>
      <c r="X10" s="457">
        <v>0</v>
      </c>
      <c r="Y10" s="472">
        <v>2713848.9116598</v>
      </c>
      <c r="Z10" s="472">
        <v>2782538.4901390825</v>
      </c>
      <c r="AA10" s="472">
        <v>2852966.6540537551</v>
      </c>
      <c r="AB10" s="472">
        <v>2925177.4083225126</v>
      </c>
      <c r="AC10" s="472">
        <v>2999215.8716619858</v>
      </c>
      <c r="AD10" s="472">
        <v>3075128.3047778131</v>
      </c>
      <c r="AE10" s="472">
        <v>3152962.1392692514</v>
      </c>
      <c r="AF10" s="472">
        <v>3232766.007265382</v>
      </c>
      <c r="AG10" s="472">
        <v>3314589.7718114341</v>
      </c>
      <c r="AH10" s="472">
        <v>3398484.5580242081</v>
      </c>
      <c r="AI10" s="472">
        <v>0</v>
      </c>
      <c r="AJ10" s="457">
        <v>12</v>
      </c>
      <c r="AK10" s="457">
        <v>12</v>
      </c>
      <c r="AL10" s="457">
        <v>12</v>
      </c>
      <c r="AM10" s="457">
        <v>12</v>
      </c>
      <c r="AN10" s="457">
        <v>12</v>
      </c>
      <c r="AO10" s="457">
        <v>12</v>
      </c>
      <c r="AP10" s="457">
        <v>12</v>
      </c>
      <c r="AQ10" s="457">
        <v>12</v>
      </c>
      <c r="AR10" s="457">
        <v>12</v>
      </c>
      <c r="AS10" s="457">
        <v>12</v>
      </c>
      <c r="AT10" s="457">
        <v>12</v>
      </c>
      <c r="AU10" s="458">
        <v>1</v>
      </c>
      <c r="AV10" s="510">
        <v>1.02531076</v>
      </c>
      <c r="AW10" s="456">
        <v>0</v>
      </c>
      <c r="AX10" s="443">
        <v>365372137.40382272</v>
      </c>
      <c r="AY10" s="443">
        <v>32566186.939917598</v>
      </c>
      <c r="AZ10" s="443">
        <v>33390461.881668989</v>
      </c>
      <c r="BA10" s="443">
        <v>34235599.848645061</v>
      </c>
      <c r="BB10" s="443">
        <v>35102128.89987015</v>
      </c>
      <c r="BC10" s="443">
        <v>35990590.459943838</v>
      </c>
      <c r="BD10" s="443">
        <v>36901539.657333754</v>
      </c>
      <c r="BE10" s="443">
        <v>37835545.671231017</v>
      </c>
      <c r="BF10" s="443">
        <v>38793192.087184586</v>
      </c>
      <c r="BG10" s="443">
        <v>39775077.261737205</v>
      </c>
      <c r="BH10" s="443">
        <v>40781814.696290493</v>
      </c>
      <c r="BI10" s="443">
        <v>0</v>
      </c>
      <c r="BJ10" s="442">
        <v>2713848.9116598</v>
      </c>
      <c r="BK10" s="443">
        <v>2713848.9116598</v>
      </c>
      <c r="BL10" s="443">
        <v>2713848.9116598</v>
      </c>
      <c r="BM10" s="443">
        <v>2713848.9116598</v>
      </c>
      <c r="BN10" s="443">
        <v>2713848.9116598</v>
      </c>
      <c r="BO10" s="443">
        <v>2713848.9116598</v>
      </c>
      <c r="BP10" s="443">
        <v>2713848.9116598</v>
      </c>
      <c r="BQ10" s="443">
        <v>2713848.9116598</v>
      </c>
      <c r="BR10" s="443">
        <v>2713848.9116598</v>
      </c>
      <c r="BS10" s="443">
        <v>2713848.9116598</v>
      </c>
      <c r="BT10" s="443">
        <v>2713848.9116598</v>
      </c>
      <c r="BU10" s="443">
        <v>2713848.9116598</v>
      </c>
      <c r="BV10" s="443">
        <v>2782538.4901390825</v>
      </c>
      <c r="BW10" s="443">
        <v>2782538.4901390825</v>
      </c>
      <c r="BX10" s="443">
        <v>2782538.4901390825</v>
      </c>
      <c r="BY10" s="443">
        <v>2782538.4901390825</v>
      </c>
      <c r="BZ10" s="443">
        <v>2782538.4901390825</v>
      </c>
      <c r="CA10" s="443">
        <v>2782538.4901390825</v>
      </c>
      <c r="CB10" s="443">
        <v>2782538.4901390825</v>
      </c>
      <c r="CC10" s="443">
        <v>2782538.4901390825</v>
      </c>
      <c r="CD10" s="443">
        <v>2782538.4901390825</v>
      </c>
      <c r="CE10" s="443">
        <v>2782538.4901390825</v>
      </c>
      <c r="CF10" s="443">
        <v>2782538.4901390825</v>
      </c>
      <c r="CG10" s="443">
        <v>2782538.4901390825</v>
      </c>
      <c r="CH10" s="443">
        <v>2852966.6540537551</v>
      </c>
      <c r="CI10" s="443">
        <v>2852966.6540537551</v>
      </c>
      <c r="CJ10" s="443">
        <v>2852966.6540537551</v>
      </c>
      <c r="CK10" s="443">
        <v>2852966.6540537551</v>
      </c>
      <c r="CL10" s="443">
        <v>2852966.6540537551</v>
      </c>
      <c r="CM10" s="443">
        <v>2852966.6540537551</v>
      </c>
      <c r="CN10" s="443">
        <v>2852966.6540537551</v>
      </c>
      <c r="CO10" s="443">
        <v>2852966.6540537551</v>
      </c>
      <c r="CP10" s="443">
        <v>2852966.6540537551</v>
      </c>
      <c r="CQ10" s="443">
        <v>2852966.6540537551</v>
      </c>
      <c r="CR10" s="443">
        <v>2852966.6540537551</v>
      </c>
      <c r="CS10" s="443">
        <v>2852966.6540537551</v>
      </c>
      <c r="CT10" s="443">
        <v>2925177.4083225126</v>
      </c>
      <c r="CU10" s="443">
        <v>2925177.4083225126</v>
      </c>
      <c r="CV10" s="443">
        <v>2925177.4083225126</v>
      </c>
      <c r="CW10" s="443">
        <v>2925177.4083225126</v>
      </c>
      <c r="CX10" s="443">
        <v>2925177.4083225126</v>
      </c>
      <c r="CY10" s="443">
        <v>2925177.4083225126</v>
      </c>
      <c r="CZ10" s="443">
        <v>2925177.4083225126</v>
      </c>
      <c r="DA10" s="443">
        <v>2925177.4083225126</v>
      </c>
      <c r="DB10" s="443">
        <v>2925177.4083225126</v>
      </c>
      <c r="DC10" s="443">
        <v>2925177.4083225126</v>
      </c>
      <c r="DD10" s="443">
        <v>2925177.4083225126</v>
      </c>
      <c r="DE10" s="443">
        <v>2925177.4083225126</v>
      </c>
      <c r="DF10" s="443">
        <v>2999215.8716619858</v>
      </c>
      <c r="DG10" s="443">
        <v>2999215.8716619858</v>
      </c>
      <c r="DH10" s="443">
        <v>2999215.8716619858</v>
      </c>
      <c r="DI10" s="443">
        <v>2999215.8716619858</v>
      </c>
      <c r="DJ10" s="443">
        <v>2999215.8716619858</v>
      </c>
      <c r="DK10" s="443">
        <v>2999215.8716619858</v>
      </c>
      <c r="DL10" s="443">
        <v>2999215.8716619858</v>
      </c>
      <c r="DM10" s="443">
        <v>2999215.8716619858</v>
      </c>
      <c r="DN10" s="443">
        <v>2999215.8716619858</v>
      </c>
      <c r="DO10" s="443">
        <v>2999215.8716619858</v>
      </c>
      <c r="DP10" s="443">
        <v>2999215.8716619858</v>
      </c>
      <c r="DQ10" s="443">
        <v>2999215.8716619858</v>
      </c>
      <c r="DR10" s="443">
        <v>3075128.3047778131</v>
      </c>
      <c r="DS10" s="443">
        <v>3075128.3047778131</v>
      </c>
      <c r="DT10" s="443">
        <v>3075128.3047778131</v>
      </c>
      <c r="DU10" s="443">
        <v>3075128.3047778131</v>
      </c>
      <c r="DV10" s="443">
        <v>3075128.3047778131</v>
      </c>
      <c r="DW10" s="443">
        <v>3075128.3047778131</v>
      </c>
      <c r="DX10" s="443">
        <v>3075128.3047778131</v>
      </c>
      <c r="DY10" s="443">
        <v>3075128.3047778131</v>
      </c>
      <c r="DZ10" s="443">
        <v>3075128.3047778131</v>
      </c>
      <c r="EA10" s="443">
        <v>3075128.3047778131</v>
      </c>
      <c r="EB10" s="443">
        <v>3075128.3047778131</v>
      </c>
      <c r="EC10" s="443">
        <v>3075128.3047778131</v>
      </c>
      <c r="ED10" s="443">
        <v>3152962.1392692514</v>
      </c>
      <c r="EE10" s="443">
        <v>3152962.1392692514</v>
      </c>
      <c r="EF10" s="443">
        <v>3152962.1392692514</v>
      </c>
      <c r="EG10" s="443">
        <v>3152962.1392692514</v>
      </c>
      <c r="EH10" s="443">
        <v>3152962.1392692514</v>
      </c>
      <c r="EI10" s="443">
        <v>3152962.1392692514</v>
      </c>
      <c r="EJ10" s="443">
        <v>3152962.1392692514</v>
      </c>
      <c r="EK10" s="443">
        <v>3152962.1392692514</v>
      </c>
      <c r="EL10" s="443">
        <v>3152962.1392692514</v>
      </c>
      <c r="EM10" s="443">
        <v>3152962.1392692514</v>
      </c>
      <c r="EN10" s="443">
        <v>3152962.1392692514</v>
      </c>
      <c r="EO10" s="443">
        <v>3152962.1392692514</v>
      </c>
      <c r="EP10" s="443">
        <v>3232766.007265382</v>
      </c>
      <c r="EQ10" s="443">
        <v>3232766.007265382</v>
      </c>
      <c r="ER10" s="443">
        <v>3232766.007265382</v>
      </c>
      <c r="ES10" s="443">
        <v>3232766.007265382</v>
      </c>
      <c r="ET10" s="443">
        <v>3232766.007265382</v>
      </c>
      <c r="EU10" s="443">
        <v>3232766.007265382</v>
      </c>
      <c r="EV10" s="443">
        <v>3232766.007265382</v>
      </c>
      <c r="EW10" s="443">
        <v>3232766.007265382</v>
      </c>
      <c r="EX10" s="443">
        <v>3232766.007265382</v>
      </c>
      <c r="EY10" s="443">
        <v>3232766.007265382</v>
      </c>
      <c r="EZ10" s="443">
        <v>3232766.007265382</v>
      </c>
      <c r="FA10" s="443">
        <v>3232766.007265382</v>
      </c>
      <c r="FB10" s="443">
        <v>3314589.7718114341</v>
      </c>
      <c r="FC10" s="443">
        <v>3314589.7718114341</v>
      </c>
      <c r="FD10" s="443">
        <v>3314589.7718114341</v>
      </c>
      <c r="FE10" s="443">
        <v>3314589.7718114341</v>
      </c>
      <c r="FF10" s="443">
        <v>3314589.7718114341</v>
      </c>
      <c r="FG10" s="443">
        <v>3314589.7718114341</v>
      </c>
      <c r="FH10" s="443">
        <v>3314589.7718114341</v>
      </c>
      <c r="FI10" s="443">
        <v>3314589.7718114341</v>
      </c>
      <c r="FJ10" s="443">
        <v>3314589.7718114341</v>
      </c>
      <c r="FK10" s="443">
        <v>3314589.7718114341</v>
      </c>
      <c r="FL10" s="443">
        <v>3314589.7718114341</v>
      </c>
      <c r="FM10" s="443">
        <v>3314589.7718114341</v>
      </c>
      <c r="FN10" s="443">
        <v>3398484.5580242081</v>
      </c>
      <c r="FO10" s="443">
        <v>3398484.5580242081</v>
      </c>
      <c r="FP10" s="443">
        <v>3398484.5580242081</v>
      </c>
      <c r="FQ10" s="443">
        <v>3398484.5580242081</v>
      </c>
      <c r="FR10" s="443">
        <v>3398484.5580242081</v>
      </c>
      <c r="FS10" s="443">
        <v>3398484.5580242081</v>
      </c>
      <c r="FT10" s="443">
        <v>3398484.5580242081</v>
      </c>
      <c r="FU10" s="443">
        <v>3398484.5580242081</v>
      </c>
      <c r="FV10" s="443">
        <v>3398484.5580242081</v>
      </c>
      <c r="FW10" s="443">
        <v>3398484.5580242081</v>
      </c>
      <c r="FX10" s="443">
        <v>3398484.5580242081</v>
      </c>
      <c r="FY10" s="443">
        <v>3398484.5580242081</v>
      </c>
      <c r="FZ10" s="443">
        <v>0</v>
      </c>
      <c r="GA10" s="443">
        <v>0</v>
      </c>
      <c r="GB10" s="443">
        <v>0</v>
      </c>
      <c r="GC10" s="443">
        <v>0</v>
      </c>
      <c r="GD10" s="443">
        <v>0</v>
      </c>
      <c r="GE10" s="443">
        <v>0</v>
      </c>
      <c r="GF10" s="443">
        <v>0</v>
      </c>
      <c r="GG10" s="443">
        <v>0</v>
      </c>
      <c r="GH10" s="443">
        <v>0</v>
      </c>
      <c r="GI10" s="443">
        <v>0</v>
      </c>
      <c r="GJ10" s="443">
        <v>0</v>
      </c>
      <c r="GK10" s="33">
        <v>0</v>
      </c>
      <c r="GL10" s="27"/>
    </row>
    <row r="11" spans="1:194">
      <c r="A11" s="459" t="s">
        <v>988</v>
      </c>
      <c r="B11" s="456" t="s">
        <v>1185</v>
      </c>
      <c r="C11" s="541" t="s">
        <v>159</v>
      </c>
      <c r="D11" s="456" t="s">
        <v>1206</v>
      </c>
      <c r="E11" s="463" t="s">
        <v>159</v>
      </c>
      <c r="F11" s="463"/>
      <c r="G11" s="456"/>
      <c r="H11" s="456">
        <v>0</v>
      </c>
      <c r="I11" s="456">
        <v>0</v>
      </c>
      <c r="J11" s="456" t="s">
        <v>1237</v>
      </c>
      <c r="K11" s="456">
        <v>0</v>
      </c>
      <c r="L11" s="456" t="s">
        <v>183</v>
      </c>
      <c r="M11" s="470">
        <v>9</v>
      </c>
      <c r="N11" s="470">
        <v>9</v>
      </c>
      <c r="O11" s="470">
        <v>9</v>
      </c>
      <c r="P11" s="470">
        <v>9</v>
      </c>
      <c r="Q11" s="470">
        <v>9</v>
      </c>
      <c r="R11" s="470">
        <v>9</v>
      </c>
      <c r="S11" s="470">
        <v>9</v>
      </c>
      <c r="T11" s="470">
        <v>9</v>
      </c>
      <c r="U11" s="470">
        <v>9</v>
      </c>
      <c r="V11" s="470">
        <v>9</v>
      </c>
      <c r="W11" s="470">
        <v>0</v>
      </c>
      <c r="X11" s="457">
        <v>0</v>
      </c>
      <c r="Y11" s="472">
        <v>2428512.1043271199</v>
      </c>
      <c r="Z11" s="472">
        <v>2489979.5913568386</v>
      </c>
      <c r="AA11" s="472">
        <v>2553002.8671985697</v>
      </c>
      <c r="AB11" s="472">
        <v>2617621.3100495446</v>
      </c>
      <c r="AC11" s="472">
        <v>2683875.2947990941</v>
      </c>
      <c r="AD11" s="472">
        <v>2751806.2182556833</v>
      </c>
      <c r="AE11" s="472">
        <v>2821456.5250124605</v>
      </c>
      <c r="AF11" s="472">
        <v>2892869.7339674849</v>
      </c>
      <c r="AG11" s="472">
        <v>2966090.4655151996</v>
      </c>
      <c r="AH11" s="472">
        <v>3041164.469426143</v>
      </c>
      <c r="AI11" s="472">
        <v>0</v>
      </c>
      <c r="AJ11" s="457">
        <v>12</v>
      </c>
      <c r="AK11" s="457">
        <v>12</v>
      </c>
      <c r="AL11" s="457">
        <v>12</v>
      </c>
      <c r="AM11" s="457">
        <v>12</v>
      </c>
      <c r="AN11" s="457">
        <v>12</v>
      </c>
      <c r="AO11" s="457">
        <v>12</v>
      </c>
      <c r="AP11" s="457">
        <v>12</v>
      </c>
      <c r="AQ11" s="457">
        <v>12</v>
      </c>
      <c r="AR11" s="457">
        <v>12</v>
      </c>
      <c r="AS11" s="457">
        <v>12</v>
      </c>
      <c r="AT11" s="457">
        <v>12</v>
      </c>
      <c r="AU11" s="458">
        <v>1</v>
      </c>
      <c r="AV11" s="510">
        <v>1.02531076</v>
      </c>
      <c r="AW11" s="456">
        <v>0</v>
      </c>
      <c r="AX11" s="443">
        <v>2942608886.6300783</v>
      </c>
      <c r="AY11" s="443">
        <v>262279307.26732889</v>
      </c>
      <c r="AZ11" s="443">
        <v>268917795.86653864</v>
      </c>
      <c r="BA11" s="443">
        <v>275724309.65744555</v>
      </c>
      <c r="BB11" s="443">
        <v>282703101.48535079</v>
      </c>
      <c r="BC11" s="443">
        <v>289858531.83830208</v>
      </c>
      <c r="BD11" s="443">
        <v>297195071.57161379</v>
      </c>
      <c r="BE11" s="443">
        <v>304717304.70134574</v>
      </c>
      <c r="BF11" s="443">
        <v>312429931.26848829</v>
      </c>
      <c r="BG11" s="443">
        <v>320337770.27564156</v>
      </c>
      <c r="BH11" s="443">
        <v>328445762.69802338</v>
      </c>
      <c r="BI11" s="443">
        <v>0</v>
      </c>
      <c r="BJ11" s="442">
        <v>21856608.938944079</v>
      </c>
      <c r="BK11" s="443">
        <v>21856608.938944079</v>
      </c>
      <c r="BL11" s="443">
        <v>21856608.938944079</v>
      </c>
      <c r="BM11" s="443">
        <v>21856608.938944079</v>
      </c>
      <c r="BN11" s="443">
        <v>21856608.938944079</v>
      </c>
      <c r="BO11" s="443">
        <v>21856608.938944079</v>
      </c>
      <c r="BP11" s="443">
        <v>21856608.938944079</v>
      </c>
      <c r="BQ11" s="443">
        <v>21856608.938944079</v>
      </c>
      <c r="BR11" s="443">
        <v>21856608.938944079</v>
      </c>
      <c r="BS11" s="443">
        <v>21856608.938944079</v>
      </c>
      <c r="BT11" s="443">
        <v>21856608.938944079</v>
      </c>
      <c r="BU11" s="443">
        <v>21856608.938944079</v>
      </c>
      <c r="BV11" s="443">
        <v>22409816.322211549</v>
      </c>
      <c r="BW11" s="443">
        <v>22409816.322211549</v>
      </c>
      <c r="BX11" s="443">
        <v>22409816.322211549</v>
      </c>
      <c r="BY11" s="443">
        <v>22409816.322211549</v>
      </c>
      <c r="BZ11" s="443">
        <v>22409816.322211549</v>
      </c>
      <c r="CA11" s="443">
        <v>22409816.322211549</v>
      </c>
      <c r="CB11" s="443">
        <v>22409816.322211549</v>
      </c>
      <c r="CC11" s="443">
        <v>22409816.322211549</v>
      </c>
      <c r="CD11" s="443">
        <v>22409816.322211549</v>
      </c>
      <c r="CE11" s="443">
        <v>22409816.322211549</v>
      </c>
      <c r="CF11" s="443">
        <v>22409816.322211549</v>
      </c>
      <c r="CG11" s="443">
        <v>22409816.322211549</v>
      </c>
      <c r="CH11" s="443">
        <v>22977025.804787129</v>
      </c>
      <c r="CI11" s="443">
        <v>22977025.804787129</v>
      </c>
      <c r="CJ11" s="443">
        <v>22977025.804787129</v>
      </c>
      <c r="CK11" s="443">
        <v>22977025.804787129</v>
      </c>
      <c r="CL11" s="443">
        <v>22977025.804787129</v>
      </c>
      <c r="CM11" s="443">
        <v>22977025.804787129</v>
      </c>
      <c r="CN11" s="443">
        <v>22977025.804787129</v>
      </c>
      <c r="CO11" s="443">
        <v>22977025.804787129</v>
      </c>
      <c r="CP11" s="443">
        <v>22977025.804787129</v>
      </c>
      <c r="CQ11" s="443">
        <v>22977025.804787129</v>
      </c>
      <c r="CR11" s="443">
        <v>22977025.804787129</v>
      </c>
      <c r="CS11" s="443">
        <v>22977025.804787129</v>
      </c>
      <c r="CT11" s="443">
        <v>23558591.790445901</v>
      </c>
      <c r="CU11" s="443">
        <v>23558591.790445901</v>
      </c>
      <c r="CV11" s="443">
        <v>23558591.790445901</v>
      </c>
      <c r="CW11" s="443">
        <v>23558591.790445901</v>
      </c>
      <c r="CX11" s="443">
        <v>23558591.790445901</v>
      </c>
      <c r="CY11" s="443">
        <v>23558591.790445901</v>
      </c>
      <c r="CZ11" s="443">
        <v>23558591.790445901</v>
      </c>
      <c r="DA11" s="443">
        <v>23558591.790445901</v>
      </c>
      <c r="DB11" s="443">
        <v>23558591.790445901</v>
      </c>
      <c r="DC11" s="443">
        <v>23558591.790445901</v>
      </c>
      <c r="DD11" s="443">
        <v>23558591.790445901</v>
      </c>
      <c r="DE11" s="443">
        <v>23558591.790445901</v>
      </c>
      <c r="DF11" s="443">
        <v>24154877.653191846</v>
      </c>
      <c r="DG11" s="443">
        <v>24154877.653191846</v>
      </c>
      <c r="DH11" s="443">
        <v>24154877.653191846</v>
      </c>
      <c r="DI11" s="443">
        <v>24154877.653191846</v>
      </c>
      <c r="DJ11" s="443">
        <v>24154877.653191846</v>
      </c>
      <c r="DK11" s="443">
        <v>24154877.653191846</v>
      </c>
      <c r="DL11" s="443">
        <v>24154877.653191846</v>
      </c>
      <c r="DM11" s="443">
        <v>24154877.653191846</v>
      </c>
      <c r="DN11" s="443">
        <v>24154877.653191846</v>
      </c>
      <c r="DO11" s="443">
        <v>24154877.653191846</v>
      </c>
      <c r="DP11" s="443">
        <v>24154877.653191846</v>
      </c>
      <c r="DQ11" s="443">
        <v>24154877.653191846</v>
      </c>
      <c r="DR11" s="443">
        <v>24766255.96430115</v>
      </c>
      <c r="DS11" s="443">
        <v>24766255.96430115</v>
      </c>
      <c r="DT11" s="443">
        <v>24766255.96430115</v>
      </c>
      <c r="DU11" s="443">
        <v>24766255.96430115</v>
      </c>
      <c r="DV11" s="443">
        <v>24766255.96430115</v>
      </c>
      <c r="DW11" s="443">
        <v>24766255.96430115</v>
      </c>
      <c r="DX11" s="443">
        <v>24766255.96430115</v>
      </c>
      <c r="DY11" s="443">
        <v>24766255.96430115</v>
      </c>
      <c r="DZ11" s="443">
        <v>24766255.96430115</v>
      </c>
      <c r="EA11" s="443">
        <v>24766255.96430115</v>
      </c>
      <c r="EB11" s="443">
        <v>24766255.96430115</v>
      </c>
      <c r="EC11" s="443">
        <v>24766255.96430115</v>
      </c>
      <c r="ED11" s="443">
        <v>25393108.725112144</v>
      </c>
      <c r="EE11" s="443">
        <v>25393108.725112144</v>
      </c>
      <c r="EF11" s="443">
        <v>25393108.725112144</v>
      </c>
      <c r="EG11" s="443">
        <v>25393108.725112144</v>
      </c>
      <c r="EH11" s="443">
        <v>25393108.725112144</v>
      </c>
      <c r="EI11" s="443">
        <v>25393108.725112144</v>
      </c>
      <c r="EJ11" s="443">
        <v>25393108.725112144</v>
      </c>
      <c r="EK11" s="443">
        <v>25393108.725112144</v>
      </c>
      <c r="EL11" s="443">
        <v>25393108.725112144</v>
      </c>
      <c r="EM11" s="443">
        <v>25393108.725112144</v>
      </c>
      <c r="EN11" s="443">
        <v>25393108.725112144</v>
      </c>
      <c r="EO11" s="443">
        <v>25393108.725112144</v>
      </c>
      <c r="EP11" s="443">
        <v>26035827.605707362</v>
      </c>
      <c r="EQ11" s="443">
        <v>26035827.605707362</v>
      </c>
      <c r="ER11" s="443">
        <v>26035827.605707362</v>
      </c>
      <c r="ES11" s="443">
        <v>26035827.605707362</v>
      </c>
      <c r="ET11" s="443">
        <v>26035827.605707362</v>
      </c>
      <c r="EU11" s="443">
        <v>26035827.605707362</v>
      </c>
      <c r="EV11" s="443">
        <v>26035827.605707362</v>
      </c>
      <c r="EW11" s="443">
        <v>26035827.605707362</v>
      </c>
      <c r="EX11" s="443">
        <v>26035827.605707362</v>
      </c>
      <c r="EY11" s="443">
        <v>26035827.605707362</v>
      </c>
      <c r="EZ11" s="443">
        <v>26035827.605707362</v>
      </c>
      <c r="FA11" s="443">
        <v>26035827.605707362</v>
      </c>
      <c r="FB11" s="443">
        <v>26694814.189636797</v>
      </c>
      <c r="FC11" s="443">
        <v>26694814.189636797</v>
      </c>
      <c r="FD11" s="443">
        <v>26694814.189636797</v>
      </c>
      <c r="FE11" s="443">
        <v>26694814.189636797</v>
      </c>
      <c r="FF11" s="443">
        <v>26694814.189636797</v>
      </c>
      <c r="FG11" s="443">
        <v>26694814.189636797</v>
      </c>
      <c r="FH11" s="443">
        <v>26694814.189636797</v>
      </c>
      <c r="FI11" s="443">
        <v>26694814.189636797</v>
      </c>
      <c r="FJ11" s="443">
        <v>26694814.189636797</v>
      </c>
      <c r="FK11" s="443">
        <v>26694814.189636797</v>
      </c>
      <c r="FL11" s="443">
        <v>26694814.189636797</v>
      </c>
      <c r="FM11" s="443">
        <v>26694814.189636797</v>
      </c>
      <c r="FN11" s="443">
        <v>27370480.224835288</v>
      </c>
      <c r="FO11" s="443">
        <v>27370480.224835288</v>
      </c>
      <c r="FP11" s="443">
        <v>27370480.224835288</v>
      </c>
      <c r="FQ11" s="443">
        <v>27370480.224835288</v>
      </c>
      <c r="FR11" s="443">
        <v>27370480.224835288</v>
      </c>
      <c r="FS11" s="443">
        <v>27370480.224835288</v>
      </c>
      <c r="FT11" s="443">
        <v>27370480.224835288</v>
      </c>
      <c r="FU11" s="443">
        <v>27370480.224835288</v>
      </c>
      <c r="FV11" s="443">
        <v>27370480.224835288</v>
      </c>
      <c r="FW11" s="443">
        <v>27370480.224835288</v>
      </c>
      <c r="FX11" s="443">
        <v>27370480.224835288</v>
      </c>
      <c r="FY11" s="443">
        <v>27370480.224835288</v>
      </c>
      <c r="FZ11" s="443">
        <v>0</v>
      </c>
      <c r="GA11" s="443">
        <v>0</v>
      </c>
      <c r="GB11" s="443">
        <v>0</v>
      </c>
      <c r="GC11" s="443">
        <v>0</v>
      </c>
      <c r="GD11" s="443">
        <v>0</v>
      </c>
      <c r="GE11" s="443">
        <v>0</v>
      </c>
      <c r="GF11" s="443">
        <v>0</v>
      </c>
      <c r="GG11" s="443">
        <v>0</v>
      </c>
      <c r="GH11" s="443">
        <v>0</v>
      </c>
      <c r="GI11" s="443">
        <v>0</v>
      </c>
      <c r="GJ11" s="443">
        <v>0</v>
      </c>
      <c r="GK11" s="33">
        <v>0</v>
      </c>
      <c r="GL11" s="27"/>
    </row>
    <row r="12" spans="1:194">
      <c r="A12" s="459" t="s">
        <v>989</v>
      </c>
      <c r="B12" s="456" t="s">
        <v>1185</v>
      </c>
      <c r="C12" s="541" t="s">
        <v>176</v>
      </c>
      <c r="D12" s="456" t="s">
        <v>1207</v>
      </c>
      <c r="E12" s="463" t="s">
        <v>177</v>
      </c>
      <c r="F12" s="463"/>
      <c r="G12" s="456"/>
      <c r="H12" s="456">
        <v>0</v>
      </c>
      <c r="I12" s="456">
        <v>0</v>
      </c>
      <c r="J12" s="456" t="s">
        <v>1237</v>
      </c>
      <c r="K12" s="456">
        <v>0</v>
      </c>
      <c r="L12" s="456" t="s">
        <v>183</v>
      </c>
      <c r="M12" s="470">
        <v>1</v>
      </c>
      <c r="N12" s="470">
        <v>1</v>
      </c>
      <c r="O12" s="470">
        <v>1</v>
      </c>
      <c r="P12" s="470">
        <v>1</v>
      </c>
      <c r="Q12" s="470">
        <v>1</v>
      </c>
      <c r="R12" s="470">
        <v>1</v>
      </c>
      <c r="S12" s="470">
        <v>1</v>
      </c>
      <c r="T12" s="470">
        <v>1</v>
      </c>
      <c r="U12" s="470">
        <v>1</v>
      </c>
      <c r="V12" s="470">
        <v>1</v>
      </c>
      <c r="W12" s="470">
        <v>0</v>
      </c>
      <c r="X12" s="457">
        <v>0</v>
      </c>
      <c r="Y12" s="472">
        <v>3934599.2821772001</v>
      </c>
      <c r="Z12" s="472">
        <v>4034186.9803045592</v>
      </c>
      <c r="AA12" s="472">
        <v>4136295.3187581724</v>
      </c>
      <c r="AB12" s="472">
        <v>4240988.0968603836</v>
      </c>
      <c r="AC12" s="472">
        <v>4348330.7287428733</v>
      </c>
      <c r="AD12" s="472">
        <v>4458390.284218709</v>
      </c>
      <c r="AE12" s="472">
        <v>4571235.5306889005</v>
      </c>
      <c r="AF12" s="472">
        <v>4686936.9761096397</v>
      </c>
      <c r="AG12" s="472">
        <v>4805566.9130470762</v>
      </c>
      <c r="AH12" s="472">
        <v>4927199.463847152</v>
      </c>
      <c r="AI12" s="472">
        <v>0</v>
      </c>
      <c r="AJ12" s="457">
        <v>12</v>
      </c>
      <c r="AK12" s="457">
        <v>12</v>
      </c>
      <c r="AL12" s="457">
        <v>12</v>
      </c>
      <c r="AM12" s="457">
        <v>12</v>
      </c>
      <c r="AN12" s="457">
        <v>12</v>
      </c>
      <c r="AO12" s="457">
        <v>12</v>
      </c>
      <c r="AP12" s="457">
        <v>12</v>
      </c>
      <c r="AQ12" s="457">
        <v>12</v>
      </c>
      <c r="AR12" s="457">
        <v>12</v>
      </c>
      <c r="AS12" s="457">
        <v>12</v>
      </c>
      <c r="AT12" s="457">
        <v>12</v>
      </c>
      <c r="AU12" s="458">
        <v>1</v>
      </c>
      <c r="AV12" s="510">
        <v>1.02531076</v>
      </c>
      <c r="AW12" s="456">
        <v>0</v>
      </c>
      <c r="AX12" s="443">
        <v>529724754.89705592</v>
      </c>
      <c r="AY12" s="443">
        <v>47215191.386126406</v>
      </c>
      <c r="AZ12" s="443">
        <v>48410243.763654716</v>
      </c>
      <c r="BA12" s="443">
        <v>49635543.825098075</v>
      </c>
      <c r="BB12" s="443">
        <v>50891857.162324615</v>
      </c>
      <c r="BC12" s="443">
        <v>52179968.744914494</v>
      </c>
      <c r="BD12" s="443">
        <v>53500683.410624497</v>
      </c>
      <c r="BE12" s="443">
        <v>54854826.368266791</v>
      </c>
      <c r="BF12" s="443">
        <v>56243243.713315673</v>
      </c>
      <c r="BG12" s="443">
        <v>57666802.956564911</v>
      </c>
      <c r="BH12" s="443">
        <v>59126393.566165827</v>
      </c>
      <c r="BI12" s="443">
        <v>0</v>
      </c>
      <c r="BJ12" s="442">
        <v>3934599.2821772001</v>
      </c>
      <c r="BK12" s="443">
        <v>3934599.2821772001</v>
      </c>
      <c r="BL12" s="443">
        <v>3934599.2821772001</v>
      </c>
      <c r="BM12" s="443">
        <v>3934599.2821772001</v>
      </c>
      <c r="BN12" s="443">
        <v>3934599.2821772001</v>
      </c>
      <c r="BO12" s="443">
        <v>3934599.2821772001</v>
      </c>
      <c r="BP12" s="443">
        <v>3934599.2821772001</v>
      </c>
      <c r="BQ12" s="443">
        <v>3934599.2821772001</v>
      </c>
      <c r="BR12" s="443">
        <v>3934599.2821772001</v>
      </c>
      <c r="BS12" s="443">
        <v>3934599.2821772001</v>
      </c>
      <c r="BT12" s="443">
        <v>3934599.2821772001</v>
      </c>
      <c r="BU12" s="443">
        <v>3934599.2821772001</v>
      </c>
      <c r="BV12" s="443">
        <v>4034186.9803045592</v>
      </c>
      <c r="BW12" s="443">
        <v>4034186.9803045592</v>
      </c>
      <c r="BX12" s="443">
        <v>4034186.9803045592</v>
      </c>
      <c r="BY12" s="443">
        <v>4034186.9803045592</v>
      </c>
      <c r="BZ12" s="443">
        <v>4034186.9803045592</v>
      </c>
      <c r="CA12" s="443">
        <v>4034186.9803045592</v>
      </c>
      <c r="CB12" s="443">
        <v>4034186.9803045592</v>
      </c>
      <c r="CC12" s="443">
        <v>4034186.9803045592</v>
      </c>
      <c r="CD12" s="443">
        <v>4034186.9803045592</v>
      </c>
      <c r="CE12" s="443">
        <v>4034186.9803045592</v>
      </c>
      <c r="CF12" s="443">
        <v>4034186.9803045592</v>
      </c>
      <c r="CG12" s="443">
        <v>4034186.9803045592</v>
      </c>
      <c r="CH12" s="443">
        <v>4136295.3187581724</v>
      </c>
      <c r="CI12" s="443">
        <v>4136295.3187581724</v>
      </c>
      <c r="CJ12" s="443">
        <v>4136295.3187581724</v>
      </c>
      <c r="CK12" s="443">
        <v>4136295.3187581724</v>
      </c>
      <c r="CL12" s="443">
        <v>4136295.3187581724</v>
      </c>
      <c r="CM12" s="443">
        <v>4136295.3187581724</v>
      </c>
      <c r="CN12" s="443">
        <v>4136295.3187581724</v>
      </c>
      <c r="CO12" s="443">
        <v>4136295.3187581724</v>
      </c>
      <c r="CP12" s="443">
        <v>4136295.3187581724</v>
      </c>
      <c r="CQ12" s="443">
        <v>4136295.3187581724</v>
      </c>
      <c r="CR12" s="443">
        <v>4136295.3187581724</v>
      </c>
      <c r="CS12" s="443">
        <v>4136295.3187581724</v>
      </c>
      <c r="CT12" s="443">
        <v>4240988.0968603836</v>
      </c>
      <c r="CU12" s="443">
        <v>4240988.0968603836</v>
      </c>
      <c r="CV12" s="443">
        <v>4240988.0968603836</v>
      </c>
      <c r="CW12" s="443">
        <v>4240988.0968603836</v>
      </c>
      <c r="CX12" s="443">
        <v>4240988.0968603836</v>
      </c>
      <c r="CY12" s="443">
        <v>4240988.0968603836</v>
      </c>
      <c r="CZ12" s="443">
        <v>4240988.0968603836</v>
      </c>
      <c r="DA12" s="443">
        <v>4240988.0968603836</v>
      </c>
      <c r="DB12" s="443">
        <v>4240988.0968603836</v>
      </c>
      <c r="DC12" s="443">
        <v>4240988.0968603836</v>
      </c>
      <c r="DD12" s="443">
        <v>4240988.0968603836</v>
      </c>
      <c r="DE12" s="443">
        <v>4240988.0968603836</v>
      </c>
      <c r="DF12" s="443">
        <v>4348330.7287428733</v>
      </c>
      <c r="DG12" s="443">
        <v>4348330.7287428733</v>
      </c>
      <c r="DH12" s="443">
        <v>4348330.7287428733</v>
      </c>
      <c r="DI12" s="443">
        <v>4348330.7287428733</v>
      </c>
      <c r="DJ12" s="443">
        <v>4348330.7287428733</v>
      </c>
      <c r="DK12" s="443">
        <v>4348330.7287428733</v>
      </c>
      <c r="DL12" s="443">
        <v>4348330.7287428733</v>
      </c>
      <c r="DM12" s="443">
        <v>4348330.7287428733</v>
      </c>
      <c r="DN12" s="443">
        <v>4348330.7287428733</v>
      </c>
      <c r="DO12" s="443">
        <v>4348330.7287428733</v>
      </c>
      <c r="DP12" s="443">
        <v>4348330.7287428733</v>
      </c>
      <c r="DQ12" s="443">
        <v>4348330.7287428733</v>
      </c>
      <c r="DR12" s="443">
        <v>4458390.284218709</v>
      </c>
      <c r="DS12" s="443">
        <v>4458390.284218709</v>
      </c>
      <c r="DT12" s="443">
        <v>4458390.284218709</v>
      </c>
      <c r="DU12" s="443">
        <v>4458390.284218709</v>
      </c>
      <c r="DV12" s="443">
        <v>4458390.284218709</v>
      </c>
      <c r="DW12" s="443">
        <v>4458390.284218709</v>
      </c>
      <c r="DX12" s="443">
        <v>4458390.284218709</v>
      </c>
      <c r="DY12" s="443">
        <v>4458390.284218709</v>
      </c>
      <c r="DZ12" s="443">
        <v>4458390.284218709</v>
      </c>
      <c r="EA12" s="443">
        <v>4458390.284218709</v>
      </c>
      <c r="EB12" s="443">
        <v>4458390.284218709</v>
      </c>
      <c r="EC12" s="443">
        <v>4458390.284218709</v>
      </c>
      <c r="ED12" s="443">
        <v>4571235.5306889005</v>
      </c>
      <c r="EE12" s="443">
        <v>4571235.5306889005</v>
      </c>
      <c r="EF12" s="443">
        <v>4571235.5306889005</v>
      </c>
      <c r="EG12" s="443">
        <v>4571235.5306889005</v>
      </c>
      <c r="EH12" s="443">
        <v>4571235.5306889005</v>
      </c>
      <c r="EI12" s="443">
        <v>4571235.5306889005</v>
      </c>
      <c r="EJ12" s="443">
        <v>4571235.5306889005</v>
      </c>
      <c r="EK12" s="443">
        <v>4571235.5306889005</v>
      </c>
      <c r="EL12" s="443">
        <v>4571235.5306889005</v>
      </c>
      <c r="EM12" s="443">
        <v>4571235.5306889005</v>
      </c>
      <c r="EN12" s="443">
        <v>4571235.5306889005</v>
      </c>
      <c r="EO12" s="443">
        <v>4571235.5306889005</v>
      </c>
      <c r="EP12" s="443">
        <v>4686936.9761096397</v>
      </c>
      <c r="EQ12" s="443">
        <v>4686936.9761096397</v>
      </c>
      <c r="ER12" s="443">
        <v>4686936.9761096397</v>
      </c>
      <c r="ES12" s="443">
        <v>4686936.9761096397</v>
      </c>
      <c r="ET12" s="443">
        <v>4686936.9761096397</v>
      </c>
      <c r="EU12" s="443">
        <v>4686936.9761096397</v>
      </c>
      <c r="EV12" s="443">
        <v>4686936.9761096397</v>
      </c>
      <c r="EW12" s="443">
        <v>4686936.9761096397</v>
      </c>
      <c r="EX12" s="443">
        <v>4686936.9761096397</v>
      </c>
      <c r="EY12" s="443">
        <v>4686936.9761096397</v>
      </c>
      <c r="EZ12" s="443">
        <v>4686936.9761096397</v>
      </c>
      <c r="FA12" s="443">
        <v>4686936.9761096397</v>
      </c>
      <c r="FB12" s="443">
        <v>4805566.9130470762</v>
      </c>
      <c r="FC12" s="443">
        <v>4805566.9130470762</v>
      </c>
      <c r="FD12" s="443">
        <v>4805566.9130470762</v>
      </c>
      <c r="FE12" s="443">
        <v>4805566.9130470762</v>
      </c>
      <c r="FF12" s="443">
        <v>4805566.9130470762</v>
      </c>
      <c r="FG12" s="443">
        <v>4805566.9130470762</v>
      </c>
      <c r="FH12" s="443">
        <v>4805566.9130470762</v>
      </c>
      <c r="FI12" s="443">
        <v>4805566.9130470762</v>
      </c>
      <c r="FJ12" s="443">
        <v>4805566.9130470762</v>
      </c>
      <c r="FK12" s="443">
        <v>4805566.9130470762</v>
      </c>
      <c r="FL12" s="443">
        <v>4805566.9130470762</v>
      </c>
      <c r="FM12" s="443">
        <v>4805566.9130470762</v>
      </c>
      <c r="FN12" s="443">
        <v>4927199.463847152</v>
      </c>
      <c r="FO12" s="443">
        <v>4927199.463847152</v>
      </c>
      <c r="FP12" s="443">
        <v>4927199.463847152</v>
      </c>
      <c r="FQ12" s="443">
        <v>4927199.463847152</v>
      </c>
      <c r="FR12" s="443">
        <v>4927199.463847152</v>
      </c>
      <c r="FS12" s="443">
        <v>4927199.463847152</v>
      </c>
      <c r="FT12" s="443">
        <v>4927199.463847152</v>
      </c>
      <c r="FU12" s="443">
        <v>4927199.463847152</v>
      </c>
      <c r="FV12" s="443">
        <v>4927199.463847152</v>
      </c>
      <c r="FW12" s="443">
        <v>4927199.463847152</v>
      </c>
      <c r="FX12" s="443">
        <v>4927199.463847152</v>
      </c>
      <c r="FY12" s="443">
        <v>4927199.463847152</v>
      </c>
      <c r="FZ12" s="443">
        <v>0</v>
      </c>
      <c r="GA12" s="443">
        <v>0</v>
      </c>
      <c r="GB12" s="443">
        <v>0</v>
      </c>
      <c r="GC12" s="443">
        <v>0</v>
      </c>
      <c r="GD12" s="443">
        <v>0</v>
      </c>
      <c r="GE12" s="443">
        <v>0</v>
      </c>
      <c r="GF12" s="443">
        <v>0</v>
      </c>
      <c r="GG12" s="443">
        <v>0</v>
      </c>
      <c r="GH12" s="443">
        <v>0</v>
      </c>
      <c r="GI12" s="443">
        <v>0</v>
      </c>
      <c r="GJ12" s="443">
        <v>0</v>
      </c>
      <c r="GK12" s="33">
        <v>0</v>
      </c>
      <c r="GL12" s="27"/>
    </row>
    <row r="13" spans="1:194">
      <c r="A13" s="459" t="s">
        <v>990</v>
      </c>
      <c r="B13" s="456" t="s">
        <v>1185</v>
      </c>
      <c r="C13" s="541" t="s">
        <v>176</v>
      </c>
      <c r="D13" s="456" t="s">
        <v>1207</v>
      </c>
      <c r="E13" s="463" t="s">
        <v>1208</v>
      </c>
      <c r="F13" s="463"/>
      <c r="G13" s="456"/>
      <c r="H13" s="456">
        <v>0</v>
      </c>
      <c r="I13" s="456">
        <v>0</v>
      </c>
      <c r="J13" s="456" t="s">
        <v>1237</v>
      </c>
      <c r="K13" s="456">
        <v>0</v>
      </c>
      <c r="L13" s="456" t="s">
        <v>183</v>
      </c>
      <c r="M13" s="470">
        <v>1</v>
      </c>
      <c r="N13" s="470">
        <v>1</v>
      </c>
      <c r="O13" s="470">
        <v>1</v>
      </c>
      <c r="P13" s="470">
        <v>1</v>
      </c>
      <c r="Q13" s="470">
        <v>1</v>
      </c>
      <c r="R13" s="470">
        <v>1</v>
      </c>
      <c r="S13" s="470">
        <v>1</v>
      </c>
      <c r="T13" s="470">
        <v>1</v>
      </c>
      <c r="U13" s="470">
        <v>1</v>
      </c>
      <c r="V13" s="470">
        <v>1</v>
      </c>
      <c r="W13" s="470">
        <v>0</v>
      </c>
      <c r="X13" s="457">
        <v>0</v>
      </c>
      <c r="Y13" s="472">
        <v>3005310.9254727201</v>
      </c>
      <c r="Z13" s="472">
        <v>3081377.629032738</v>
      </c>
      <c r="AA13" s="472">
        <v>3159369.6386705549</v>
      </c>
      <c r="AB13" s="472">
        <v>3239335.6853462318</v>
      </c>
      <c r="AC13" s="472">
        <v>3321325.733437466</v>
      </c>
      <c r="AD13" s="472">
        <v>3405391.0119583257</v>
      </c>
      <c r="AE13" s="472">
        <v>3491584.0465681599</v>
      </c>
      <c r="AF13" s="472">
        <v>3579958.6923906752</v>
      </c>
      <c r="AG13" s="472">
        <v>3670570.1676636892</v>
      </c>
      <c r="AH13" s="472">
        <v>3763475.0882405844</v>
      </c>
      <c r="AI13" s="472">
        <v>0</v>
      </c>
      <c r="AJ13" s="457">
        <v>12</v>
      </c>
      <c r="AK13" s="457">
        <v>12</v>
      </c>
      <c r="AL13" s="457">
        <v>12</v>
      </c>
      <c r="AM13" s="457">
        <v>12</v>
      </c>
      <c r="AN13" s="457">
        <v>12</v>
      </c>
      <c r="AO13" s="457">
        <v>12</v>
      </c>
      <c r="AP13" s="457">
        <v>12</v>
      </c>
      <c r="AQ13" s="457">
        <v>12</v>
      </c>
      <c r="AR13" s="457">
        <v>12</v>
      </c>
      <c r="AS13" s="457">
        <v>12</v>
      </c>
      <c r="AT13" s="457">
        <v>12</v>
      </c>
      <c r="AU13" s="458">
        <v>1</v>
      </c>
      <c r="AV13" s="510">
        <v>1.02531076</v>
      </c>
      <c r="AW13" s="456">
        <v>0</v>
      </c>
      <c r="AX13" s="443">
        <v>404612383.42537373</v>
      </c>
      <c r="AY13" s="443">
        <v>36063731.10567265</v>
      </c>
      <c r="AZ13" s="443">
        <v>36976531.548392855</v>
      </c>
      <c r="BA13" s="443">
        <v>37912435.664046668</v>
      </c>
      <c r="BB13" s="443">
        <v>38872028.224154778</v>
      </c>
      <c r="BC13" s="443">
        <v>39855908.801249593</v>
      </c>
      <c r="BD13" s="443">
        <v>40864692.143499911</v>
      </c>
      <c r="BE13" s="443">
        <v>41899008.558817923</v>
      </c>
      <c r="BF13" s="443">
        <v>42959504.308688104</v>
      </c>
      <c r="BG13" s="443">
        <v>44046842.011964262</v>
      </c>
      <c r="BH13" s="443">
        <v>45161701.058887027</v>
      </c>
      <c r="BI13" s="443">
        <v>0</v>
      </c>
      <c r="BJ13" s="442">
        <v>3005310.9254727201</v>
      </c>
      <c r="BK13" s="443">
        <v>3005310.9254727201</v>
      </c>
      <c r="BL13" s="443">
        <v>3005310.9254727201</v>
      </c>
      <c r="BM13" s="443">
        <v>3005310.9254727201</v>
      </c>
      <c r="BN13" s="443">
        <v>3005310.9254727201</v>
      </c>
      <c r="BO13" s="443">
        <v>3005310.9254727201</v>
      </c>
      <c r="BP13" s="443">
        <v>3005310.9254727201</v>
      </c>
      <c r="BQ13" s="443">
        <v>3005310.9254727201</v>
      </c>
      <c r="BR13" s="443">
        <v>3005310.9254727201</v>
      </c>
      <c r="BS13" s="443">
        <v>3005310.9254727201</v>
      </c>
      <c r="BT13" s="443">
        <v>3005310.9254727201</v>
      </c>
      <c r="BU13" s="443">
        <v>3005310.9254727201</v>
      </c>
      <c r="BV13" s="443">
        <v>3081377.629032738</v>
      </c>
      <c r="BW13" s="443">
        <v>3081377.629032738</v>
      </c>
      <c r="BX13" s="443">
        <v>3081377.629032738</v>
      </c>
      <c r="BY13" s="443">
        <v>3081377.629032738</v>
      </c>
      <c r="BZ13" s="443">
        <v>3081377.629032738</v>
      </c>
      <c r="CA13" s="443">
        <v>3081377.629032738</v>
      </c>
      <c r="CB13" s="443">
        <v>3081377.629032738</v>
      </c>
      <c r="CC13" s="443">
        <v>3081377.629032738</v>
      </c>
      <c r="CD13" s="443">
        <v>3081377.629032738</v>
      </c>
      <c r="CE13" s="443">
        <v>3081377.629032738</v>
      </c>
      <c r="CF13" s="443">
        <v>3081377.629032738</v>
      </c>
      <c r="CG13" s="443">
        <v>3081377.629032738</v>
      </c>
      <c r="CH13" s="443">
        <v>3159369.6386705549</v>
      </c>
      <c r="CI13" s="443">
        <v>3159369.6386705549</v>
      </c>
      <c r="CJ13" s="443">
        <v>3159369.6386705549</v>
      </c>
      <c r="CK13" s="443">
        <v>3159369.6386705549</v>
      </c>
      <c r="CL13" s="443">
        <v>3159369.6386705549</v>
      </c>
      <c r="CM13" s="443">
        <v>3159369.6386705549</v>
      </c>
      <c r="CN13" s="443">
        <v>3159369.6386705549</v>
      </c>
      <c r="CO13" s="443">
        <v>3159369.6386705549</v>
      </c>
      <c r="CP13" s="443">
        <v>3159369.6386705549</v>
      </c>
      <c r="CQ13" s="443">
        <v>3159369.6386705549</v>
      </c>
      <c r="CR13" s="443">
        <v>3159369.6386705549</v>
      </c>
      <c r="CS13" s="443">
        <v>3159369.6386705549</v>
      </c>
      <c r="CT13" s="443">
        <v>3239335.6853462318</v>
      </c>
      <c r="CU13" s="443">
        <v>3239335.6853462318</v>
      </c>
      <c r="CV13" s="443">
        <v>3239335.6853462318</v>
      </c>
      <c r="CW13" s="443">
        <v>3239335.6853462318</v>
      </c>
      <c r="CX13" s="443">
        <v>3239335.6853462318</v>
      </c>
      <c r="CY13" s="443">
        <v>3239335.6853462318</v>
      </c>
      <c r="CZ13" s="443">
        <v>3239335.6853462318</v>
      </c>
      <c r="DA13" s="443">
        <v>3239335.6853462318</v>
      </c>
      <c r="DB13" s="443">
        <v>3239335.6853462318</v>
      </c>
      <c r="DC13" s="443">
        <v>3239335.6853462318</v>
      </c>
      <c r="DD13" s="443">
        <v>3239335.6853462318</v>
      </c>
      <c r="DE13" s="443">
        <v>3239335.6853462318</v>
      </c>
      <c r="DF13" s="443">
        <v>3321325.733437466</v>
      </c>
      <c r="DG13" s="443">
        <v>3321325.733437466</v>
      </c>
      <c r="DH13" s="443">
        <v>3321325.733437466</v>
      </c>
      <c r="DI13" s="443">
        <v>3321325.733437466</v>
      </c>
      <c r="DJ13" s="443">
        <v>3321325.733437466</v>
      </c>
      <c r="DK13" s="443">
        <v>3321325.733437466</v>
      </c>
      <c r="DL13" s="443">
        <v>3321325.733437466</v>
      </c>
      <c r="DM13" s="443">
        <v>3321325.733437466</v>
      </c>
      <c r="DN13" s="443">
        <v>3321325.733437466</v>
      </c>
      <c r="DO13" s="443">
        <v>3321325.733437466</v>
      </c>
      <c r="DP13" s="443">
        <v>3321325.733437466</v>
      </c>
      <c r="DQ13" s="443">
        <v>3321325.733437466</v>
      </c>
      <c r="DR13" s="443">
        <v>3405391.0119583257</v>
      </c>
      <c r="DS13" s="443">
        <v>3405391.0119583257</v>
      </c>
      <c r="DT13" s="443">
        <v>3405391.0119583257</v>
      </c>
      <c r="DU13" s="443">
        <v>3405391.0119583257</v>
      </c>
      <c r="DV13" s="443">
        <v>3405391.0119583257</v>
      </c>
      <c r="DW13" s="443">
        <v>3405391.0119583257</v>
      </c>
      <c r="DX13" s="443">
        <v>3405391.0119583257</v>
      </c>
      <c r="DY13" s="443">
        <v>3405391.0119583257</v>
      </c>
      <c r="DZ13" s="443">
        <v>3405391.0119583257</v>
      </c>
      <c r="EA13" s="443">
        <v>3405391.0119583257</v>
      </c>
      <c r="EB13" s="443">
        <v>3405391.0119583257</v>
      </c>
      <c r="EC13" s="443">
        <v>3405391.0119583257</v>
      </c>
      <c r="ED13" s="443">
        <v>3491584.0465681599</v>
      </c>
      <c r="EE13" s="443">
        <v>3491584.0465681599</v>
      </c>
      <c r="EF13" s="443">
        <v>3491584.0465681599</v>
      </c>
      <c r="EG13" s="443">
        <v>3491584.0465681599</v>
      </c>
      <c r="EH13" s="443">
        <v>3491584.0465681599</v>
      </c>
      <c r="EI13" s="443">
        <v>3491584.0465681599</v>
      </c>
      <c r="EJ13" s="443">
        <v>3491584.0465681599</v>
      </c>
      <c r="EK13" s="443">
        <v>3491584.0465681599</v>
      </c>
      <c r="EL13" s="443">
        <v>3491584.0465681599</v>
      </c>
      <c r="EM13" s="443">
        <v>3491584.0465681599</v>
      </c>
      <c r="EN13" s="443">
        <v>3491584.0465681599</v>
      </c>
      <c r="EO13" s="443">
        <v>3491584.0465681599</v>
      </c>
      <c r="EP13" s="443">
        <v>3579958.6923906752</v>
      </c>
      <c r="EQ13" s="443">
        <v>3579958.6923906752</v>
      </c>
      <c r="ER13" s="443">
        <v>3579958.6923906752</v>
      </c>
      <c r="ES13" s="443">
        <v>3579958.6923906752</v>
      </c>
      <c r="ET13" s="443">
        <v>3579958.6923906752</v>
      </c>
      <c r="EU13" s="443">
        <v>3579958.6923906752</v>
      </c>
      <c r="EV13" s="443">
        <v>3579958.6923906752</v>
      </c>
      <c r="EW13" s="443">
        <v>3579958.6923906752</v>
      </c>
      <c r="EX13" s="443">
        <v>3579958.6923906752</v>
      </c>
      <c r="EY13" s="443">
        <v>3579958.6923906752</v>
      </c>
      <c r="EZ13" s="443">
        <v>3579958.6923906752</v>
      </c>
      <c r="FA13" s="443">
        <v>3579958.6923906752</v>
      </c>
      <c r="FB13" s="443">
        <v>3670570.1676636892</v>
      </c>
      <c r="FC13" s="443">
        <v>3670570.1676636892</v>
      </c>
      <c r="FD13" s="443">
        <v>3670570.1676636892</v>
      </c>
      <c r="FE13" s="443">
        <v>3670570.1676636892</v>
      </c>
      <c r="FF13" s="443">
        <v>3670570.1676636892</v>
      </c>
      <c r="FG13" s="443">
        <v>3670570.1676636892</v>
      </c>
      <c r="FH13" s="443">
        <v>3670570.1676636892</v>
      </c>
      <c r="FI13" s="443">
        <v>3670570.1676636892</v>
      </c>
      <c r="FJ13" s="443">
        <v>3670570.1676636892</v>
      </c>
      <c r="FK13" s="443">
        <v>3670570.1676636892</v>
      </c>
      <c r="FL13" s="443">
        <v>3670570.1676636892</v>
      </c>
      <c r="FM13" s="443">
        <v>3670570.1676636892</v>
      </c>
      <c r="FN13" s="443">
        <v>3763475.0882405844</v>
      </c>
      <c r="FO13" s="443">
        <v>3763475.0882405844</v>
      </c>
      <c r="FP13" s="443">
        <v>3763475.0882405844</v>
      </c>
      <c r="FQ13" s="443">
        <v>3763475.0882405844</v>
      </c>
      <c r="FR13" s="443">
        <v>3763475.0882405844</v>
      </c>
      <c r="FS13" s="443">
        <v>3763475.0882405844</v>
      </c>
      <c r="FT13" s="443">
        <v>3763475.0882405844</v>
      </c>
      <c r="FU13" s="443">
        <v>3763475.0882405844</v>
      </c>
      <c r="FV13" s="443">
        <v>3763475.0882405844</v>
      </c>
      <c r="FW13" s="443">
        <v>3763475.0882405844</v>
      </c>
      <c r="FX13" s="443">
        <v>3763475.0882405844</v>
      </c>
      <c r="FY13" s="443">
        <v>3763475.0882405844</v>
      </c>
      <c r="FZ13" s="443">
        <v>0</v>
      </c>
      <c r="GA13" s="443">
        <v>0</v>
      </c>
      <c r="GB13" s="443">
        <v>0</v>
      </c>
      <c r="GC13" s="443">
        <v>0</v>
      </c>
      <c r="GD13" s="443">
        <v>0</v>
      </c>
      <c r="GE13" s="443">
        <v>0</v>
      </c>
      <c r="GF13" s="443">
        <v>0</v>
      </c>
      <c r="GG13" s="443">
        <v>0</v>
      </c>
      <c r="GH13" s="443">
        <v>0</v>
      </c>
      <c r="GI13" s="443">
        <v>0</v>
      </c>
      <c r="GJ13" s="443">
        <v>0</v>
      </c>
      <c r="GK13" s="33">
        <v>0</v>
      </c>
      <c r="GL13" s="27"/>
    </row>
    <row r="14" spans="1:194">
      <c r="A14" s="459" t="s">
        <v>991</v>
      </c>
      <c r="B14" s="456" t="s">
        <v>1185</v>
      </c>
      <c r="C14" s="541" t="s">
        <v>176</v>
      </c>
      <c r="D14" s="456" t="s">
        <v>1207</v>
      </c>
      <c r="E14" s="463" t="s">
        <v>1209</v>
      </c>
      <c r="F14" s="463"/>
      <c r="G14" s="456"/>
      <c r="H14" s="456">
        <v>0</v>
      </c>
      <c r="I14" s="456">
        <v>0</v>
      </c>
      <c r="J14" s="456" t="s">
        <v>1237</v>
      </c>
      <c r="K14" s="456">
        <v>0</v>
      </c>
      <c r="L14" s="456" t="s">
        <v>183</v>
      </c>
      <c r="M14" s="470">
        <v>3</v>
      </c>
      <c r="N14" s="470">
        <v>3</v>
      </c>
      <c r="O14" s="470">
        <v>3</v>
      </c>
      <c r="P14" s="470">
        <v>3</v>
      </c>
      <c r="Q14" s="470">
        <v>3</v>
      </c>
      <c r="R14" s="470">
        <v>3</v>
      </c>
      <c r="S14" s="470">
        <v>3</v>
      </c>
      <c r="T14" s="470">
        <v>3</v>
      </c>
      <c r="U14" s="470">
        <v>3</v>
      </c>
      <c r="V14" s="470">
        <v>3</v>
      </c>
      <c r="W14" s="470">
        <v>0</v>
      </c>
      <c r="X14" s="457">
        <v>0</v>
      </c>
      <c r="Y14" s="472">
        <v>2822413.9414824001</v>
      </c>
      <c r="Z14" s="472">
        <v>2893851.3833759152</v>
      </c>
      <c r="AA14" s="472">
        <v>2967096.9612162109</v>
      </c>
      <c r="AB14" s="472">
        <v>3042196.4402982835</v>
      </c>
      <c r="AC14" s="472">
        <v>3119196.7442715275</v>
      </c>
      <c r="AD14" s="472">
        <v>3198145.9844585657</v>
      </c>
      <c r="AE14" s="472">
        <v>3279093.4899161602</v>
      </c>
      <c r="AF14" s="472">
        <v>3362089.8382569905</v>
      </c>
      <c r="AG14" s="472">
        <v>3447186.8872515522</v>
      </c>
      <c r="AH14" s="472">
        <v>3534437.8072299231</v>
      </c>
      <c r="AI14" s="472">
        <v>0</v>
      </c>
      <c r="AJ14" s="457">
        <v>12</v>
      </c>
      <c r="AK14" s="457">
        <v>12</v>
      </c>
      <c r="AL14" s="457">
        <v>12</v>
      </c>
      <c r="AM14" s="457">
        <v>12</v>
      </c>
      <c r="AN14" s="457">
        <v>12</v>
      </c>
      <c r="AO14" s="457">
        <v>12</v>
      </c>
      <c r="AP14" s="457">
        <v>12</v>
      </c>
      <c r="AQ14" s="457">
        <v>12</v>
      </c>
      <c r="AR14" s="457">
        <v>12</v>
      </c>
      <c r="AS14" s="457">
        <v>12</v>
      </c>
      <c r="AT14" s="457">
        <v>12</v>
      </c>
      <c r="AU14" s="458">
        <v>1</v>
      </c>
      <c r="AV14" s="510">
        <v>1.02531076</v>
      </c>
      <c r="AW14" s="456">
        <v>0</v>
      </c>
      <c r="AX14" s="443">
        <v>1139965541.199271</v>
      </c>
      <c r="AY14" s="443">
        <v>101606901.8933664</v>
      </c>
      <c r="AZ14" s="443">
        <v>104178649.80153292</v>
      </c>
      <c r="BA14" s="443">
        <v>106815490.60378359</v>
      </c>
      <c r="BB14" s="443">
        <v>109519071.85073821</v>
      </c>
      <c r="BC14" s="443">
        <v>112291082.79377498</v>
      </c>
      <c r="BD14" s="443">
        <v>115133255.44050837</v>
      </c>
      <c r="BE14" s="443">
        <v>118047365.63698177</v>
      </c>
      <c r="BF14" s="443">
        <v>121035234.17725165</v>
      </c>
      <c r="BG14" s="443">
        <v>124098727.94105585</v>
      </c>
      <c r="BH14" s="443">
        <v>127239761.06027721</v>
      </c>
      <c r="BI14" s="443">
        <v>0</v>
      </c>
      <c r="BJ14" s="442">
        <v>8467241.8244471997</v>
      </c>
      <c r="BK14" s="443">
        <v>8467241.8244471997</v>
      </c>
      <c r="BL14" s="443">
        <v>8467241.8244471997</v>
      </c>
      <c r="BM14" s="443">
        <v>8467241.8244471997</v>
      </c>
      <c r="BN14" s="443">
        <v>8467241.8244471997</v>
      </c>
      <c r="BO14" s="443">
        <v>8467241.8244471997</v>
      </c>
      <c r="BP14" s="443">
        <v>8467241.8244471997</v>
      </c>
      <c r="BQ14" s="443">
        <v>8467241.8244471997</v>
      </c>
      <c r="BR14" s="443">
        <v>8467241.8244471997</v>
      </c>
      <c r="BS14" s="443">
        <v>8467241.8244471997</v>
      </c>
      <c r="BT14" s="443">
        <v>8467241.8244471997</v>
      </c>
      <c r="BU14" s="443">
        <v>8467241.8244471997</v>
      </c>
      <c r="BV14" s="443">
        <v>8681554.1501277462</v>
      </c>
      <c r="BW14" s="443">
        <v>8681554.1501277462</v>
      </c>
      <c r="BX14" s="443">
        <v>8681554.1501277462</v>
      </c>
      <c r="BY14" s="443">
        <v>8681554.1501277462</v>
      </c>
      <c r="BZ14" s="443">
        <v>8681554.1501277462</v>
      </c>
      <c r="CA14" s="443">
        <v>8681554.1501277462</v>
      </c>
      <c r="CB14" s="443">
        <v>8681554.1501277462</v>
      </c>
      <c r="CC14" s="443">
        <v>8681554.1501277462</v>
      </c>
      <c r="CD14" s="443">
        <v>8681554.1501277462</v>
      </c>
      <c r="CE14" s="443">
        <v>8681554.1501277462</v>
      </c>
      <c r="CF14" s="443">
        <v>8681554.1501277462</v>
      </c>
      <c r="CG14" s="443">
        <v>8681554.1501277462</v>
      </c>
      <c r="CH14" s="443">
        <v>8901290.8836486321</v>
      </c>
      <c r="CI14" s="443">
        <v>8901290.8836486321</v>
      </c>
      <c r="CJ14" s="443">
        <v>8901290.8836486321</v>
      </c>
      <c r="CK14" s="443">
        <v>8901290.8836486321</v>
      </c>
      <c r="CL14" s="443">
        <v>8901290.8836486321</v>
      </c>
      <c r="CM14" s="443">
        <v>8901290.8836486321</v>
      </c>
      <c r="CN14" s="443">
        <v>8901290.8836486321</v>
      </c>
      <c r="CO14" s="443">
        <v>8901290.8836486321</v>
      </c>
      <c r="CP14" s="443">
        <v>8901290.8836486321</v>
      </c>
      <c r="CQ14" s="443">
        <v>8901290.8836486321</v>
      </c>
      <c r="CR14" s="443">
        <v>8901290.8836486321</v>
      </c>
      <c r="CS14" s="443">
        <v>8901290.8836486321</v>
      </c>
      <c r="CT14" s="443">
        <v>9126589.3208948504</v>
      </c>
      <c r="CU14" s="443">
        <v>9126589.3208948504</v>
      </c>
      <c r="CV14" s="443">
        <v>9126589.3208948504</v>
      </c>
      <c r="CW14" s="443">
        <v>9126589.3208948504</v>
      </c>
      <c r="CX14" s="443">
        <v>9126589.3208948504</v>
      </c>
      <c r="CY14" s="443">
        <v>9126589.3208948504</v>
      </c>
      <c r="CZ14" s="443">
        <v>9126589.3208948504</v>
      </c>
      <c r="DA14" s="443">
        <v>9126589.3208948504</v>
      </c>
      <c r="DB14" s="443">
        <v>9126589.3208948504</v>
      </c>
      <c r="DC14" s="443">
        <v>9126589.3208948504</v>
      </c>
      <c r="DD14" s="443">
        <v>9126589.3208948504</v>
      </c>
      <c r="DE14" s="443">
        <v>9126589.3208948504</v>
      </c>
      <c r="DF14" s="443">
        <v>9357590.2328145821</v>
      </c>
      <c r="DG14" s="443">
        <v>9357590.2328145821</v>
      </c>
      <c r="DH14" s="443">
        <v>9357590.2328145821</v>
      </c>
      <c r="DI14" s="443">
        <v>9357590.2328145821</v>
      </c>
      <c r="DJ14" s="443">
        <v>9357590.2328145821</v>
      </c>
      <c r="DK14" s="443">
        <v>9357590.2328145821</v>
      </c>
      <c r="DL14" s="443">
        <v>9357590.2328145821</v>
      </c>
      <c r="DM14" s="443">
        <v>9357590.2328145821</v>
      </c>
      <c r="DN14" s="443">
        <v>9357590.2328145821</v>
      </c>
      <c r="DO14" s="443">
        <v>9357590.2328145821</v>
      </c>
      <c r="DP14" s="443">
        <v>9357590.2328145821</v>
      </c>
      <c r="DQ14" s="443">
        <v>9357590.2328145821</v>
      </c>
      <c r="DR14" s="443">
        <v>9594437.9533756971</v>
      </c>
      <c r="DS14" s="443">
        <v>9594437.9533756971</v>
      </c>
      <c r="DT14" s="443">
        <v>9594437.9533756971</v>
      </c>
      <c r="DU14" s="443">
        <v>9594437.9533756971</v>
      </c>
      <c r="DV14" s="443">
        <v>9594437.9533756971</v>
      </c>
      <c r="DW14" s="443">
        <v>9594437.9533756971</v>
      </c>
      <c r="DX14" s="443">
        <v>9594437.9533756971</v>
      </c>
      <c r="DY14" s="443">
        <v>9594437.9533756971</v>
      </c>
      <c r="DZ14" s="443">
        <v>9594437.9533756971</v>
      </c>
      <c r="EA14" s="443">
        <v>9594437.9533756971</v>
      </c>
      <c r="EB14" s="443">
        <v>9594437.9533756971</v>
      </c>
      <c r="EC14" s="443">
        <v>9594437.9533756971</v>
      </c>
      <c r="ED14" s="443">
        <v>9837280.4697484802</v>
      </c>
      <c r="EE14" s="443">
        <v>9837280.4697484802</v>
      </c>
      <c r="EF14" s="443">
        <v>9837280.4697484802</v>
      </c>
      <c r="EG14" s="443">
        <v>9837280.4697484802</v>
      </c>
      <c r="EH14" s="443">
        <v>9837280.4697484802</v>
      </c>
      <c r="EI14" s="443">
        <v>9837280.4697484802</v>
      </c>
      <c r="EJ14" s="443">
        <v>9837280.4697484802</v>
      </c>
      <c r="EK14" s="443">
        <v>9837280.4697484802</v>
      </c>
      <c r="EL14" s="443">
        <v>9837280.4697484802</v>
      </c>
      <c r="EM14" s="443">
        <v>9837280.4697484802</v>
      </c>
      <c r="EN14" s="443">
        <v>9837280.4697484802</v>
      </c>
      <c r="EO14" s="443">
        <v>9837280.4697484802</v>
      </c>
      <c r="EP14" s="443">
        <v>10086269.514770972</v>
      </c>
      <c r="EQ14" s="443">
        <v>10086269.514770972</v>
      </c>
      <c r="ER14" s="443">
        <v>10086269.514770972</v>
      </c>
      <c r="ES14" s="443">
        <v>10086269.514770972</v>
      </c>
      <c r="ET14" s="443">
        <v>10086269.514770972</v>
      </c>
      <c r="EU14" s="443">
        <v>10086269.514770972</v>
      </c>
      <c r="EV14" s="443">
        <v>10086269.514770972</v>
      </c>
      <c r="EW14" s="443">
        <v>10086269.514770972</v>
      </c>
      <c r="EX14" s="443">
        <v>10086269.514770972</v>
      </c>
      <c r="EY14" s="443">
        <v>10086269.514770972</v>
      </c>
      <c r="EZ14" s="443">
        <v>10086269.514770972</v>
      </c>
      <c r="FA14" s="443">
        <v>10086269.514770972</v>
      </c>
      <c r="FB14" s="443">
        <v>10341560.661754657</v>
      </c>
      <c r="FC14" s="443">
        <v>10341560.661754657</v>
      </c>
      <c r="FD14" s="443">
        <v>10341560.661754657</v>
      </c>
      <c r="FE14" s="443">
        <v>10341560.661754657</v>
      </c>
      <c r="FF14" s="443">
        <v>10341560.661754657</v>
      </c>
      <c r="FG14" s="443">
        <v>10341560.661754657</v>
      </c>
      <c r="FH14" s="443">
        <v>10341560.661754657</v>
      </c>
      <c r="FI14" s="443">
        <v>10341560.661754657</v>
      </c>
      <c r="FJ14" s="443">
        <v>10341560.661754657</v>
      </c>
      <c r="FK14" s="443">
        <v>10341560.661754657</v>
      </c>
      <c r="FL14" s="443">
        <v>10341560.661754657</v>
      </c>
      <c r="FM14" s="443">
        <v>10341560.661754657</v>
      </c>
      <c r="FN14" s="443">
        <v>10603313.421689769</v>
      </c>
      <c r="FO14" s="443">
        <v>10603313.421689769</v>
      </c>
      <c r="FP14" s="443">
        <v>10603313.421689769</v>
      </c>
      <c r="FQ14" s="443">
        <v>10603313.421689769</v>
      </c>
      <c r="FR14" s="443">
        <v>10603313.421689769</v>
      </c>
      <c r="FS14" s="443">
        <v>10603313.421689769</v>
      </c>
      <c r="FT14" s="443">
        <v>10603313.421689769</v>
      </c>
      <c r="FU14" s="443">
        <v>10603313.421689769</v>
      </c>
      <c r="FV14" s="443">
        <v>10603313.421689769</v>
      </c>
      <c r="FW14" s="443">
        <v>10603313.421689769</v>
      </c>
      <c r="FX14" s="443">
        <v>10603313.421689769</v>
      </c>
      <c r="FY14" s="443">
        <v>10603313.421689769</v>
      </c>
      <c r="FZ14" s="443">
        <v>0</v>
      </c>
      <c r="GA14" s="443">
        <v>0</v>
      </c>
      <c r="GB14" s="443">
        <v>0</v>
      </c>
      <c r="GC14" s="443">
        <v>0</v>
      </c>
      <c r="GD14" s="443">
        <v>0</v>
      </c>
      <c r="GE14" s="443">
        <v>0</v>
      </c>
      <c r="GF14" s="443">
        <v>0</v>
      </c>
      <c r="GG14" s="443">
        <v>0</v>
      </c>
      <c r="GH14" s="443">
        <v>0</v>
      </c>
      <c r="GI14" s="443">
        <v>0</v>
      </c>
      <c r="GJ14" s="443">
        <v>0</v>
      </c>
      <c r="GK14" s="33">
        <v>0</v>
      </c>
      <c r="GL14" s="27"/>
    </row>
    <row r="15" spans="1:194">
      <c r="A15" s="459" t="s">
        <v>992</v>
      </c>
      <c r="B15" s="456" t="s">
        <v>1185</v>
      </c>
      <c r="C15" s="541" t="s">
        <v>176</v>
      </c>
      <c r="D15" s="456" t="s">
        <v>1200</v>
      </c>
      <c r="E15" s="463" t="s">
        <v>1210</v>
      </c>
      <c r="F15" s="463"/>
      <c r="G15" s="456"/>
      <c r="H15" s="456">
        <v>0</v>
      </c>
      <c r="I15" s="456">
        <v>0</v>
      </c>
      <c r="J15" s="456" t="s">
        <v>1237</v>
      </c>
      <c r="K15" s="456">
        <v>0</v>
      </c>
      <c r="L15" s="456" t="s">
        <v>183</v>
      </c>
      <c r="M15" s="470">
        <v>1</v>
      </c>
      <c r="N15" s="470">
        <v>1</v>
      </c>
      <c r="O15" s="470">
        <v>1</v>
      </c>
      <c r="P15" s="470">
        <v>1</v>
      </c>
      <c r="Q15" s="470">
        <v>1</v>
      </c>
      <c r="R15" s="470">
        <v>1</v>
      </c>
      <c r="S15" s="470">
        <v>1</v>
      </c>
      <c r="T15" s="470">
        <v>1</v>
      </c>
      <c r="U15" s="470">
        <v>1</v>
      </c>
      <c r="V15" s="470">
        <v>1</v>
      </c>
      <c r="W15" s="470">
        <v>0</v>
      </c>
      <c r="X15" s="457">
        <v>0</v>
      </c>
      <c r="Y15" s="472">
        <v>2822413.9414824001</v>
      </c>
      <c r="Z15" s="472">
        <v>2893851.3833759152</v>
      </c>
      <c r="AA15" s="472">
        <v>2967096.9612162109</v>
      </c>
      <c r="AB15" s="472">
        <v>3042196.4402982835</v>
      </c>
      <c r="AC15" s="472">
        <v>3119196.7442715275</v>
      </c>
      <c r="AD15" s="472">
        <v>3198145.9844585657</v>
      </c>
      <c r="AE15" s="472">
        <v>3279093.4899161602</v>
      </c>
      <c r="AF15" s="472">
        <v>3362089.8382569905</v>
      </c>
      <c r="AG15" s="472">
        <v>3447186.8872515522</v>
      </c>
      <c r="AH15" s="472">
        <v>3534437.8072299231</v>
      </c>
      <c r="AI15" s="472">
        <v>0</v>
      </c>
      <c r="AJ15" s="457">
        <v>12</v>
      </c>
      <c r="AK15" s="457">
        <v>12</v>
      </c>
      <c r="AL15" s="457">
        <v>12</v>
      </c>
      <c r="AM15" s="457">
        <v>12</v>
      </c>
      <c r="AN15" s="457">
        <v>12</v>
      </c>
      <c r="AO15" s="457">
        <v>12</v>
      </c>
      <c r="AP15" s="457">
        <v>12</v>
      </c>
      <c r="AQ15" s="457">
        <v>12</v>
      </c>
      <c r="AR15" s="457">
        <v>12</v>
      </c>
      <c r="AS15" s="457">
        <v>12</v>
      </c>
      <c r="AT15" s="457">
        <v>12</v>
      </c>
      <c r="AU15" s="458">
        <v>1</v>
      </c>
      <c r="AV15" s="510">
        <v>1.02531076</v>
      </c>
      <c r="AW15" s="456">
        <v>0</v>
      </c>
      <c r="AX15" s="443">
        <v>379988513.73309028</v>
      </c>
      <c r="AY15" s="443">
        <v>33868967.297788791</v>
      </c>
      <c r="AZ15" s="443">
        <v>34726216.600510992</v>
      </c>
      <c r="BA15" s="443">
        <v>35605163.534594528</v>
      </c>
      <c r="BB15" s="443">
        <v>36506357.283579394</v>
      </c>
      <c r="BC15" s="443">
        <v>37430360.931258328</v>
      </c>
      <c r="BD15" s="443">
        <v>38377751.813502789</v>
      </c>
      <c r="BE15" s="443">
        <v>39349121.878993921</v>
      </c>
      <c r="BF15" s="443">
        <v>40345078.059083901</v>
      </c>
      <c r="BG15" s="443">
        <v>41366242.647018626</v>
      </c>
      <c r="BH15" s="443">
        <v>42413253.686759062</v>
      </c>
      <c r="BI15" s="443">
        <v>0</v>
      </c>
      <c r="BJ15" s="442">
        <v>2822413.9414824001</v>
      </c>
      <c r="BK15" s="443">
        <v>2822413.9414824001</v>
      </c>
      <c r="BL15" s="443">
        <v>2822413.9414824001</v>
      </c>
      <c r="BM15" s="443">
        <v>2822413.9414824001</v>
      </c>
      <c r="BN15" s="443">
        <v>2822413.9414824001</v>
      </c>
      <c r="BO15" s="443">
        <v>2822413.9414824001</v>
      </c>
      <c r="BP15" s="443">
        <v>2822413.9414824001</v>
      </c>
      <c r="BQ15" s="443">
        <v>2822413.9414824001</v>
      </c>
      <c r="BR15" s="443">
        <v>2822413.9414824001</v>
      </c>
      <c r="BS15" s="443">
        <v>2822413.9414824001</v>
      </c>
      <c r="BT15" s="443">
        <v>2822413.9414824001</v>
      </c>
      <c r="BU15" s="443">
        <v>2822413.9414824001</v>
      </c>
      <c r="BV15" s="443">
        <v>2893851.3833759152</v>
      </c>
      <c r="BW15" s="443">
        <v>2893851.3833759152</v>
      </c>
      <c r="BX15" s="443">
        <v>2893851.3833759152</v>
      </c>
      <c r="BY15" s="443">
        <v>2893851.3833759152</v>
      </c>
      <c r="BZ15" s="443">
        <v>2893851.3833759152</v>
      </c>
      <c r="CA15" s="443">
        <v>2893851.3833759152</v>
      </c>
      <c r="CB15" s="443">
        <v>2893851.3833759152</v>
      </c>
      <c r="CC15" s="443">
        <v>2893851.3833759152</v>
      </c>
      <c r="CD15" s="443">
        <v>2893851.3833759152</v>
      </c>
      <c r="CE15" s="443">
        <v>2893851.3833759152</v>
      </c>
      <c r="CF15" s="443">
        <v>2893851.3833759152</v>
      </c>
      <c r="CG15" s="443">
        <v>2893851.3833759152</v>
      </c>
      <c r="CH15" s="443">
        <v>2967096.9612162109</v>
      </c>
      <c r="CI15" s="443">
        <v>2967096.9612162109</v>
      </c>
      <c r="CJ15" s="443">
        <v>2967096.9612162109</v>
      </c>
      <c r="CK15" s="443">
        <v>2967096.9612162109</v>
      </c>
      <c r="CL15" s="443">
        <v>2967096.9612162109</v>
      </c>
      <c r="CM15" s="443">
        <v>2967096.9612162109</v>
      </c>
      <c r="CN15" s="443">
        <v>2967096.9612162109</v>
      </c>
      <c r="CO15" s="443">
        <v>2967096.9612162109</v>
      </c>
      <c r="CP15" s="443">
        <v>2967096.9612162109</v>
      </c>
      <c r="CQ15" s="443">
        <v>2967096.9612162109</v>
      </c>
      <c r="CR15" s="443">
        <v>2967096.9612162109</v>
      </c>
      <c r="CS15" s="443">
        <v>2967096.9612162109</v>
      </c>
      <c r="CT15" s="443">
        <v>3042196.4402982835</v>
      </c>
      <c r="CU15" s="443">
        <v>3042196.4402982835</v>
      </c>
      <c r="CV15" s="443">
        <v>3042196.4402982835</v>
      </c>
      <c r="CW15" s="443">
        <v>3042196.4402982835</v>
      </c>
      <c r="CX15" s="443">
        <v>3042196.4402982835</v>
      </c>
      <c r="CY15" s="443">
        <v>3042196.4402982835</v>
      </c>
      <c r="CZ15" s="443">
        <v>3042196.4402982835</v>
      </c>
      <c r="DA15" s="443">
        <v>3042196.4402982835</v>
      </c>
      <c r="DB15" s="443">
        <v>3042196.4402982835</v>
      </c>
      <c r="DC15" s="443">
        <v>3042196.4402982835</v>
      </c>
      <c r="DD15" s="443">
        <v>3042196.4402982835</v>
      </c>
      <c r="DE15" s="443">
        <v>3042196.4402982835</v>
      </c>
      <c r="DF15" s="443">
        <v>3119196.7442715275</v>
      </c>
      <c r="DG15" s="443">
        <v>3119196.7442715275</v>
      </c>
      <c r="DH15" s="443">
        <v>3119196.7442715275</v>
      </c>
      <c r="DI15" s="443">
        <v>3119196.7442715275</v>
      </c>
      <c r="DJ15" s="443">
        <v>3119196.7442715275</v>
      </c>
      <c r="DK15" s="443">
        <v>3119196.7442715275</v>
      </c>
      <c r="DL15" s="443">
        <v>3119196.7442715275</v>
      </c>
      <c r="DM15" s="443">
        <v>3119196.7442715275</v>
      </c>
      <c r="DN15" s="443">
        <v>3119196.7442715275</v>
      </c>
      <c r="DO15" s="443">
        <v>3119196.7442715275</v>
      </c>
      <c r="DP15" s="443">
        <v>3119196.7442715275</v>
      </c>
      <c r="DQ15" s="443">
        <v>3119196.7442715275</v>
      </c>
      <c r="DR15" s="443">
        <v>3198145.9844585657</v>
      </c>
      <c r="DS15" s="443">
        <v>3198145.9844585657</v>
      </c>
      <c r="DT15" s="443">
        <v>3198145.9844585657</v>
      </c>
      <c r="DU15" s="443">
        <v>3198145.9844585657</v>
      </c>
      <c r="DV15" s="443">
        <v>3198145.9844585657</v>
      </c>
      <c r="DW15" s="443">
        <v>3198145.9844585657</v>
      </c>
      <c r="DX15" s="443">
        <v>3198145.9844585657</v>
      </c>
      <c r="DY15" s="443">
        <v>3198145.9844585657</v>
      </c>
      <c r="DZ15" s="443">
        <v>3198145.9844585657</v>
      </c>
      <c r="EA15" s="443">
        <v>3198145.9844585657</v>
      </c>
      <c r="EB15" s="443">
        <v>3198145.9844585657</v>
      </c>
      <c r="EC15" s="443">
        <v>3198145.9844585657</v>
      </c>
      <c r="ED15" s="443">
        <v>3279093.4899161602</v>
      </c>
      <c r="EE15" s="443">
        <v>3279093.4899161602</v>
      </c>
      <c r="EF15" s="443">
        <v>3279093.4899161602</v>
      </c>
      <c r="EG15" s="443">
        <v>3279093.4899161602</v>
      </c>
      <c r="EH15" s="443">
        <v>3279093.4899161602</v>
      </c>
      <c r="EI15" s="443">
        <v>3279093.4899161602</v>
      </c>
      <c r="EJ15" s="443">
        <v>3279093.4899161602</v>
      </c>
      <c r="EK15" s="443">
        <v>3279093.4899161602</v>
      </c>
      <c r="EL15" s="443">
        <v>3279093.4899161602</v>
      </c>
      <c r="EM15" s="443">
        <v>3279093.4899161602</v>
      </c>
      <c r="EN15" s="443">
        <v>3279093.4899161602</v>
      </c>
      <c r="EO15" s="443">
        <v>3279093.4899161602</v>
      </c>
      <c r="EP15" s="443">
        <v>3362089.8382569905</v>
      </c>
      <c r="EQ15" s="443">
        <v>3362089.8382569905</v>
      </c>
      <c r="ER15" s="443">
        <v>3362089.8382569905</v>
      </c>
      <c r="ES15" s="443">
        <v>3362089.8382569905</v>
      </c>
      <c r="ET15" s="443">
        <v>3362089.8382569905</v>
      </c>
      <c r="EU15" s="443">
        <v>3362089.8382569905</v>
      </c>
      <c r="EV15" s="443">
        <v>3362089.8382569905</v>
      </c>
      <c r="EW15" s="443">
        <v>3362089.8382569905</v>
      </c>
      <c r="EX15" s="443">
        <v>3362089.8382569905</v>
      </c>
      <c r="EY15" s="443">
        <v>3362089.8382569905</v>
      </c>
      <c r="EZ15" s="443">
        <v>3362089.8382569905</v>
      </c>
      <c r="FA15" s="443">
        <v>3362089.8382569905</v>
      </c>
      <c r="FB15" s="443">
        <v>3447186.8872515522</v>
      </c>
      <c r="FC15" s="443">
        <v>3447186.8872515522</v>
      </c>
      <c r="FD15" s="443">
        <v>3447186.8872515522</v>
      </c>
      <c r="FE15" s="443">
        <v>3447186.8872515522</v>
      </c>
      <c r="FF15" s="443">
        <v>3447186.8872515522</v>
      </c>
      <c r="FG15" s="443">
        <v>3447186.8872515522</v>
      </c>
      <c r="FH15" s="443">
        <v>3447186.8872515522</v>
      </c>
      <c r="FI15" s="443">
        <v>3447186.8872515522</v>
      </c>
      <c r="FJ15" s="443">
        <v>3447186.8872515522</v>
      </c>
      <c r="FK15" s="443">
        <v>3447186.8872515522</v>
      </c>
      <c r="FL15" s="443">
        <v>3447186.8872515522</v>
      </c>
      <c r="FM15" s="443">
        <v>3447186.8872515522</v>
      </c>
      <c r="FN15" s="443">
        <v>3534437.8072299231</v>
      </c>
      <c r="FO15" s="443">
        <v>3534437.8072299231</v>
      </c>
      <c r="FP15" s="443">
        <v>3534437.8072299231</v>
      </c>
      <c r="FQ15" s="443">
        <v>3534437.8072299231</v>
      </c>
      <c r="FR15" s="443">
        <v>3534437.8072299231</v>
      </c>
      <c r="FS15" s="443">
        <v>3534437.8072299231</v>
      </c>
      <c r="FT15" s="443">
        <v>3534437.8072299231</v>
      </c>
      <c r="FU15" s="443">
        <v>3534437.8072299231</v>
      </c>
      <c r="FV15" s="443">
        <v>3534437.8072299231</v>
      </c>
      <c r="FW15" s="443">
        <v>3534437.8072299231</v>
      </c>
      <c r="FX15" s="443">
        <v>3534437.8072299231</v>
      </c>
      <c r="FY15" s="443">
        <v>3534437.8072299231</v>
      </c>
      <c r="FZ15" s="443">
        <v>0</v>
      </c>
      <c r="GA15" s="443">
        <v>0</v>
      </c>
      <c r="GB15" s="443">
        <v>0</v>
      </c>
      <c r="GC15" s="443">
        <v>0</v>
      </c>
      <c r="GD15" s="443">
        <v>0</v>
      </c>
      <c r="GE15" s="443">
        <v>0</v>
      </c>
      <c r="GF15" s="443">
        <v>0</v>
      </c>
      <c r="GG15" s="443">
        <v>0</v>
      </c>
      <c r="GH15" s="443">
        <v>0</v>
      </c>
      <c r="GI15" s="443">
        <v>0</v>
      </c>
      <c r="GJ15" s="443">
        <v>0</v>
      </c>
      <c r="GK15" s="33">
        <v>0</v>
      </c>
      <c r="GL15" s="27"/>
    </row>
    <row r="16" spans="1:194">
      <c r="A16" s="459" t="s">
        <v>993</v>
      </c>
      <c r="B16" s="456" t="s">
        <v>1185</v>
      </c>
      <c r="C16" s="541" t="s">
        <v>176</v>
      </c>
      <c r="D16" s="456" t="s">
        <v>1202</v>
      </c>
      <c r="E16" s="463" t="s">
        <v>1210</v>
      </c>
      <c r="F16" s="463"/>
      <c r="G16" s="456"/>
      <c r="H16" s="456">
        <v>0</v>
      </c>
      <c r="I16" s="456">
        <v>0</v>
      </c>
      <c r="J16" s="456" t="s">
        <v>1237</v>
      </c>
      <c r="K16" s="456">
        <v>0</v>
      </c>
      <c r="L16" s="456" t="s">
        <v>183</v>
      </c>
      <c r="M16" s="470">
        <v>1</v>
      </c>
      <c r="N16" s="470">
        <v>1</v>
      </c>
      <c r="O16" s="470">
        <v>1</v>
      </c>
      <c r="P16" s="470">
        <v>1</v>
      </c>
      <c r="Q16" s="470">
        <v>1</v>
      </c>
      <c r="R16" s="470">
        <v>1</v>
      </c>
      <c r="S16" s="470">
        <v>1</v>
      </c>
      <c r="T16" s="470">
        <v>1</v>
      </c>
      <c r="U16" s="470">
        <v>1</v>
      </c>
      <c r="V16" s="470">
        <v>1</v>
      </c>
      <c r="W16" s="470">
        <v>0</v>
      </c>
      <c r="X16" s="457">
        <v>0</v>
      </c>
      <c r="Y16" s="472">
        <v>2822413.9414824001</v>
      </c>
      <c r="Z16" s="472">
        <v>2893851.3833759152</v>
      </c>
      <c r="AA16" s="472">
        <v>2967096.9612162109</v>
      </c>
      <c r="AB16" s="472">
        <v>3042196.4402982835</v>
      </c>
      <c r="AC16" s="472">
        <v>3119196.7442715275</v>
      </c>
      <c r="AD16" s="472">
        <v>3198145.9844585657</v>
      </c>
      <c r="AE16" s="472">
        <v>3279093.4899161602</v>
      </c>
      <c r="AF16" s="472">
        <v>3362089.8382569905</v>
      </c>
      <c r="AG16" s="472">
        <v>3447186.8872515522</v>
      </c>
      <c r="AH16" s="472">
        <v>3534437.8072299231</v>
      </c>
      <c r="AI16" s="472">
        <v>0</v>
      </c>
      <c r="AJ16" s="457">
        <v>12</v>
      </c>
      <c r="AK16" s="457">
        <v>12</v>
      </c>
      <c r="AL16" s="457">
        <v>12</v>
      </c>
      <c r="AM16" s="457">
        <v>12</v>
      </c>
      <c r="AN16" s="457">
        <v>12</v>
      </c>
      <c r="AO16" s="457">
        <v>12</v>
      </c>
      <c r="AP16" s="457">
        <v>12</v>
      </c>
      <c r="AQ16" s="457">
        <v>12</v>
      </c>
      <c r="AR16" s="457">
        <v>12</v>
      </c>
      <c r="AS16" s="457">
        <v>12</v>
      </c>
      <c r="AT16" s="457">
        <v>12</v>
      </c>
      <c r="AU16" s="458">
        <v>1</v>
      </c>
      <c r="AV16" s="510">
        <v>1.02531076</v>
      </c>
      <c r="AW16" s="456">
        <v>0</v>
      </c>
      <c r="AX16" s="443">
        <v>379988513.73309028</v>
      </c>
      <c r="AY16" s="443">
        <v>33868967.297788791</v>
      </c>
      <c r="AZ16" s="443">
        <v>34726216.600510992</v>
      </c>
      <c r="BA16" s="443">
        <v>35605163.534594528</v>
      </c>
      <c r="BB16" s="443">
        <v>36506357.283579394</v>
      </c>
      <c r="BC16" s="443">
        <v>37430360.931258328</v>
      </c>
      <c r="BD16" s="443">
        <v>38377751.813502789</v>
      </c>
      <c r="BE16" s="443">
        <v>39349121.878993921</v>
      </c>
      <c r="BF16" s="443">
        <v>40345078.059083901</v>
      </c>
      <c r="BG16" s="443">
        <v>41366242.647018626</v>
      </c>
      <c r="BH16" s="443">
        <v>42413253.686759062</v>
      </c>
      <c r="BI16" s="443">
        <v>0</v>
      </c>
      <c r="BJ16" s="442">
        <v>2822413.9414824001</v>
      </c>
      <c r="BK16" s="443">
        <v>2822413.9414824001</v>
      </c>
      <c r="BL16" s="443">
        <v>2822413.9414824001</v>
      </c>
      <c r="BM16" s="443">
        <v>2822413.9414824001</v>
      </c>
      <c r="BN16" s="443">
        <v>2822413.9414824001</v>
      </c>
      <c r="BO16" s="443">
        <v>2822413.9414824001</v>
      </c>
      <c r="BP16" s="443">
        <v>2822413.9414824001</v>
      </c>
      <c r="BQ16" s="443">
        <v>2822413.9414824001</v>
      </c>
      <c r="BR16" s="443">
        <v>2822413.9414824001</v>
      </c>
      <c r="BS16" s="443">
        <v>2822413.9414824001</v>
      </c>
      <c r="BT16" s="443">
        <v>2822413.9414824001</v>
      </c>
      <c r="BU16" s="443">
        <v>2822413.9414824001</v>
      </c>
      <c r="BV16" s="443">
        <v>2893851.3833759152</v>
      </c>
      <c r="BW16" s="443">
        <v>2893851.3833759152</v>
      </c>
      <c r="BX16" s="443">
        <v>2893851.3833759152</v>
      </c>
      <c r="BY16" s="443">
        <v>2893851.3833759152</v>
      </c>
      <c r="BZ16" s="443">
        <v>2893851.3833759152</v>
      </c>
      <c r="CA16" s="443">
        <v>2893851.3833759152</v>
      </c>
      <c r="CB16" s="443">
        <v>2893851.3833759152</v>
      </c>
      <c r="CC16" s="443">
        <v>2893851.3833759152</v>
      </c>
      <c r="CD16" s="443">
        <v>2893851.3833759152</v>
      </c>
      <c r="CE16" s="443">
        <v>2893851.3833759152</v>
      </c>
      <c r="CF16" s="443">
        <v>2893851.3833759152</v>
      </c>
      <c r="CG16" s="443">
        <v>2893851.3833759152</v>
      </c>
      <c r="CH16" s="443">
        <v>2967096.9612162109</v>
      </c>
      <c r="CI16" s="443">
        <v>2967096.9612162109</v>
      </c>
      <c r="CJ16" s="443">
        <v>2967096.9612162109</v>
      </c>
      <c r="CK16" s="443">
        <v>2967096.9612162109</v>
      </c>
      <c r="CL16" s="443">
        <v>2967096.9612162109</v>
      </c>
      <c r="CM16" s="443">
        <v>2967096.9612162109</v>
      </c>
      <c r="CN16" s="443">
        <v>2967096.9612162109</v>
      </c>
      <c r="CO16" s="443">
        <v>2967096.9612162109</v>
      </c>
      <c r="CP16" s="443">
        <v>2967096.9612162109</v>
      </c>
      <c r="CQ16" s="443">
        <v>2967096.9612162109</v>
      </c>
      <c r="CR16" s="443">
        <v>2967096.9612162109</v>
      </c>
      <c r="CS16" s="443">
        <v>2967096.9612162109</v>
      </c>
      <c r="CT16" s="443">
        <v>3042196.4402982835</v>
      </c>
      <c r="CU16" s="443">
        <v>3042196.4402982835</v>
      </c>
      <c r="CV16" s="443">
        <v>3042196.4402982835</v>
      </c>
      <c r="CW16" s="443">
        <v>3042196.4402982835</v>
      </c>
      <c r="CX16" s="443">
        <v>3042196.4402982835</v>
      </c>
      <c r="CY16" s="443">
        <v>3042196.4402982835</v>
      </c>
      <c r="CZ16" s="443">
        <v>3042196.4402982835</v>
      </c>
      <c r="DA16" s="443">
        <v>3042196.4402982835</v>
      </c>
      <c r="DB16" s="443">
        <v>3042196.4402982835</v>
      </c>
      <c r="DC16" s="443">
        <v>3042196.4402982835</v>
      </c>
      <c r="DD16" s="443">
        <v>3042196.4402982835</v>
      </c>
      <c r="DE16" s="443">
        <v>3042196.4402982835</v>
      </c>
      <c r="DF16" s="443">
        <v>3119196.7442715275</v>
      </c>
      <c r="DG16" s="443">
        <v>3119196.7442715275</v>
      </c>
      <c r="DH16" s="443">
        <v>3119196.7442715275</v>
      </c>
      <c r="DI16" s="443">
        <v>3119196.7442715275</v>
      </c>
      <c r="DJ16" s="443">
        <v>3119196.7442715275</v>
      </c>
      <c r="DK16" s="443">
        <v>3119196.7442715275</v>
      </c>
      <c r="DL16" s="443">
        <v>3119196.7442715275</v>
      </c>
      <c r="DM16" s="443">
        <v>3119196.7442715275</v>
      </c>
      <c r="DN16" s="443">
        <v>3119196.7442715275</v>
      </c>
      <c r="DO16" s="443">
        <v>3119196.7442715275</v>
      </c>
      <c r="DP16" s="443">
        <v>3119196.7442715275</v>
      </c>
      <c r="DQ16" s="443">
        <v>3119196.7442715275</v>
      </c>
      <c r="DR16" s="443">
        <v>3198145.9844585657</v>
      </c>
      <c r="DS16" s="443">
        <v>3198145.9844585657</v>
      </c>
      <c r="DT16" s="443">
        <v>3198145.9844585657</v>
      </c>
      <c r="DU16" s="443">
        <v>3198145.9844585657</v>
      </c>
      <c r="DV16" s="443">
        <v>3198145.9844585657</v>
      </c>
      <c r="DW16" s="443">
        <v>3198145.9844585657</v>
      </c>
      <c r="DX16" s="443">
        <v>3198145.9844585657</v>
      </c>
      <c r="DY16" s="443">
        <v>3198145.9844585657</v>
      </c>
      <c r="DZ16" s="443">
        <v>3198145.9844585657</v>
      </c>
      <c r="EA16" s="443">
        <v>3198145.9844585657</v>
      </c>
      <c r="EB16" s="443">
        <v>3198145.9844585657</v>
      </c>
      <c r="EC16" s="443">
        <v>3198145.9844585657</v>
      </c>
      <c r="ED16" s="443">
        <v>3279093.4899161602</v>
      </c>
      <c r="EE16" s="443">
        <v>3279093.4899161602</v>
      </c>
      <c r="EF16" s="443">
        <v>3279093.4899161602</v>
      </c>
      <c r="EG16" s="443">
        <v>3279093.4899161602</v>
      </c>
      <c r="EH16" s="443">
        <v>3279093.4899161602</v>
      </c>
      <c r="EI16" s="443">
        <v>3279093.4899161602</v>
      </c>
      <c r="EJ16" s="443">
        <v>3279093.4899161602</v>
      </c>
      <c r="EK16" s="443">
        <v>3279093.4899161602</v>
      </c>
      <c r="EL16" s="443">
        <v>3279093.4899161602</v>
      </c>
      <c r="EM16" s="443">
        <v>3279093.4899161602</v>
      </c>
      <c r="EN16" s="443">
        <v>3279093.4899161602</v>
      </c>
      <c r="EO16" s="443">
        <v>3279093.4899161602</v>
      </c>
      <c r="EP16" s="443">
        <v>3362089.8382569905</v>
      </c>
      <c r="EQ16" s="443">
        <v>3362089.8382569905</v>
      </c>
      <c r="ER16" s="443">
        <v>3362089.8382569905</v>
      </c>
      <c r="ES16" s="443">
        <v>3362089.8382569905</v>
      </c>
      <c r="ET16" s="443">
        <v>3362089.8382569905</v>
      </c>
      <c r="EU16" s="443">
        <v>3362089.8382569905</v>
      </c>
      <c r="EV16" s="443">
        <v>3362089.8382569905</v>
      </c>
      <c r="EW16" s="443">
        <v>3362089.8382569905</v>
      </c>
      <c r="EX16" s="443">
        <v>3362089.8382569905</v>
      </c>
      <c r="EY16" s="443">
        <v>3362089.8382569905</v>
      </c>
      <c r="EZ16" s="443">
        <v>3362089.8382569905</v>
      </c>
      <c r="FA16" s="443">
        <v>3362089.8382569905</v>
      </c>
      <c r="FB16" s="443">
        <v>3447186.8872515522</v>
      </c>
      <c r="FC16" s="443">
        <v>3447186.8872515522</v>
      </c>
      <c r="FD16" s="443">
        <v>3447186.8872515522</v>
      </c>
      <c r="FE16" s="443">
        <v>3447186.8872515522</v>
      </c>
      <c r="FF16" s="443">
        <v>3447186.8872515522</v>
      </c>
      <c r="FG16" s="443">
        <v>3447186.8872515522</v>
      </c>
      <c r="FH16" s="443">
        <v>3447186.8872515522</v>
      </c>
      <c r="FI16" s="443">
        <v>3447186.8872515522</v>
      </c>
      <c r="FJ16" s="443">
        <v>3447186.8872515522</v>
      </c>
      <c r="FK16" s="443">
        <v>3447186.8872515522</v>
      </c>
      <c r="FL16" s="443">
        <v>3447186.8872515522</v>
      </c>
      <c r="FM16" s="443">
        <v>3447186.8872515522</v>
      </c>
      <c r="FN16" s="443">
        <v>3534437.8072299231</v>
      </c>
      <c r="FO16" s="443">
        <v>3534437.8072299231</v>
      </c>
      <c r="FP16" s="443">
        <v>3534437.8072299231</v>
      </c>
      <c r="FQ16" s="443">
        <v>3534437.8072299231</v>
      </c>
      <c r="FR16" s="443">
        <v>3534437.8072299231</v>
      </c>
      <c r="FS16" s="443">
        <v>3534437.8072299231</v>
      </c>
      <c r="FT16" s="443">
        <v>3534437.8072299231</v>
      </c>
      <c r="FU16" s="443">
        <v>3534437.8072299231</v>
      </c>
      <c r="FV16" s="443">
        <v>3534437.8072299231</v>
      </c>
      <c r="FW16" s="443">
        <v>3534437.8072299231</v>
      </c>
      <c r="FX16" s="443">
        <v>3534437.8072299231</v>
      </c>
      <c r="FY16" s="443">
        <v>3534437.8072299231</v>
      </c>
      <c r="FZ16" s="443">
        <v>0</v>
      </c>
      <c r="GA16" s="443">
        <v>0</v>
      </c>
      <c r="GB16" s="443">
        <v>0</v>
      </c>
      <c r="GC16" s="443">
        <v>0</v>
      </c>
      <c r="GD16" s="443">
        <v>0</v>
      </c>
      <c r="GE16" s="443">
        <v>0</v>
      </c>
      <c r="GF16" s="443">
        <v>0</v>
      </c>
      <c r="GG16" s="443">
        <v>0</v>
      </c>
      <c r="GH16" s="443">
        <v>0</v>
      </c>
      <c r="GI16" s="443">
        <v>0</v>
      </c>
      <c r="GJ16" s="443">
        <v>0</v>
      </c>
      <c r="GK16" s="33">
        <v>0</v>
      </c>
      <c r="GL16" s="27"/>
    </row>
    <row r="17" spans="1:194">
      <c r="A17" s="459" t="s">
        <v>994</v>
      </c>
      <c r="B17" s="456" t="s">
        <v>1185</v>
      </c>
      <c r="C17" s="541" t="s">
        <v>176</v>
      </c>
      <c r="D17" s="456" t="s">
        <v>1203</v>
      </c>
      <c r="E17" s="463" t="s">
        <v>1210</v>
      </c>
      <c r="F17" s="463"/>
      <c r="G17" s="456"/>
      <c r="H17" s="456">
        <v>0</v>
      </c>
      <c r="I17" s="456">
        <v>0</v>
      </c>
      <c r="J17" s="456" t="s">
        <v>1237</v>
      </c>
      <c r="K17" s="456">
        <v>0</v>
      </c>
      <c r="L17" s="456" t="s">
        <v>183</v>
      </c>
      <c r="M17" s="470">
        <v>1</v>
      </c>
      <c r="N17" s="470">
        <v>1</v>
      </c>
      <c r="O17" s="470">
        <v>1</v>
      </c>
      <c r="P17" s="470">
        <v>1</v>
      </c>
      <c r="Q17" s="470">
        <v>1</v>
      </c>
      <c r="R17" s="470">
        <v>1</v>
      </c>
      <c r="S17" s="470">
        <v>1</v>
      </c>
      <c r="T17" s="470">
        <v>1</v>
      </c>
      <c r="U17" s="470">
        <v>1</v>
      </c>
      <c r="V17" s="470">
        <v>1</v>
      </c>
      <c r="W17" s="470">
        <v>0</v>
      </c>
      <c r="X17" s="457">
        <v>0</v>
      </c>
      <c r="Y17" s="472">
        <v>2822413.9414824001</v>
      </c>
      <c r="Z17" s="472">
        <v>2893851.3833759152</v>
      </c>
      <c r="AA17" s="472">
        <v>2967096.9612162109</v>
      </c>
      <c r="AB17" s="472">
        <v>3042196.4402982835</v>
      </c>
      <c r="AC17" s="472">
        <v>3119196.7442715275</v>
      </c>
      <c r="AD17" s="472">
        <v>3198145.9844585657</v>
      </c>
      <c r="AE17" s="472">
        <v>3279093.4899161602</v>
      </c>
      <c r="AF17" s="472">
        <v>3362089.8382569905</v>
      </c>
      <c r="AG17" s="472">
        <v>3447186.8872515522</v>
      </c>
      <c r="AH17" s="472">
        <v>3534437.8072299231</v>
      </c>
      <c r="AI17" s="472">
        <v>0</v>
      </c>
      <c r="AJ17" s="457">
        <v>12</v>
      </c>
      <c r="AK17" s="457">
        <v>12</v>
      </c>
      <c r="AL17" s="457">
        <v>12</v>
      </c>
      <c r="AM17" s="457">
        <v>12</v>
      </c>
      <c r="AN17" s="457">
        <v>12</v>
      </c>
      <c r="AO17" s="457">
        <v>12</v>
      </c>
      <c r="AP17" s="457">
        <v>12</v>
      </c>
      <c r="AQ17" s="457">
        <v>12</v>
      </c>
      <c r="AR17" s="457">
        <v>12</v>
      </c>
      <c r="AS17" s="457">
        <v>12</v>
      </c>
      <c r="AT17" s="457">
        <v>12</v>
      </c>
      <c r="AU17" s="458">
        <v>1</v>
      </c>
      <c r="AV17" s="510">
        <v>1.02531076</v>
      </c>
      <c r="AW17" s="456">
        <v>0</v>
      </c>
      <c r="AX17" s="443">
        <v>379988513.73309028</v>
      </c>
      <c r="AY17" s="443">
        <v>33868967.297788791</v>
      </c>
      <c r="AZ17" s="443">
        <v>34726216.600510992</v>
      </c>
      <c r="BA17" s="443">
        <v>35605163.534594528</v>
      </c>
      <c r="BB17" s="443">
        <v>36506357.283579394</v>
      </c>
      <c r="BC17" s="443">
        <v>37430360.931258328</v>
      </c>
      <c r="BD17" s="443">
        <v>38377751.813502789</v>
      </c>
      <c r="BE17" s="443">
        <v>39349121.878993921</v>
      </c>
      <c r="BF17" s="443">
        <v>40345078.059083901</v>
      </c>
      <c r="BG17" s="443">
        <v>41366242.647018626</v>
      </c>
      <c r="BH17" s="443">
        <v>42413253.686759062</v>
      </c>
      <c r="BI17" s="443">
        <v>0</v>
      </c>
      <c r="BJ17" s="442">
        <v>2822413.9414824001</v>
      </c>
      <c r="BK17" s="443">
        <v>2822413.9414824001</v>
      </c>
      <c r="BL17" s="443">
        <v>2822413.9414824001</v>
      </c>
      <c r="BM17" s="443">
        <v>2822413.9414824001</v>
      </c>
      <c r="BN17" s="443">
        <v>2822413.9414824001</v>
      </c>
      <c r="BO17" s="443">
        <v>2822413.9414824001</v>
      </c>
      <c r="BP17" s="443">
        <v>2822413.9414824001</v>
      </c>
      <c r="BQ17" s="443">
        <v>2822413.9414824001</v>
      </c>
      <c r="BR17" s="443">
        <v>2822413.9414824001</v>
      </c>
      <c r="BS17" s="443">
        <v>2822413.9414824001</v>
      </c>
      <c r="BT17" s="443">
        <v>2822413.9414824001</v>
      </c>
      <c r="BU17" s="443">
        <v>2822413.9414824001</v>
      </c>
      <c r="BV17" s="443">
        <v>2893851.3833759152</v>
      </c>
      <c r="BW17" s="443">
        <v>2893851.3833759152</v>
      </c>
      <c r="BX17" s="443">
        <v>2893851.3833759152</v>
      </c>
      <c r="BY17" s="443">
        <v>2893851.3833759152</v>
      </c>
      <c r="BZ17" s="443">
        <v>2893851.3833759152</v>
      </c>
      <c r="CA17" s="443">
        <v>2893851.3833759152</v>
      </c>
      <c r="CB17" s="443">
        <v>2893851.3833759152</v>
      </c>
      <c r="CC17" s="443">
        <v>2893851.3833759152</v>
      </c>
      <c r="CD17" s="443">
        <v>2893851.3833759152</v>
      </c>
      <c r="CE17" s="443">
        <v>2893851.3833759152</v>
      </c>
      <c r="CF17" s="443">
        <v>2893851.3833759152</v>
      </c>
      <c r="CG17" s="443">
        <v>2893851.3833759152</v>
      </c>
      <c r="CH17" s="443">
        <v>2967096.9612162109</v>
      </c>
      <c r="CI17" s="443">
        <v>2967096.9612162109</v>
      </c>
      <c r="CJ17" s="443">
        <v>2967096.9612162109</v>
      </c>
      <c r="CK17" s="443">
        <v>2967096.9612162109</v>
      </c>
      <c r="CL17" s="443">
        <v>2967096.9612162109</v>
      </c>
      <c r="CM17" s="443">
        <v>2967096.9612162109</v>
      </c>
      <c r="CN17" s="443">
        <v>2967096.9612162109</v>
      </c>
      <c r="CO17" s="443">
        <v>2967096.9612162109</v>
      </c>
      <c r="CP17" s="443">
        <v>2967096.9612162109</v>
      </c>
      <c r="CQ17" s="443">
        <v>2967096.9612162109</v>
      </c>
      <c r="CR17" s="443">
        <v>2967096.9612162109</v>
      </c>
      <c r="CS17" s="443">
        <v>2967096.9612162109</v>
      </c>
      <c r="CT17" s="443">
        <v>3042196.4402982835</v>
      </c>
      <c r="CU17" s="443">
        <v>3042196.4402982835</v>
      </c>
      <c r="CV17" s="443">
        <v>3042196.4402982835</v>
      </c>
      <c r="CW17" s="443">
        <v>3042196.4402982835</v>
      </c>
      <c r="CX17" s="443">
        <v>3042196.4402982835</v>
      </c>
      <c r="CY17" s="443">
        <v>3042196.4402982835</v>
      </c>
      <c r="CZ17" s="443">
        <v>3042196.4402982835</v>
      </c>
      <c r="DA17" s="443">
        <v>3042196.4402982835</v>
      </c>
      <c r="DB17" s="443">
        <v>3042196.4402982835</v>
      </c>
      <c r="DC17" s="443">
        <v>3042196.4402982835</v>
      </c>
      <c r="DD17" s="443">
        <v>3042196.4402982835</v>
      </c>
      <c r="DE17" s="443">
        <v>3042196.4402982835</v>
      </c>
      <c r="DF17" s="443">
        <v>3119196.7442715275</v>
      </c>
      <c r="DG17" s="443">
        <v>3119196.7442715275</v>
      </c>
      <c r="DH17" s="443">
        <v>3119196.7442715275</v>
      </c>
      <c r="DI17" s="443">
        <v>3119196.7442715275</v>
      </c>
      <c r="DJ17" s="443">
        <v>3119196.7442715275</v>
      </c>
      <c r="DK17" s="443">
        <v>3119196.7442715275</v>
      </c>
      <c r="DL17" s="443">
        <v>3119196.7442715275</v>
      </c>
      <c r="DM17" s="443">
        <v>3119196.7442715275</v>
      </c>
      <c r="DN17" s="443">
        <v>3119196.7442715275</v>
      </c>
      <c r="DO17" s="443">
        <v>3119196.7442715275</v>
      </c>
      <c r="DP17" s="443">
        <v>3119196.7442715275</v>
      </c>
      <c r="DQ17" s="443">
        <v>3119196.7442715275</v>
      </c>
      <c r="DR17" s="443">
        <v>3198145.9844585657</v>
      </c>
      <c r="DS17" s="443">
        <v>3198145.9844585657</v>
      </c>
      <c r="DT17" s="443">
        <v>3198145.9844585657</v>
      </c>
      <c r="DU17" s="443">
        <v>3198145.9844585657</v>
      </c>
      <c r="DV17" s="443">
        <v>3198145.9844585657</v>
      </c>
      <c r="DW17" s="443">
        <v>3198145.9844585657</v>
      </c>
      <c r="DX17" s="443">
        <v>3198145.9844585657</v>
      </c>
      <c r="DY17" s="443">
        <v>3198145.9844585657</v>
      </c>
      <c r="DZ17" s="443">
        <v>3198145.9844585657</v>
      </c>
      <c r="EA17" s="443">
        <v>3198145.9844585657</v>
      </c>
      <c r="EB17" s="443">
        <v>3198145.9844585657</v>
      </c>
      <c r="EC17" s="443">
        <v>3198145.9844585657</v>
      </c>
      <c r="ED17" s="443">
        <v>3279093.4899161602</v>
      </c>
      <c r="EE17" s="443">
        <v>3279093.4899161602</v>
      </c>
      <c r="EF17" s="443">
        <v>3279093.4899161602</v>
      </c>
      <c r="EG17" s="443">
        <v>3279093.4899161602</v>
      </c>
      <c r="EH17" s="443">
        <v>3279093.4899161602</v>
      </c>
      <c r="EI17" s="443">
        <v>3279093.4899161602</v>
      </c>
      <c r="EJ17" s="443">
        <v>3279093.4899161602</v>
      </c>
      <c r="EK17" s="443">
        <v>3279093.4899161602</v>
      </c>
      <c r="EL17" s="443">
        <v>3279093.4899161602</v>
      </c>
      <c r="EM17" s="443">
        <v>3279093.4899161602</v>
      </c>
      <c r="EN17" s="443">
        <v>3279093.4899161602</v>
      </c>
      <c r="EO17" s="443">
        <v>3279093.4899161602</v>
      </c>
      <c r="EP17" s="443">
        <v>3362089.8382569905</v>
      </c>
      <c r="EQ17" s="443">
        <v>3362089.8382569905</v>
      </c>
      <c r="ER17" s="443">
        <v>3362089.8382569905</v>
      </c>
      <c r="ES17" s="443">
        <v>3362089.8382569905</v>
      </c>
      <c r="ET17" s="443">
        <v>3362089.8382569905</v>
      </c>
      <c r="EU17" s="443">
        <v>3362089.8382569905</v>
      </c>
      <c r="EV17" s="443">
        <v>3362089.8382569905</v>
      </c>
      <c r="EW17" s="443">
        <v>3362089.8382569905</v>
      </c>
      <c r="EX17" s="443">
        <v>3362089.8382569905</v>
      </c>
      <c r="EY17" s="443">
        <v>3362089.8382569905</v>
      </c>
      <c r="EZ17" s="443">
        <v>3362089.8382569905</v>
      </c>
      <c r="FA17" s="443">
        <v>3362089.8382569905</v>
      </c>
      <c r="FB17" s="443">
        <v>3447186.8872515522</v>
      </c>
      <c r="FC17" s="443">
        <v>3447186.8872515522</v>
      </c>
      <c r="FD17" s="443">
        <v>3447186.8872515522</v>
      </c>
      <c r="FE17" s="443">
        <v>3447186.8872515522</v>
      </c>
      <c r="FF17" s="443">
        <v>3447186.8872515522</v>
      </c>
      <c r="FG17" s="443">
        <v>3447186.8872515522</v>
      </c>
      <c r="FH17" s="443">
        <v>3447186.8872515522</v>
      </c>
      <c r="FI17" s="443">
        <v>3447186.8872515522</v>
      </c>
      <c r="FJ17" s="443">
        <v>3447186.8872515522</v>
      </c>
      <c r="FK17" s="443">
        <v>3447186.8872515522</v>
      </c>
      <c r="FL17" s="443">
        <v>3447186.8872515522</v>
      </c>
      <c r="FM17" s="443">
        <v>3447186.8872515522</v>
      </c>
      <c r="FN17" s="443">
        <v>3534437.8072299231</v>
      </c>
      <c r="FO17" s="443">
        <v>3534437.8072299231</v>
      </c>
      <c r="FP17" s="443">
        <v>3534437.8072299231</v>
      </c>
      <c r="FQ17" s="443">
        <v>3534437.8072299231</v>
      </c>
      <c r="FR17" s="443">
        <v>3534437.8072299231</v>
      </c>
      <c r="FS17" s="443">
        <v>3534437.8072299231</v>
      </c>
      <c r="FT17" s="443">
        <v>3534437.8072299231</v>
      </c>
      <c r="FU17" s="443">
        <v>3534437.8072299231</v>
      </c>
      <c r="FV17" s="443">
        <v>3534437.8072299231</v>
      </c>
      <c r="FW17" s="443">
        <v>3534437.8072299231</v>
      </c>
      <c r="FX17" s="443">
        <v>3534437.8072299231</v>
      </c>
      <c r="FY17" s="443">
        <v>3534437.8072299231</v>
      </c>
      <c r="FZ17" s="443">
        <v>0</v>
      </c>
      <c r="GA17" s="443">
        <v>0</v>
      </c>
      <c r="GB17" s="443">
        <v>0</v>
      </c>
      <c r="GC17" s="443">
        <v>0</v>
      </c>
      <c r="GD17" s="443">
        <v>0</v>
      </c>
      <c r="GE17" s="443">
        <v>0</v>
      </c>
      <c r="GF17" s="443">
        <v>0</v>
      </c>
      <c r="GG17" s="443">
        <v>0</v>
      </c>
      <c r="GH17" s="443">
        <v>0</v>
      </c>
      <c r="GI17" s="443">
        <v>0</v>
      </c>
      <c r="GJ17" s="443">
        <v>0</v>
      </c>
      <c r="GK17" s="33">
        <v>0</v>
      </c>
      <c r="GL17" s="27"/>
    </row>
    <row r="18" spans="1:194">
      <c r="A18" s="459" t="s">
        <v>995</v>
      </c>
      <c r="B18" s="456" t="s">
        <v>1185</v>
      </c>
      <c r="C18" s="541" t="s">
        <v>176</v>
      </c>
      <c r="D18" s="456" t="s">
        <v>1203</v>
      </c>
      <c r="E18" s="463" t="s">
        <v>1211</v>
      </c>
      <c r="F18" s="463"/>
      <c r="G18" s="456"/>
      <c r="H18" s="456">
        <v>0</v>
      </c>
      <c r="I18" s="456">
        <v>0</v>
      </c>
      <c r="J18" s="456" t="s">
        <v>1237</v>
      </c>
      <c r="K18" s="456">
        <v>0</v>
      </c>
      <c r="L18" s="456" t="s">
        <v>183</v>
      </c>
      <c r="M18" s="470">
        <v>1</v>
      </c>
      <c r="N18" s="470">
        <v>1</v>
      </c>
      <c r="O18" s="470">
        <v>1</v>
      </c>
      <c r="P18" s="470">
        <v>1</v>
      </c>
      <c r="Q18" s="470">
        <v>1</v>
      </c>
      <c r="R18" s="470">
        <v>1</v>
      </c>
      <c r="S18" s="470">
        <v>1</v>
      </c>
      <c r="T18" s="470">
        <v>1</v>
      </c>
      <c r="U18" s="470">
        <v>1</v>
      </c>
      <c r="V18" s="470">
        <v>1</v>
      </c>
      <c r="W18" s="470">
        <v>0</v>
      </c>
      <c r="X18" s="457">
        <v>0</v>
      </c>
      <c r="Y18" s="472">
        <v>2577095.0131125199</v>
      </c>
      <c r="Z18" s="472">
        <v>2642323.2464866075</v>
      </c>
      <c r="AA18" s="472">
        <v>2709202.4560208507</v>
      </c>
      <c r="AB18" s="472">
        <v>2777774.4291766048</v>
      </c>
      <c r="AC18" s="472">
        <v>2848082.0110876309</v>
      </c>
      <c r="AD18" s="472">
        <v>2920169.1313305874</v>
      </c>
      <c r="AE18" s="472">
        <v>2994080.8313731044</v>
      </c>
      <c r="AF18" s="472">
        <v>3069863.2927165893</v>
      </c>
      <c r="AG18" s="472">
        <v>3147563.8657513484</v>
      </c>
      <c r="AH18" s="472">
        <v>3227231.0993420528</v>
      </c>
      <c r="AI18" s="472">
        <v>0</v>
      </c>
      <c r="AJ18" s="457">
        <v>12</v>
      </c>
      <c r="AK18" s="457">
        <v>12</v>
      </c>
      <c r="AL18" s="457">
        <v>12</v>
      </c>
      <c r="AM18" s="457">
        <v>12</v>
      </c>
      <c r="AN18" s="457">
        <v>12</v>
      </c>
      <c r="AO18" s="457">
        <v>12</v>
      </c>
      <c r="AP18" s="457">
        <v>12</v>
      </c>
      <c r="AQ18" s="457">
        <v>12</v>
      </c>
      <c r="AR18" s="457">
        <v>12</v>
      </c>
      <c r="AS18" s="457">
        <v>12</v>
      </c>
      <c r="AT18" s="457">
        <v>12</v>
      </c>
      <c r="AU18" s="458">
        <v>1</v>
      </c>
      <c r="AV18" s="510">
        <v>1.02531076</v>
      </c>
      <c r="AW18" s="456">
        <v>0</v>
      </c>
      <c r="AX18" s="443">
        <v>346960624.51677471</v>
      </c>
      <c r="AY18" s="443">
        <v>30925140.157350231</v>
      </c>
      <c r="AZ18" s="443">
        <v>31707878.957839292</v>
      </c>
      <c r="BA18" s="443">
        <v>32510429.472250208</v>
      </c>
      <c r="BB18" s="443">
        <v>33333293.150119264</v>
      </c>
      <c r="BC18" s="443">
        <v>34176984.133051567</v>
      </c>
      <c r="BD18" s="443">
        <v>35042029.575967051</v>
      </c>
      <c r="BE18" s="443">
        <v>35928969.976477243</v>
      </c>
      <c r="BF18" s="443">
        <v>36838359.512599073</v>
      </c>
      <c r="BG18" s="443">
        <v>37770766.389016181</v>
      </c>
      <c r="BH18" s="443">
        <v>38726773.19210463</v>
      </c>
      <c r="BI18" s="443">
        <v>0</v>
      </c>
      <c r="BJ18" s="442">
        <v>2577095.0131125199</v>
      </c>
      <c r="BK18" s="443">
        <v>2577095.0131125199</v>
      </c>
      <c r="BL18" s="443">
        <v>2577095.0131125199</v>
      </c>
      <c r="BM18" s="443">
        <v>2577095.0131125199</v>
      </c>
      <c r="BN18" s="443">
        <v>2577095.0131125199</v>
      </c>
      <c r="BO18" s="443">
        <v>2577095.0131125199</v>
      </c>
      <c r="BP18" s="443">
        <v>2577095.0131125199</v>
      </c>
      <c r="BQ18" s="443">
        <v>2577095.0131125199</v>
      </c>
      <c r="BR18" s="443">
        <v>2577095.0131125199</v>
      </c>
      <c r="BS18" s="443">
        <v>2577095.0131125199</v>
      </c>
      <c r="BT18" s="443">
        <v>2577095.0131125199</v>
      </c>
      <c r="BU18" s="443">
        <v>2577095.0131125199</v>
      </c>
      <c r="BV18" s="443">
        <v>2642323.2464866075</v>
      </c>
      <c r="BW18" s="443">
        <v>2642323.2464866075</v>
      </c>
      <c r="BX18" s="443">
        <v>2642323.2464866075</v>
      </c>
      <c r="BY18" s="443">
        <v>2642323.2464866075</v>
      </c>
      <c r="BZ18" s="443">
        <v>2642323.2464866075</v>
      </c>
      <c r="CA18" s="443">
        <v>2642323.2464866075</v>
      </c>
      <c r="CB18" s="443">
        <v>2642323.2464866075</v>
      </c>
      <c r="CC18" s="443">
        <v>2642323.2464866075</v>
      </c>
      <c r="CD18" s="443">
        <v>2642323.2464866075</v>
      </c>
      <c r="CE18" s="443">
        <v>2642323.2464866075</v>
      </c>
      <c r="CF18" s="443">
        <v>2642323.2464866075</v>
      </c>
      <c r="CG18" s="443">
        <v>2642323.2464866075</v>
      </c>
      <c r="CH18" s="443">
        <v>2709202.4560208507</v>
      </c>
      <c r="CI18" s="443">
        <v>2709202.4560208507</v>
      </c>
      <c r="CJ18" s="443">
        <v>2709202.4560208507</v>
      </c>
      <c r="CK18" s="443">
        <v>2709202.4560208507</v>
      </c>
      <c r="CL18" s="443">
        <v>2709202.4560208507</v>
      </c>
      <c r="CM18" s="443">
        <v>2709202.4560208507</v>
      </c>
      <c r="CN18" s="443">
        <v>2709202.4560208507</v>
      </c>
      <c r="CO18" s="443">
        <v>2709202.4560208507</v>
      </c>
      <c r="CP18" s="443">
        <v>2709202.4560208507</v>
      </c>
      <c r="CQ18" s="443">
        <v>2709202.4560208507</v>
      </c>
      <c r="CR18" s="443">
        <v>2709202.4560208507</v>
      </c>
      <c r="CS18" s="443">
        <v>2709202.4560208507</v>
      </c>
      <c r="CT18" s="443">
        <v>2777774.4291766048</v>
      </c>
      <c r="CU18" s="443">
        <v>2777774.4291766048</v>
      </c>
      <c r="CV18" s="443">
        <v>2777774.4291766048</v>
      </c>
      <c r="CW18" s="443">
        <v>2777774.4291766048</v>
      </c>
      <c r="CX18" s="443">
        <v>2777774.4291766048</v>
      </c>
      <c r="CY18" s="443">
        <v>2777774.4291766048</v>
      </c>
      <c r="CZ18" s="443">
        <v>2777774.4291766048</v>
      </c>
      <c r="DA18" s="443">
        <v>2777774.4291766048</v>
      </c>
      <c r="DB18" s="443">
        <v>2777774.4291766048</v>
      </c>
      <c r="DC18" s="443">
        <v>2777774.4291766048</v>
      </c>
      <c r="DD18" s="443">
        <v>2777774.4291766048</v>
      </c>
      <c r="DE18" s="443">
        <v>2777774.4291766048</v>
      </c>
      <c r="DF18" s="443">
        <v>2848082.0110876309</v>
      </c>
      <c r="DG18" s="443">
        <v>2848082.0110876309</v>
      </c>
      <c r="DH18" s="443">
        <v>2848082.0110876309</v>
      </c>
      <c r="DI18" s="443">
        <v>2848082.0110876309</v>
      </c>
      <c r="DJ18" s="443">
        <v>2848082.0110876309</v>
      </c>
      <c r="DK18" s="443">
        <v>2848082.0110876309</v>
      </c>
      <c r="DL18" s="443">
        <v>2848082.0110876309</v>
      </c>
      <c r="DM18" s="443">
        <v>2848082.0110876309</v>
      </c>
      <c r="DN18" s="443">
        <v>2848082.0110876309</v>
      </c>
      <c r="DO18" s="443">
        <v>2848082.0110876309</v>
      </c>
      <c r="DP18" s="443">
        <v>2848082.0110876309</v>
      </c>
      <c r="DQ18" s="443">
        <v>2848082.0110876309</v>
      </c>
      <c r="DR18" s="443">
        <v>2920169.1313305874</v>
      </c>
      <c r="DS18" s="443">
        <v>2920169.1313305874</v>
      </c>
      <c r="DT18" s="443">
        <v>2920169.1313305874</v>
      </c>
      <c r="DU18" s="443">
        <v>2920169.1313305874</v>
      </c>
      <c r="DV18" s="443">
        <v>2920169.1313305874</v>
      </c>
      <c r="DW18" s="443">
        <v>2920169.1313305874</v>
      </c>
      <c r="DX18" s="443">
        <v>2920169.1313305874</v>
      </c>
      <c r="DY18" s="443">
        <v>2920169.1313305874</v>
      </c>
      <c r="DZ18" s="443">
        <v>2920169.1313305874</v>
      </c>
      <c r="EA18" s="443">
        <v>2920169.1313305874</v>
      </c>
      <c r="EB18" s="443">
        <v>2920169.1313305874</v>
      </c>
      <c r="EC18" s="443">
        <v>2920169.1313305874</v>
      </c>
      <c r="ED18" s="443">
        <v>2994080.8313731044</v>
      </c>
      <c r="EE18" s="443">
        <v>2994080.8313731044</v>
      </c>
      <c r="EF18" s="443">
        <v>2994080.8313731044</v>
      </c>
      <c r="EG18" s="443">
        <v>2994080.8313731044</v>
      </c>
      <c r="EH18" s="443">
        <v>2994080.8313731044</v>
      </c>
      <c r="EI18" s="443">
        <v>2994080.8313731044</v>
      </c>
      <c r="EJ18" s="443">
        <v>2994080.8313731044</v>
      </c>
      <c r="EK18" s="443">
        <v>2994080.8313731044</v>
      </c>
      <c r="EL18" s="443">
        <v>2994080.8313731044</v>
      </c>
      <c r="EM18" s="443">
        <v>2994080.8313731044</v>
      </c>
      <c r="EN18" s="443">
        <v>2994080.8313731044</v>
      </c>
      <c r="EO18" s="443">
        <v>2994080.8313731044</v>
      </c>
      <c r="EP18" s="443">
        <v>3069863.2927165893</v>
      </c>
      <c r="EQ18" s="443">
        <v>3069863.2927165893</v>
      </c>
      <c r="ER18" s="443">
        <v>3069863.2927165893</v>
      </c>
      <c r="ES18" s="443">
        <v>3069863.2927165893</v>
      </c>
      <c r="ET18" s="443">
        <v>3069863.2927165893</v>
      </c>
      <c r="EU18" s="443">
        <v>3069863.2927165893</v>
      </c>
      <c r="EV18" s="443">
        <v>3069863.2927165893</v>
      </c>
      <c r="EW18" s="443">
        <v>3069863.2927165893</v>
      </c>
      <c r="EX18" s="443">
        <v>3069863.2927165893</v>
      </c>
      <c r="EY18" s="443">
        <v>3069863.2927165893</v>
      </c>
      <c r="EZ18" s="443">
        <v>3069863.2927165893</v>
      </c>
      <c r="FA18" s="443">
        <v>3069863.2927165893</v>
      </c>
      <c r="FB18" s="443">
        <v>3147563.8657513484</v>
      </c>
      <c r="FC18" s="443">
        <v>3147563.8657513484</v>
      </c>
      <c r="FD18" s="443">
        <v>3147563.8657513484</v>
      </c>
      <c r="FE18" s="443">
        <v>3147563.8657513484</v>
      </c>
      <c r="FF18" s="443">
        <v>3147563.8657513484</v>
      </c>
      <c r="FG18" s="443">
        <v>3147563.8657513484</v>
      </c>
      <c r="FH18" s="443">
        <v>3147563.8657513484</v>
      </c>
      <c r="FI18" s="443">
        <v>3147563.8657513484</v>
      </c>
      <c r="FJ18" s="443">
        <v>3147563.8657513484</v>
      </c>
      <c r="FK18" s="443">
        <v>3147563.8657513484</v>
      </c>
      <c r="FL18" s="443">
        <v>3147563.8657513484</v>
      </c>
      <c r="FM18" s="443">
        <v>3147563.8657513484</v>
      </c>
      <c r="FN18" s="443">
        <v>3227231.0993420528</v>
      </c>
      <c r="FO18" s="443">
        <v>3227231.0993420528</v>
      </c>
      <c r="FP18" s="443">
        <v>3227231.0993420528</v>
      </c>
      <c r="FQ18" s="443">
        <v>3227231.0993420528</v>
      </c>
      <c r="FR18" s="443">
        <v>3227231.0993420528</v>
      </c>
      <c r="FS18" s="443">
        <v>3227231.0993420528</v>
      </c>
      <c r="FT18" s="443">
        <v>3227231.0993420528</v>
      </c>
      <c r="FU18" s="443">
        <v>3227231.0993420528</v>
      </c>
      <c r="FV18" s="443">
        <v>3227231.0993420528</v>
      </c>
      <c r="FW18" s="443">
        <v>3227231.0993420528</v>
      </c>
      <c r="FX18" s="443">
        <v>3227231.0993420528</v>
      </c>
      <c r="FY18" s="443">
        <v>3227231.0993420528</v>
      </c>
      <c r="FZ18" s="443">
        <v>0</v>
      </c>
      <c r="GA18" s="443">
        <v>0</v>
      </c>
      <c r="GB18" s="443">
        <v>0</v>
      </c>
      <c r="GC18" s="443">
        <v>0</v>
      </c>
      <c r="GD18" s="443">
        <v>0</v>
      </c>
      <c r="GE18" s="443">
        <v>0</v>
      </c>
      <c r="GF18" s="443">
        <v>0</v>
      </c>
      <c r="GG18" s="443">
        <v>0</v>
      </c>
      <c r="GH18" s="443">
        <v>0</v>
      </c>
      <c r="GI18" s="443">
        <v>0</v>
      </c>
      <c r="GJ18" s="443">
        <v>0</v>
      </c>
      <c r="GK18" s="33">
        <v>0</v>
      </c>
      <c r="GL18" s="27"/>
    </row>
    <row r="19" spans="1:194">
      <c r="A19" s="459" t="s">
        <v>996</v>
      </c>
      <c r="B19" s="456" t="s">
        <v>1185</v>
      </c>
      <c r="C19" s="541" t="s">
        <v>176</v>
      </c>
      <c r="D19" s="456" t="s">
        <v>1206</v>
      </c>
      <c r="E19" s="463" t="s">
        <v>1210</v>
      </c>
      <c r="F19" s="463"/>
      <c r="G19" s="456"/>
      <c r="H19" s="456">
        <v>0</v>
      </c>
      <c r="I19" s="456">
        <v>0</v>
      </c>
      <c r="J19" s="456" t="s">
        <v>1237</v>
      </c>
      <c r="K19" s="456">
        <v>0</v>
      </c>
      <c r="L19" s="456" t="s">
        <v>183</v>
      </c>
      <c r="M19" s="470">
        <v>1</v>
      </c>
      <c r="N19" s="470">
        <v>1</v>
      </c>
      <c r="O19" s="470">
        <v>1</v>
      </c>
      <c r="P19" s="470">
        <v>1</v>
      </c>
      <c r="Q19" s="470">
        <v>1</v>
      </c>
      <c r="R19" s="470">
        <v>1</v>
      </c>
      <c r="S19" s="470">
        <v>1</v>
      </c>
      <c r="T19" s="470">
        <v>1</v>
      </c>
      <c r="U19" s="470">
        <v>1</v>
      </c>
      <c r="V19" s="470">
        <v>1</v>
      </c>
      <c r="W19" s="470">
        <v>0</v>
      </c>
      <c r="X19" s="457">
        <v>0</v>
      </c>
      <c r="Y19" s="472">
        <v>2822413.9414824001</v>
      </c>
      <c r="Z19" s="472">
        <v>2893851.3833759152</v>
      </c>
      <c r="AA19" s="472">
        <v>2967096.9612162109</v>
      </c>
      <c r="AB19" s="472">
        <v>3042196.4402982835</v>
      </c>
      <c r="AC19" s="472">
        <v>3119196.7442715275</v>
      </c>
      <c r="AD19" s="472">
        <v>3198145.9844585657</v>
      </c>
      <c r="AE19" s="472">
        <v>3279093.4899161602</v>
      </c>
      <c r="AF19" s="472">
        <v>3362089.8382569905</v>
      </c>
      <c r="AG19" s="472">
        <v>3447186.8872515522</v>
      </c>
      <c r="AH19" s="472">
        <v>3534437.8072299231</v>
      </c>
      <c r="AI19" s="472">
        <v>0</v>
      </c>
      <c r="AJ19" s="457">
        <v>12</v>
      </c>
      <c r="AK19" s="457">
        <v>12</v>
      </c>
      <c r="AL19" s="457">
        <v>12</v>
      </c>
      <c r="AM19" s="457">
        <v>12</v>
      </c>
      <c r="AN19" s="457">
        <v>12</v>
      </c>
      <c r="AO19" s="457">
        <v>12</v>
      </c>
      <c r="AP19" s="457">
        <v>12</v>
      </c>
      <c r="AQ19" s="457">
        <v>12</v>
      </c>
      <c r="AR19" s="457">
        <v>12</v>
      </c>
      <c r="AS19" s="457">
        <v>12</v>
      </c>
      <c r="AT19" s="457">
        <v>12</v>
      </c>
      <c r="AU19" s="458">
        <v>1</v>
      </c>
      <c r="AV19" s="510">
        <v>1.02531076</v>
      </c>
      <c r="AW19" s="456">
        <v>0</v>
      </c>
      <c r="AX19" s="443">
        <v>379988513.73309028</v>
      </c>
      <c r="AY19" s="443">
        <v>33868967.297788791</v>
      </c>
      <c r="AZ19" s="443">
        <v>34726216.600510992</v>
      </c>
      <c r="BA19" s="443">
        <v>35605163.534594528</v>
      </c>
      <c r="BB19" s="443">
        <v>36506357.283579394</v>
      </c>
      <c r="BC19" s="443">
        <v>37430360.931258328</v>
      </c>
      <c r="BD19" s="443">
        <v>38377751.813502789</v>
      </c>
      <c r="BE19" s="443">
        <v>39349121.878993921</v>
      </c>
      <c r="BF19" s="443">
        <v>40345078.059083901</v>
      </c>
      <c r="BG19" s="443">
        <v>41366242.647018626</v>
      </c>
      <c r="BH19" s="443">
        <v>42413253.686759062</v>
      </c>
      <c r="BI19" s="443">
        <v>0</v>
      </c>
      <c r="BJ19" s="442">
        <v>2822413.9414824001</v>
      </c>
      <c r="BK19" s="443">
        <v>2822413.9414824001</v>
      </c>
      <c r="BL19" s="443">
        <v>2822413.9414824001</v>
      </c>
      <c r="BM19" s="443">
        <v>2822413.9414824001</v>
      </c>
      <c r="BN19" s="443">
        <v>2822413.9414824001</v>
      </c>
      <c r="BO19" s="443">
        <v>2822413.9414824001</v>
      </c>
      <c r="BP19" s="443">
        <v>2822413.9414824001</v>
      </c>
      <c r="BQ19" s="443">
        <v>2822413.9414824001</v>
      </c>
      <c r="BR19" s="443">
        <v>2822413.9414824001</v>
      </c>
      <c r="BS19" s="443">
        <v>2822413.9414824001</v>
      </c>
      <c r="BT19" s="443">
        <v>2822413.9414824001</v>
      </c>
      <c r="BU19" s="443">
        <v>2822413.9414824001</v>
      </c>
      <c r="BV19" s="443">
        <v>2893851.3833759152</v>
      </c>
      <c r="BW19" s="443">
        <v>2893851.3833759152</v>
      </c>
      <c r="BX19" s="443">
        <v>2893851.3833759152</v>
      </c>
      <c r="BY19" s="443">
        <v>2893851.3833759152</v>
      </c>
      <c r="BZ19" s="443">
        <v>2893851.3833759152</v>
      </c>
      <c r="CA19" s="443">
        <v>2893851.3833759152</v>
      </c>
      <c r="CB19" s="443">
        <v>2893851.3833759152</v>
      </c>
      <c r="CC19" s="443">
        <v>2893851.3833759152</v>
      </c>
      <c r="CD19" s="443">
        <v>2893851.3833759152</v>
      </c>
      <c r="CE19" s="443">
        <v>2893851.3833759152</v>
      </c>
      <c r="CF19" s="443">
        <v>2893851.3833759152</v>
      </c>
      <c r="CG19" s="443">
        <v>2893851.3833759152</v>
      </c>
      <c r="CH19" s="443">
        <v>2967096.9612162109</v>
      </c>
      <c r="CI19" s="443">
        <v>2967096.9612162109</v>
      </c>
      <c r="CJ19" s="443">
        <v>2967096.9612162109</v>
      </c>
      <c r="CK19" s="443">
        <v>2967096.9612162109</v>
      </c>
      <c r="CL19" s="443">
        <v>2967096.9612162109</v>
      </c>
      <c r="CM19" s="443">
        <v>2967096.9612162109</v>
      </c>
      <c r="CN19" s="443">
        <v>2967096.9612162109</v>
      </c>
      <c r="CO19" s="443">
        <v>2967096.9612162109</v>
      </c>
      <c r="CP19" s="443">
        <v>2967096.9612162109</v>
      </c>
      <c r="CQ19" s="443">
        <v>2967096.9612162109</v>
      </c>
      <c r="CR19" s="443">
        <v>2967096.9612162109</v>
      </c>
      <c r="CS19" s="443">
        <v>2967096.9612162109</v>
      </c>
      <c r="CT19" s="443">
        <v>3042196.4402982835</v>
      </c>
      <c r="CU19" s="443">
        <v>3042196.4402982835</v>
      </c>
      <c r="CV19" s="443">
        <v>3042196.4402982835</v>
      </c>
      <c r="CW19" s="443">
        <v>3042196.4402982835</v>
      </c>
      <c r="CX19" s="443">
        <v>3042196.4402982835</v>
      </c>
      <c r="CY19" s="443">
        <v>3042196.4402982835</v>
      </c>
      <c r="CZ19" s="443">
        <v>3042196.4402982835</v>
      </c>
      <c r="DA19" s="443">
        <v>3042196.4402982835</v>
      </c>
      <c r="DB19" s="443">
        <v>3042196.4402982835</v>
      </c>
      <c r="DC19" s="443">
        <v>3042196.4402982835</v>
      </c>
      <c r="DD19" s="443">
        <v>3042196.4402982835</v>
      </c>
      <c r="DE19" s="443">
        <v>3042196.4402982835</v>
      </c>
      <c r="DF19" s="443">
        <v>3119196.7442715275</v>
      </c>
      <c r="DG19" s="443">
        <v>3119196.7442715275</v>
      </c>
      <c r="DH19" s="443">
        <v>3119196.7442715275</v>
      </c>
      <c r="DI19" s="443">
        <v>3119196.7442715275</v>
      </c>
      <c r="DJ19" s="443">
        <v>3119196.7442715275</v>
      </c>
      <c r="DK19" s="443">
        <v>3119196.7442715275</v>
      </c>
      <c r="DL19" s="443">
        <v>3119196.7442715275</v>
      </c>
      <c r="DM19" s="443">
        <v>3119196.7442715275</v>
      </c>
      <c r="DN19" s="443">
        <v>3119196.7442715275</v>
      </c>
      <c r="DO19" s="443">
        <v>3119196.7442715275</v>
      </c>
      <c r="DP19" s="443">
        <v>3119196.7442715275</v>
      </c>
      <c r="DQ19" s="443">
        <v>3119196.7442715275</v>
      </c>
      <c r="DR19" s="443">
        <v>3198145.9844585657</v>
      </c>
      <c r="DS19" s="443">
        <v>3198145.9844585657</v>
      </c>
      <c r="DT19" s="443">
        <v>3198145.9844585657</v>
      </c>
      <c r="DU19" s="443">
        <v>3198145.9844585657</v>
      </c>
      <c r="DV19" s="443">
        <v>3198145.9844585657</v>
      </c>
      <c r="DW19" s="443">
        <v>3198145.9844585657</v>
      </c>
      <c r="DX19" s="443">
        <v>3198145.9844585657</v>
      </c>
      <c r="DY19" s="443">
        <v>3198145.9844585657</v>
      </c>
      <c r="DZ19" s="443">
        <v>3198145.9844585657</v>
      </c>
      <c r="EA19" s="443">
        <v>3198145.9844585657</v>
      </c>
      <c r="EB19" s="443">
        <v>3198145.9844585657</v>
      </c>
      <c r="EC19" s="443">
        <v>3198145.9844585657</v>
      </c>
      <c r="ED19" s="443">
        <v>3279093.4899161602</v>
      </c>
      <c r="EE19" s="443">
        <v>3279093.4899161602</v>
      </c>
      <c r="EF19" s="443">
        <v>3279093.4899161602</v>
      </c>
      <c r="EG19" s="443">
        <v>3279093.4899161602</v>
      </c>
      <c r="EH19" s="443">
        <v>3279093.4899161602</v>
      </c>
      <c r="EI19" s="443">
        <v>3279093.4899161602</v>
      </c>
      <c r="EJ19" s="443">
        <v>3279093.4899161602</v>
      </c>
      <c r="EK19" s="443">
        <v>3279093.4899161602</v>
      </c>
      <c r="EL19" s="443">
        <v>3279093.4899161602</v>
      </c>
      <c r="EM19" s="443">
        <v>3279093.4899161602</v>
      </c>
      <c r="EN19" s="443">
        <v>3279093.4899161602</v>
      </c>
      <c r="EO19" s="443">
        <v>3279093.4899161602</v>
      </c>
      <c r="EP19" s="443">
        <v>3362089.8382569905</v>
      </c>
      <c r="EQ19" s="443">
        <v>3362089.8382569905</v>
      </c>
      <c r="ER19" s="443">
        <v>3362089.8382569905</v>
      </c>
      <c r="ES19" s="443">
        <v>3362089.8382569905</v>
      </c>
      <c r="ET19" s="443">
        <v>3362089.8382569905</v>
      </c>
      <c r="EU19" s="443">
        <v>3362089.8382569905</v>
      </c>
      <c r="EV19" s="443">
        <v>3362089.8382569905</v>
      </c>
      <c r="EW19" s="443">
        <v>3362089.8382569905</v>
      </c>
      <c r="EX19" s="443">
        <v>3362089.8382569905</v>
      </c>
      <c r="EY19" s="443">
        <v>3362089.8382569905</v>
      </c>
      <c r="EZ19" s="443">
        <v>3362089.8382569905</v>
      </c>
      <c r="FA19" s="443">
        <v>3362089.8382569905</v>
      </c>
      <c r="FB19" s="443">
        <v>3447186.8872515522</v>
      </c>
      <c r="FC19" s="443">
        <v>3447186.8872515522</v>
      </c>
      <c r="FD19" s="443">
        <v>3447186.8872515522</v>
      </c>
      <c r="FE19" s="443">
        <v>3447186.8872515522</v>
      </c>
      <c r="FF19" s="443">
        <v>3447186.8872515522</v>
      </c>
      <c r="FG19" s="443">
        <v>3447186.8872515522</v>
      </c>
      <c r="FH19" s="443">
        <v>3447186.8872515522</v>
      </c>
      <c r="FI19" s="443">
        <v>3447186.8872515522</v>
      </c>
      <c r="FJ19" s="443">
        <v>3447186.8872515522</v>
      </c>
      <c r="FK19" s="443">
        <v>3447186.8872515522</v>
      </c>
      <c r="FL19" s="443">
        <v>3447186.8872515522</v>
      </c>
      <c r="FM19" s="443">
        <v>3447186.8872515522</v>
      </c>
      <c r="FN19" s="443">
        <v>3534437.8072299231</v>
      </c>
      <c r="FO19" s="443">
        <v>3534437.8072299231</v>
      </c>
      <c r="FP19" s="443">
        <v>3534437.8072299231</v>
      </c>
      <c r="FQ19" s="443">
        <v>3534437.8072299231</v>
      </c>
      <c r="FR19" s="443">
        <v>3534437.8072299231</v>
      </c>
      <c r="FS19" s="443">
        <v>3534437.8072299231</v>
      </c>
      <c r="FT19" s="443">
        <v>3534437.8072299231</v>
      </c>
      <c r="FU19" s="443">
        <v>3534437.8072299231</v>
      </c>
      <c r="FV19" s="443">
        <v>3534437.8072299231</v>
      </c>
      <c r="FW19" s="443">
        <v>3534437.8072299231</v>
      </c>
      <c r="FX19" s="443">
        <v>3534437.8072299231</v>
      </c>
      <c r="FY19" s="443">
        <v>3534437.8072299231</v>
      </c>
      <c r="FZ19" s="443">
        <v>0</v>
      </c>
      <c r="GA19" s="443">
        <v>0</v>
      </c>
      <c r="GB19" s="443">
        <v>0</v>
      </c>
      <c r="GC19" s="443">
        <v>0</v>
      </c>
      <c r="GD19" s="443">
        <v>0</v>
      </c>
      <c r="GE19" s="443">
        <v>0</v>
      </c>
      <c r="GF19" s="443">
        <v>0</v>
      </c>
      <c r="GG19" s="443">
        <v>0</v>
      </c>
      <c r="GH19" s="443">
        <v>0</v>
      </c>
      <c r="GI19" s="443">
        <v>0</v>
      </c>
      <c r="GJ19" s="443">
        <v>0</v>
      </c>
      <c r="GK19" s="33">
        <v>0</v>
      </c>
      <c r="GL19" s="27"/>
    </row>
    <row r="20" spans="1:194">
      <c r="A20" s="459" t="s">
        <v>997</v>
      </c>
      <c r="B20" s="456" t="s">
        <v>1199</v>
      </c>
      <c r="C20" s="541" t="s">
        <v>176</v>
      </c>
      <c r="D20" s="456" t="s">
        <v>1212</v>
      </c>
      <c r="E20" s="463" t="s">
        <v>1213</v>
      </c>
      <c r="F20" s="463"/>
      <c r="G20" s="464"/>
      <c r="H20" s="464">
        <v>0</v>
      </c>
      <c r="I20" s="456">
        <v>0</v>
      </c>
      <c r="J20" s="456" t="s">
        <v>1237</v>
      </c>
      <c r="K20" s="456">
        <v>0</v>
      </c>
      <c r="L20" s="456" t="s">
        <v>183</v>
      </c>
      <c r="M20" s="470">
        <v>0</v>
      </c>
      <c r="N20" s="470">
        <v>0</v>
      </c>
      <c r="O20" s="470">
        <v>0</v>
      </c>
      <c r="P20" s="470">
        <v>0</v>
      </c>
      <c r="Q20" s="470">
        <v>0</v>
      </c>
      <c r="R20" s="470">
        <v>0</v>
      </c>
      <c r="S20" s="470">
        <v>0</v>
      </c>
      <c r="T20" s="470">
        <v>0</v>
      </c>
      <c r="U20" s="470">
        <v>0</v>
      </c>
      <c r="V20" s="470">
        <v>0</v>
      </c>
      <c r="W20" s="470">
        <v>0</v>
      </c>
      <c r="X20" s="457">
        <v>0</v>
      </c>
      <c r="Y20" s="472">
        <v>2822413.9414824001</v>
      </c>
      <c r="Z20" s="472">
        <v>2893851.3833759152</v>
      </c>
      <c r="AA20" s="472">
        <v>2967096.9612162109</v>
      </c>
      <c r="AB20" s="472">
        <v>3042196.4402982835</v>
      </c>
      <c r="AC20" s="472">
        <v>3119196.7442715275</v>
      </c>
      <c r="AD20" s="472">
        <v>3198145.9844585657</v>
      </c>
      <c r="AE20" s="472">
        <v>3279093.4899161602</v>
      </c>
      <c r="AF20" s="472">
        <v>3362089.8382569905</v>
      </c>
      <c r="AG20" s="472">
        <v>3447186.8872515522</v>
      </c>
      <c r="AH20" s="472">
        <v>3534437.8072299231</v>
      </c>
      <c r="AI20" s="472">
        <v>0</v>
      </c>
      <c r="AJ20" s="457">
        <v>12</v>
      </c>
      <c r="AK20" s="457">
        <v>12</v>
      </c>
      <c r="AL20" s="457">
        <v>12</v>
      </c>
      <c r="AM20" s="457">
        <v>12</v>
      </c>
      <c r="AN20" s="457">
        <v>12</v>
      </c>
      <c r="AO20" s="457">
        <v>12</v>
      </c>
      <c r="AP20" s="457">
        <v>12</v>
      </c>
      <c r="AQ20" s="457">
        <v>12</v>
      </c>
      <c r="AR20" s="457">
        <v>12</v>
      </c>
      <c r="AS20" s="457">
        <v>12</v>
      </c>
      <c r="AT20" s="457">
        <v>12</v>
      </c>
      <c r="AU20" s="458">
        <v>1</v>
      </c>
      <c r="AV20" s="510">
        <v>1.02531076</v>
      </c>
      <c r="AW20" s="456">
        <v>0</v>
      </c>
      <c r="AX20" s="443">
        <v>0</v>
      </c>
      <c r="AY20" s="443">
        <v>0</v>
      </c>
      <c r="AZ20" s="443">
        <v>0</v>
      </c>
      <c r="BA20" s="443">
        <v>0</v>
      </c>
      <c r="BB20" s="443">
        <v>0</v>
      </c>
      <c r="BC20" s="443">
        <v>0</v>
      </c>
      <c r="BD20" s="443">
        <v>0</v>
      </c>
      <c r="BE20" s="443">
        <v>0</v>
      </c>
      <c r="BF20" s="443">
        <v>0</v>
      </c>
      <c r="BG20" s="443">
        <v>0</v>
      </c>
      <c r="BH20" s="443">
        <v>0</v>
      </c>
      <c r="BI20" s="443">
        <v>0</v>
      </c>
      <c r="BJ20" s="442">
        <v>0</v>
      </c>
      <c r="BK20" s="443">
        <v>0</v>
      </c>
      <c r="BL20" s="443">
        <v>0</v>
      </c>
      <c r="BM20" s="443">
        <v>0</v>
      </c>
      <c r="BN20" s="443">
        <v>0</v>
      </c>
      <c r="BO20" s="443">
        <v>0</v>
      </c>
      <c r="BP20" s="443">
        <v>0</v>
      </c>
      <c r="BQ20" s="443">
        <v>0</v>
      </c>
      <c r="BR20" s="443">
        <v>0</v>
      </c>
      <c r="BS20" s="443">
        <v>0</v>
      </c>
      <c r="BT20" s="443">
        <v>0</v>
      </c>
      <c r="BU20" s="443">
        <v>0</v>
      </c>
      <c r="BV20" s="443">
        <v>0</v>
      </c>
      <c r="BW20" s="443">
        <v>0</v>
      </c>
      <c r="BX20" s="443">
        <v>0</v>
      </c>
      <c r="BY20" s="443">
        <v>0</v>
      </c>
      <c r="BZ20" s="443">
        <v>0</v>
      </c>
      <c r="CA20" s="443">
        <v>0</v>
      </c>
      <c r="CB20" s="443">
        <v>0</v>
      </c>
      <c r="CC20" s="443">
        <v>0</v>
      </c>
      <c r="CD20" s="443">
        <v>0</v>
      </c>
      <c r="CE20" s="443">
        <v>0</v>
      </c>
      <c r="CF20" s="443">
        <v>0</v>
      </c>
      <c r="CG20" s="443">
        <v>0</v>
      </c>
      <c r="CH20" s="443">
        <v>0</v>
      </c>
      <c r="CI20" s="443">
        <v>0</v>
      </c>
      <c r="CJ20" s="443">
        <v>0</v>
      </c>
      <c r="CK20" s="443">
        <v>0</v>
      </c>
      <c r="CL20" s="443">
        <v>0</v>
      </c>
      <c r="CM20" s="443">
        <v>0</v>
      </c>
      <c r="CN20" s="443">
        <v>0</v>
      </c>
      <c r="CO20" s="443">
        <v>0</v>
      </c>
      <c r="CP20" s="443">
        <v>0</v>
      </c>
      <c r="CQ20" s="443">
        <v>0</v>
      </c>
      <c r="CR20" s="443">
        <v>0</v>
      </c>
      <c r="CS20" s="443">
        <v>0</v>
      </c>
      <c r="CT20" s="443">
        <v>0</v>
      </c>
      <c r="CU20" s="443">
        <v>0</v>
      </c>
      <c r="CV20" s="443">
        <v>0</v>
      </c>
      <c r="CW20" s="443">
        <v>0</v>
      </c>
      <c r="CX20" s="443">
        <v>0</v>
      </c>
      <c r="CY20" s="443">
        <v>0</v>
      </c>
      <c r="CZ20" s="443">
        <v>0</v>
      </c>
      <c r="DA20" s="443">
        <v>0</v>
      </c>
      <c r="DB20" s="443">
        <v>0</v>
      </c>
      <c r="DC20" s="443">
        <v>0</v>
      </c>
      <c r="DD20" s="443">
        <v>0</v>
      </c>
      <c r="DE20" s="443">
        <v>0</v>
      </c>
      <c r="DF20" s="443">
        <v>0</v>
      </c>
      <c r="DG20" s="443">
        <v>0</v>
      </c>
      <c r="DH20" s="443">
        <v>0</v>
      </c>
      <c r="DI20" s="443">
        <v>0</v>
      </c>
      <c r="DJ20" s="443">
        <v>0</v>
      </c>
      <c r="DK20" s="443">
        <v>0</v>
      </c>
      <c r="DL20" s="443">
        <v>0</v>
      </c>
      <c r="DM20" s="443">
        <v>0</v>
      </c>
      <c r="DN20" s="443">
        <v>0</v>
      </c>
      <c r="DO20" s="443">
        <v>0</v>
      </c>
      <c r="DP20" s="443">
        <v>0</v>
      </c>
      <c r="DQ20" s="443">
        <v>0</v>
      </c>
      <c r="DR20" s="443">
        <v>0</v>
      </c>
      <c r="DS20" s="443">
        <v>0</v>
      </c>
      <c r="DT20" s="443">
        <v>0</v>
      </c>
      <c r="DU20" s="443">
        <v>0</v>
      </c>
      <c r="DV20" s="443">
        <v>0</v>
      </c>
      <c r="DW20" s="443">
        <v>0</v>
      </c>
      <c r="DX20" s="443">
        <v>0</v>
      </c>
      <c r="DY20" s="443">
        <v>0</v>
      </c>
      <c r="DZ20" s="443">
        <v>0</v>
      </c>
      <c r="EA20" s="443">
        <v>0</v>
      </c>
      <c r="EB20" s="443">
        <v>0</v>
      </c>
      <c r="EC20" s="443">
        <v>0</v>
      </c>
      <c r="ED20" s="443">
        <v>0</v>
      </c>
      <c r="EE20" s="443">
        <v>0</v>
      </c>
      <c r="EF20" s="443">
        <v>0</v>
      </c>
      <c r="EG20" s="443">
        <v>0</v>
      </c>
      <c r="EH20" s="443">
        <v>0</v>
      </c>
      <c r="EI20" s="443">
        <v>0</v>
      </c>
      <c r="EJ20" s="443">
        <v>0</v>
      </c>
      <c r="EK20" s="443">
        <v>0</v>
      </c>
      <c r="EL20" s="443">
        <v>0</v>
      </c>
      <c r="EM20" s="443">
        <v>0</v>
      </c>
      <c r="EN20" s="443">
        <v>0</v>
      </c>
      <c r="EO20" s="443">
        <v>0</v>
      </c>
      <c r="EP20" s="443">
        <v>0</v>
      </c>
      <c r="EQ20" s="443">
        <v>0</v>
      </c>
      <c r="ER20" s="443">
        <v>0</v>
      </c>
      <c r="ES20" s="443">
        <v>0</v>
      </c>
      <c r="ET20" s="443">
        <v>0</v>
      </c>
      <c r="EU20" s="443">
        <v>0</v>
      </c>
      <c r="EV20" s="443">
        <v>0</v>
      </c>
      <c r="EW20" s="443">
        <v>0</v>
      </c>
      <c r="EX20" s="443">
        <v>0</v>
      </c>
      <c r="EY20" s="443">
        <v>0</v>
      </c>
      <c r="EZ20" s="443">
        <v>0</v>
      </c>
      <c r="FA20" s="443">
        <v>0</v>
      </c>
      <c r="FB20" s="443">
        <v>0</v>
      </c>
      <c r="FC20" s="443">
        <v>0</v>
      </c>
      <c r="FD20" s="443">
        <v>0</v>
      </c>
      <c r="FE20" s="443">
        <v>0</v>
      </c>
      <c r="FF20" s="443">
        <v>0</v>
      </c>
      <c r="FG20" s="443">
        <v>0</v>
      </c>
      <c r="FH20" s="443">
        <v>0</v>
      </c>
      <c r="FI20" s="443">
        <v>0</v>
      </c>
      <c r="FJ20" s="443">
        <v>0</v>
      </c>
      <c r="FK20" s="443">
        <v>0</v>
      </c>
      <c r="FL20" s="443">
        <v>0</v>
      </c>
      <c r="FM20" s="443">
        <v>0</v>
      </c>
      <c r="FN20" s="443">
        <v>0</v>
      </c>
      <c r="FO20" s="443">
        <v>0</v>
      </c>
      <c r="FP20" s="443">
        <v>0</v>
      </c>
      <c r="FQ20" s="443">
        <v>0</v>
      </c>
      <c r="FR20" s="443">
        <v>0</v>
      </c>
      <c r="FS20" s="443">
        <v>0</v>
      </c>
      <c r="FT20" s="443">
        <v>0</v>
      </c>
      <c r="FU20" s="443">
        <v>0</v>
      </c>
      <c r="FV20" s="443">
        <v>0</v>
      </c>
      <c r="FW20" s="443">
        <v>0</v>
      </c>
      <c r="FX20" s="443">
        <v>0</v>
      </c>
      <c r="FY20" s="443">
        <v>0</v>
      </c>
      <c r="FZ20" s="443">
        <v>0</v>
      </c>
      <c r="GA20" s="443">
        <v>0</v>
      </c>
      <c r="GB20" s="443">
        <v>0</v>
      </c>
      <c r="GC20" s="443">
        <v>0</v>
      </c>
      <c r="GD20" s="443">
        <v>0</v>
      </c>
      <c r="GE20" s="443">
        <v>0</v>
      </c>
      <c r="GF20" s="443">
        <v>0</v>
      </c>
      <c r="GG20" s="443">
        <v>0</v>
      </c>
      <c r="GH20" s="443">
        <v>0</v>
      </c>
      <c r="GI20" s="443">
        <v>0</v>
      </c>
      <c r="GJ20" s="443">
        <v>0</v>
      </c>
      <c r="GK20" s="33">
        <v>0</v>
      </c>
      <c r="GL20" s="27"/>
    </row>
    <row r="21" spans="1:194">
      <c r="A21" s="459" t="s">
        <v>998</v>
      </c>
      <c r="B21" s="456" t="s">
        <v>1199</v>
      </c>
      <c r="C21" s="541" t="s">
        <v>159</v>
      </c>
      <c r="D21" s="456" t="s">
        <v>1212</v>
      </c>
      <c r="E21" s="463" t="s">
        <v>159</v>
      </c>
      <c r="F21" s="463"/>
      <c r="G21" s="464"/>
      <c r="H21" s="464">
        <v>0</v>
      </c>
      <c r="I21" s="456">
        <v>0</v>
      </c>
      <c r="J21" s="456" t="s">
        <v>1237</v>
      </c>
      <c r="K21" s="456">
        <v>0</v>
      </c>
      <c r="L21" s="456" t="s">
        <v>183</v>
      </c>
      <c r="M21" s="470">
        <v>19.5</v>
      </c>
      <c r="N21" s="470">
        <v>34</v>
      </c>
      <c r="O21" s="470">
        <v>34</v>
      </c>
      <c r="P21" s="470">
        <v>34</v>
      </c>
      <c r="Q21" s="470">
        <v>34</v>
      </c>
      <c r="R21" s="470">
        <v>34</v>
      </c>
      <c r="S21" s="470">
        <v>34</v>
      </c>
      <c r="T21" s="470">
        <v>34</v>
      </c>
      <c r="U21" s="470">
        <v>34</v>
      </c>
      <c r="V21" s="470">
        <v>34</v>
      </c>
      <c r="W21" s="470">
        <v>0</v>
      </c>
      <c r="X21" s="457">
        <v>0</v>
      </c>
      <c r="Y21" s="472">
        <v>2475400.5906926799</v>
      </c>
      <c r="Z21" s="472">
        <v>2538054.8609475605</v>
      </c>
      <c r="AA21" s="472">
        <v>2602294.9583998374</v>
      </c>
      <c r="AB21" s="472">
        <v>2668161.0215411056</v>
      </c>
      <c r="AC21" s="472">
        <v>2735694.2047986872</v>
      </c>
      <c r="AD21" s="472">
        <v>2804936.7042497378</v>
      </c>
      <c r="AE21" s="472">
        <v>2875931.7839861941</v>
      </c>
      <c r="AF21" s="472">
        <v>2948723.8031470403</v>
      </c>
      <c r="AG21" s="472">
        <v>3023358.2436347823</v>
      </c>
      <c r="AH21" s="472">
        <v>3099881.7385334438</v>
      </c>
      <c r="AI21" s="472">
        <v>0</v>
      </c>
      <c r="AJ21" s="457">
        <v>12</v>
      </c>
      <c r="AK21" s="457">
        <v>12</v>
      </c>
      <c r="AL21" s="457">
        <v>12</v>
      </c>
      <c r="AM21" s="457">
        <v>12</v>
      </c>
      <c r="AN21" s="457">
        <v>12</v>
      </c>
      <c r="AO21" s="457">
        <v>12</v>
      </c>
      <c r="AP21" s="457">
        <v>12</v>
      </c>
      <c r="AQ21" s="457">
        <v>12</v>
      </c>
      <c r="AR21" s="457">
        <v>12</v>
      </c>
      <c r="AS21" s="457">
        <v>12</v>
      </c>
      <c r="AT21" s="457">
        <v>12</v>
      </c>
      <c r="AU21" s="458">
        <v>1</v>
      </c>
      <c r="AV21" s="510">
        <v>1.02531076</v>
      </c>
      <c r="AW21" s="456">
        <v>0</v>
      </c>
      <c r="AX21" s="443">
        <v>10900434964.47135</v>
      </c>
      <c r="AY21" s="443">
        <v>579243738.22208703</v>
      </c>
      <c r="AZ21" s="443">
        <v>1035526383.2666045</v>
      </c>
      <c r="BA21" s="443">
        <v>1061736343.0271335</v>
      </c>
      <c r="BB21" s="443">
        <v>1088609696.7887709</v>
      </c>
      <c r="BC21" s="443">
        <v>1116163235.5578644</v>
      </c>
      <c r="BD21" s="443">
        <v>1144414175.3338933</v>
      </c>
      <c r="BE21" s="443">
        <v>1173380167.8663671</v>
      </c>
      <c r="BF21" s="443">
        <v>1203079311.6839924</v>
      </c>
      <c r="BG21" s="443">
        <v>1233530163.4029911</v>
      </c>
      <c r="BH21" s="443">
        <v>1264751749.321645</v>
      </c>
      <c r="BI21" s="443">
        <v>0</v>
      </c>
      <c r="BJ21" s="442">
        <v>48270311.518507257</v>
      </c>
      <c r="BK21" s="443">
        <v>48270311.518507257</v>
      </c>
      <c r="BL21" s="443">
        <v>48270311.518507257</v>
      </c>
      <c r="BM21" s="443">
        <v>48270311.518507257</v>
      </c>
      <c r="BN21" s="443">
        <v>48270311.518507257</v>
      </c>
      <c r="BO21" s="443">
        <v>48270311.518507257</v>
      </c>
      <c r="BP21" s="443">
        <v>48270311.518507257</v>
      </c>
      <c r="BQ21" s="443">
        <v>48270311.518507257</v>
      </c>
      <c r="BR21" s="443">
        <v>48270311.518507257</v>
      </c>
      <c r="BS21" s="443">
        <v>48270311.518507257</v>
      </c>
      <c r="BT21" s="443">
        <v>48270311.518507257</v>
      </c>
      <c r="BU21" s="443">
        <v>48270311.518507257</v>
      </c>
      <c r="BV21" s="443">
        <v>86293865.272217065</v>
      </c>
      <c r="BW21" s="443">
        <v>86293865.272217065</v>
      </c>
      <c r="BX21" s="443">
        <v>86293865.272217065</v>
      </c>
      <c r="BY21" s="443">
        <v>86293865.272217065</v>
      </c>
      <c r="BZ21" s="443">
        <v>86293865.272217065</v>
      </c>
      <c r="CA21" s="443">
        <v>86293865.272217065</v>
      </c>
      <c r="CB21" s="443">
        <v>86293865.272217065</v>
      </c>
      <c r="CC21" s="443">
        <v>86293865.272217065</v>
      </c>
      <c r="CD21" s="443">
        <v>86293865.272217065</v>
      </c>
      <c r="CE21" s="443">
        <v>86293865.272217065</v>
      </c>
      <c r="CF21" s="443">
        <v>86293865.272217065</v>
      </c>
      <c r="CG21" s="443">
        <v>86293865.272217065</v>
      </c>
      <c r="CH21" s="443">
        <v>88478028.585594475</v>
      </c>
      <c r="CI21" s="443">
        <v>88478028.585594475</v>
      </c>
      <c r="CJ21" s="443">
        <v>88478028.585594475</v>
      </c>
      <c r="CK21" s="443">
        <v>88478028.585594475</v>
      </c>
      <c r="CL21" s="443">
        <v>88478028.585594475</v>
      </c>
      <c r="CM21" s="443">
        <v>88478028.585594475</v>
      </c>
      <c r="CN21" s="443">
        <v>88478028.585594475</v>
      </c>
      <c r="CO21" s="443">
        <v>88478028.585594475</v>
      </c>
      <c r="CP21" s="443">
        <v>88478028.585594475</v>
      </c>
      <c r="CQ21" s="443">
        <v>88478028.585594475</v>
      </c>
      <c r="CR21" s="443">
        <v>88478028.585594475</v>
      </c>
      <c r="CS21" s="443">
        <v>88478028.585594475</v>
      </c>
      <c r="CT21" s="443">
        <v>90717474.732397586</v>
      </c>
      <c r="CU21" s="443">
        <v>90717474.732397586</v>
      </c>
      <c r="CV21" s="443">
        <v>90717474.732397586</v>
      </c>
      <c r="CW21" s="443">
        <v>90717474.732397586</v>
      </c>
      <c r="CX21" s="443">
        <v>90717474.732397586</v>
      </c>
      <c r="CY21" s="443">
        <v>90717474.732397586</v>
      </c>
      <c r="CZ21" s="443">
        <v>90717474.732397586</v>
      </c>
      <c r="DA21" s="443">
        <v>90717474.732397586</v>
      </c>
      <c r="DB21" s="443">
        <v>90717474.732397586</v>
      </c>
      <c r="DC21" s="443">
        <v>90717474.732397586</v>
      </c>
      <c r="DD21" s="443">
        <v>90717474.732397586</v>
      </c>
      <c r="DE21" s="443">
        <v>90717474.732397586</v>
      </c>
      <c r="DF21" s="443">
        <v>93013602.963155359</v>
      </c>
      <c r="DG21" s="443">
        <v>93013602.963155359</v>
      </c>
      <c r="DH21" s="443">
        <v>93013602.963155359</v>
      </c>
      <c r="DI21" s="443">
        <v>93013602.963155359</v>
      </c>
      <c r="DJ21" s="443">
        <v>93013602.963155359</v>
      </c>
      <c r="DK21" s="443">
        <v>93013602.963155359</v>
      </c>
      <c r="DL21" s="443">
        <v>93013602.963155359</v>
      </c>
      <c r="DM21" s="443">
        <v>93013602.963155359</v>
      </c>
      <c r="DN21" s="443">
        <v>93013602.963155359</v>
      </c>
      <c r="DO21" s="443">
        <v>93013602.963155359</v>
      </c>
      <c r="DP21" s="443">
        <v>93013602.963155359</v>
      </c>
      <c r="DQ21" s="443">
        <v>93013602.963155359</v>
      </c>
      <c r="DR21" s="443">
        <v>95367847.944491088</v>
      </c>
      <c r="DS21" s="443">
        <v>95367847.944491088</v>
      </c>
      <c r="DT21" s="443">
        <v>95367847.944491088</v>
      </c>
      <c r="DU21" s="443">
        <v>95367847.944491088</v>
      </c>
      <c r="DV21" s="443">
        <v>95367847.944491088</v>
      </c>
      <c r="DW21" s="443">
        <v>95367847.944491088</v>
      </c>
      <c r="DX21" s="443">
        <v>95367847.944491088</v>
      </c>
      <c r="DY21" s="443">
        <v>95367847.944491088</v>
      </c>
      <c r="DZ21" s="443">
        <v>95367847.944491088</v>
      </c>
      <c r="EA21" s="443">
        <v>95367847.944491088</v>
      </c>
      <c r="EB21" s="443">
        <v>95367847.944491088</v>
      </c>
      <c r="EC21" s="443">
        <v>95367847.944491088</v>
      </c>
      <c r="ED21" s="443">
        <v>97781680.655530602</v>
      </c>
      <c r="EE21" s="443">
        <v>97781680.655530602</v>
      </c>
      <c r="EF21" s="443">
        <v>97781680.655530602</v>
      </c>
      <c r="EG21" s="443">
        <v>97781680.655530602</v>
      </c>
      <c r="EH21" s="443">
        <v>97781680.655530602</v>
      </c>
      <c r="EI21" s="443">
        <v>97781680.655530602</v>
      </c>
      <c r="EJ21" s="443">
        <v>97781680.655530602</v>
      </c>
      <c r="EK21" s="443">
        <v>97781680.655530602</v>
      </c>
      <c r="EL21" s="443">
        <v>97781680.655530602</v>
      </c>
      <c r="EM21" s="443">
        <v>97781680.655530602</v>
      </c>
      <c r="EN21" s="443">
        <v>97781680.655530602</v>
      </c>
      <c r="EO21" s="443">
        <v>97781680.655530602</v>
      </c>
      <c r="EP21" s="443">
        <v>100256609.30699937</v>
      </c>
      <c r="EQ21" s="443">
        <v>100256609.30699937</v>
      </c>
      <c r="ER21" s="443">
        <v>100256609.30699937</v>
      </c>
      <c r="ES21" s="443">
        <v>100256609.30699937</v>
      </c>
      <c r="ET21" s="443">
        <v>100256609.30699937</v>
      </c>
      <c r="EU21" s="443">
        <v>100256609.30699937</v>
      </c>
      <c r="EV21" s="443">
        <v>100256609.30699937</v>
      </c>
      <c r="EW21" s="443">
        <v>100256609.30699937</v>
      </c>
      <c r="EX21" s="443">
        <v>100256609.30699937</v>
      </c>
      <c r="EY21" s="443">
        <v>100256609.30699937</v>
      </c>
      <c r="EZ21" s="443">
        <v>100256609.30699937</v>
      </c>
      <c r="FA21" s="443">
        <v>100256609.30699937</v>
      </c>
      <c r="FB21" s="443">
        <v>102794180.2835826</v>
      </c>
      <c r="FC21" s="443">
        <v>102794180.2835826</v>
      </c>
      <c r="FD21" s="443">
        <v>102794180.2835826</v>
      </c>
      <c r="FE21" s="443">
        <v>102794180.2835826</v>
      </c>
      <c r="FF21" s="443">
        <v>102794180.2835826</v>
      </c>
      <c r="FG21" s="443">
        <v>102794180.2835826</v>
      </c>
      <c r="FH21" s="443">
        <v>102794180.2835826</v>
      </c>
      <c r="FI21" s="443">
        <v>102794180.2835826</v>
      </c>
      <c r="FJ21" s="443">
        <v>102794180.2835826</v>
      </c>
      <c r="FK21" s="443">
        <v>102794180.2835826</v>
      </c>
      <c r="FL21" s="443">
        <v>102794180.2835826</v>
      </c>
      <c r="FM21" s="443">
        <v>102794180.2835826</v>
      </c>
      <c r="FN21" s="443">
        <v>105395979.11013709</v>
      </c>
      <c r="FO21" s="443">
        <v>105395979.11013709</v>
      </c>
      <c r="FP21" s="443">
        <v>105395979.11013709</v>
      </c>
      <c r="FQ21" s="443">
        <v>105395979.11013709</v>
      </c>
      <c r="FR21" s="443">
        <v>105395979.11013709</v>
      </c>
      <c r="FS21" s="443">
        <v>105395979.11013709</v>
      </c>
      <c r="FT21" s="443">
        <v>105395979.11013709</v>
      </c>
      <c r="FU21" s="443">
        <v>105395979.11013709</v>
      </c>
      <c r="FV21" s="443">
        <v>105395979.11013709</v>
      </c>
      <c r="FW21" s="443">
        <v>105395979.11013709</v>
      </c>
      <c r="FX21" s="443">
        <v>105395979.11013709</v>
      </c>
      <c r="FY21" s="443">
        <v>105395979.11013709</v>
      </c>
      <c r="FZ21" s="443">
        <v>0</v>
      </c>
      <c r="GA21" s="443">
        <v>0</v>
      </c>
      <c r="GB21" s="443">
        <v>0</v>
      </c>
      <c r="GC21" s="443">
        <v>0</v>
      </c>
      <c r="GD21" s="443">
        <v>0</v>
      </c>
      <c r="GE21" s="443">
        <v>0</v>
      </c>
      <c r="GF21" s="443">
        <v>0</v>
      </c>
      <c r="GG21" s="443">
        <v>0</v>
      </c>
      <c r="GH21" s="443">
        <v>0</v>
      </c>
      <c r="GI21" s="443">
        <v>0</v>
      </c>
      <c r="GJ21" s="443">
        <v>0</v>
      </c>
      <c r="GK21" s="33">
        <v>0</v>
      </c>
      <c r="GL21" s="27"/>
    </row>
    <row r="22" spans="1:194">
      <c r="A22" s="459" t="s">
        <v>999</v>
      </c>
      <c r="B22" s="456" t="s">
        <v>1199</v>
      </c>
      <c r="C22" s="541" t="s">
        <v>159</v>
      </c>
      <c r="D22" s="456" t="s">
        <v>1214</v>
      </c>
      <c r="E22" s="463" t="s">
        <v>159</v>
      </c>
      <c r="F22" s="463"/>
      <c r="G22" s="464"/>
      <c r="H22" s="464">
        <v>0</v>
      </c>
      <c r="I22" s="456">
        <v>0</v>
      </c>
      <c r="J22" s="456" t="s">
        <v>1237</v>
      </c>
      <c r="K22" s="456">
        <v>0</v>
      </c>
      <c r="L22" s="456" t="s">
        <v>183</v>
      </c>
      <c r="M22" s="470">
        <v>4</v>
      </c>
      <c r="N22" s="470">
        <v>4</v>
      </c>
      <c r="O22" s="470">
        <v>4</v>
      </c>
      <c r="P22" s="470">
        <v>4</v>
      </c>
      <c r="Q22" s="470">
        <v>4</v>
      </c>
      <c r="R22" s="470">
        <v>4</v>
      </c>
      <c r="S22" s="470">
        <v>4</v>
      </c>
      <c r="T22" s="470">
        <v>4</v>
      </c>
      <c r="U22" s="470">
        <v>4</v>
      </c>
      <c r="V22" s="470">
        <v>4</v>
      </c>
      <c r="W22" s="470">
        <v>0</v>
      </c>
      <c r="X22" s="457">
        <v>0</v>
      </c>
      <c r="Y22" s="472">
        <v>2810805.3730576797</v>
      </c>
      <c r="Z22" s="472">
        <v>2881948.9932618532</v>
      </c>
      <c r="AA22" s="472">
        <v>2954893.3125625458</v>
      </c>
      <c r="AB22" s="472">
        <v>3029683.9080224214</v>
      </c>
      <c r="AC22" s="472">
        <v>3106367.510294239</v>
      </c>
      <c r="AD22" s="472">
        <v>3184992.0328190941</v>
      </c>
      <c r="AE22" s="472">
        <v>3265606.6017636904</v>
      </c>
      <c r="AF22" s="472">
        <v>3348261.5867153467</v>
      </c>
      <c r="AG22" s="472">
        <v>3433008.632153918</v>
      </c>
      <c r="AH22" s="472">
        <v>3519900.689720294</v>
      </c>
      <c r="AI22" s="472">
        <v>0</v>
      </c>
      <c r="AJ22" s="457">
        <v>12</v>
      </c>
      <c r="AK22" s="457">
        <v>12</v>
      </c>
      <c r="AL22" s="457">
        <v>12</v>
      </c>
      <c r="AM22" s="457">
        <v>12</v>
      </c>
      <c r="AN22" s="457">
        <v>12</v>
      </c>
      <c r="AO22" s="457">
        <v>12</v>
      </c>
      <c r="AP22" s="457">
        <v>12</v>
      </c>
      <c r="AQ22" s="457">
        <v>12</v>
      </c>
      <c r="AR22" s="457">
        <v>12</v>
      </c>
      <c r="AS22" s="457">
        <v>12</v>
      </c>
      <c r="AT22" s="457">
        <v>12</v>
      </c>
      <c r="AU22" s="458">
        <v>1</v>
      </c>
      <c r="AV22" s="510">
        <v>1.02531076</v>
      </c>
      <c r="AW22" s="456">
        <v>0</v>
      </c>
      <c r="AX22" s="443">
        <v>1513702494.7378118</v>
      </c>
      <c r="AY22" s="443">
        <v>134918657.90676859</v>
      </c>
      <c r="AZ22" s="443">
        <v>138333551.67656893</v>
      </c>
      <c r="BA22" s="443">
        <v>141834879.00300223</v>
      </c>
      <c r="BB22" s="443">
        <v>145424827.58507624</v>
      </c>
      <c r="BC22" s="443">
        <v>149105640.49412349</v>
      </c>
      <c r="BD22" s="443">
        <v>152879617.57531649</v>
      </c>
      <c r="BE22" s="443">
        <v>156749116.88465714</v>
      </c>
      <c r="BF22" s="443">
        <v>160716556.16233668</v>
      </c>
      <c r="BG22" s="443">
        <v>164784414.34338808</v>
      </c>
      <c r="BH22" s="443">
        <v>168955233.10657415</v>
      </c>
      <c r="BI22" s="443">
        <v>0</v>
      </c>
      <c r="BJ22" s="442">
        <v>11243221.492230719</v>
      </c>
      <c r="BK22" s="443">
        <v>11243221.492230719</v>
      </c>
      <c r="BL22" s="443">
        <v>11243221.492230719</v>
      </c>
      <c r="BM22" s="443">
        <v>11243221.492230719</v>
      </c>
      <c r="BN22" s="443">
        <v>11243221.492230719</v>
      </c>
      <c r="BO22" s="443">
        <v>11243221.492230719</v>
      </c>
      <c r="BP22" s="443">
        <v>11243221.492230719</v>
      </c>
      <c r="BQ22" s="443">
        <v>11243221.492230719</v>
      </c>
      <c r="BR22" s="443">
        <v>11243221.492230719</v>
      </c>
      <c r="BS22" s="443">
        <v>11243221.492230719</v>
      </c>
      <c r="BT22" s="443">
        <v>11243221.492230719</v>
      </c>
      <c r="BU22" s="443">
        <v>11243221.492230719</v>
      </c>
      <c r="BV22" s="443">
        <v>11527795.973047413</v>
      </c>
      <c r="BW22" s="443">
        <v>11527795.973047413</v>
      </c>
      <c r="BX22" s="443">
        <v>11527795.973047413</v>
      </c>
      <c r="BY22" s="443">
        <v>11527795.973047413</v>
      </c>
      <c r="BZ22" s="443">
        <v>11527795.973047413</v>
      </c>
      <c r="CA22" s="443">
        <v>11527795.973047413</v>
      </c>
      <c r="CB22" s="443">
        <v>11527795.973047413</v>
      </c>
      <c r="CC22" s="443">
        <v>11527795.973047413</v>
      </c>
      <c r="CD22" s="443">
        <v>11527795.973047413</v>
      </c>
      <c r="CE22" s="443">
        <v>11527795.973047413</v>
      </c>
      <c r="CF22" s="443">
        <v>11527795.973047413</v>
      </c>
      <c r="CG22" s="443">
        <v>11527795.973047413</v>
      </c>
      <c r="CH22" s="443">
        <v>11819573.250250183</v>
      </c>
      <c r="CI22" s="443">
        <v>11819573.250250183</v>
      </c>
      <c r="CJ22" s="443">
        <v>11819573.250250183</v>
      </c>
      <c r="CK22" s="443">
        <v>11819573.250250183</v>
      </c>
      <c r="CL22" s="443">
        <v>11819573.250250183</v>
      </c>
      <c r="CM22" s="443">
        <v>11819573.250250183</v>
      </c>
      <c r="CN22" s="443">
        <v>11819573.250250183</v>
      </c>
      <c r="CO22" s="443">
        <v>11819573.250250183</v>
      </c>
      <c r="CP22" s="443">
        <v>11819573.250250183</v>
      </c>
      <c r="CQ22" s="443">
        <v>11819573.250250183</v>
      </c>
      <c r="CR22" s="443">
        <v>11819573.250250183</v>
      </c>
      <c r="CS22" s="443">
        <v>11819573.250250183</v>
      </c>
      <c r="CT22" s="443">
        <v>12118735.632089686</v>
      </c>
      <c r="CU22" s="443">
        <v>12118735.632089686</v>
      </c>
      <c r="CV22" s="443">
        <v>12118735.632089686</v>
      </c>
      <c r="CW22" s="443">
        <v>12118735.632089686</v>
      </c>
      <c r="CX22" s="443">
        <v>12118735.632089686</v>
      </c>
      <c r="CY22" s="443">
        <v>12118735.632089686</v>
      </c>
      <c r="CZ22" s="443">
        <v>12118735.632089686</v>
      </c>
      <c r="DA22" s="443">
        <v>12118735.632089686</v>
      </c>
      <c r="DB22" s="443">
        <v>12118735.632089686</v>
      </c>
      <c r="DC22" s="443">
        <v>12118735.632089686</v>
      </c>
      <c r="DD22" s="443">
        <v>12118735.632089686</v>
      </c>
      <c r="DE22" s="443">
        <v>12118735.632089686</v>
      </c>
      <c r="DF22" s="443">
        <v>12425470.041176956</v>
      </c>
      <c r="DG22" s="443">
        <v>12425470.041176956</v>
      </c>
      <c r="DH22" s="443">
        <v>12425470.041176956</v>
      </c>
      <c r="DI22" s="443">
        <v>12425470.041176956</v>
      </c>
      <c r="DJ22" s="443">
        <v>12425470.041176956</v>
      </c>
      <c r="DK22" s="443">
        <v>12425470.041176956</v>
      </c>
      <c r="DL22" s="443">
        <v>12425470.041176956</v>
      </c>
      <c r="DM22" s="443">
        <v>12425470.041176956</v>
      </c>
      <c r="DN22" s="443">
        <v>12425470.041176956</v>
      </c>
      <c r="DO22" s="443">
        <v>12425470.041176956</v>
      </c>
      <c r="DP22" s="443">
        <v>12425470.041176956</v>
      </c>
      <c r="DQ22" s="443">
        <v>12425470.041176956</v>
      </c>
      <c r="DR22" s="443">
        <v>12739968.131276377</v>
      </c>
      <c r="DS22" s="443">
        <v>12739968.131276377</v>
      </c>
      <c r="DT22" s="443">
        <v>12739968.131276377</v>
      </c>
      <c r="DU22" s="443">
        <v>12739968.131276377</v>
      </c>
      <c r="DV22" s="443">
        <v>12739968.131276377</v>
      </c>
      <c r="DW22" s="443">
        <v>12739968.131276377</v>
      </c>
      <c r="DX22" s="443">
        <v>12739968.131276377</v>
      </c>
      <c r="DY22" s="443">
        <v>12739968.131276377</v>
      </c>
      <c r="DZ22" s="443">
        <v>12739968.131276377</v>
      </c>
      <c r="EA22" s="443">
        <v>12739968.131276377</v>
      </c>
      <c r="EB22" s="443">
        <v>12739968.131276377</v>
      </c>
      <c r="EC22" s="443">
        <v>12739968.131276377</v>
      </c>
      <c r="ED22" s="443">
        <v>13062426.407054761</v>
      </c>
      <c r="EE22" s="443">
        <v>13062426.407054761</v>
      </c>
      <c r="EF22" s="443">
        <v>13062426.407054761</v>
      </c>
      <c r="EG22" s="443">
        <v>13062426.407054761</v>
      </c>
      <c r="EH22" s="443">
        <v>13062426.407054761</v>
      </c>
      <c r="EI22" s="443">
        <v>13062426.407054761</v>
      </c>
      <c r="EJ22" s="443">
        <v>13062426.407054761</v>
      </c>
      <c r="EK22" s="443">
        <v>13062426.407054761</v>
      </c>
      <c r="EL22" s="443">
        <v>13062426.407054761</v>
      </c>
      <c r="EM22" s="443">
        <v>13062426.407054761</v>
      </c>
      <c r="EN22" s="443">
        <v>13062426.407054761</v>
      </c>
      <c r="EO22" s="443">
        <v>13062426.407054761</v>
      </c>
      <c r="EP22" s="443">
        <v>13393046.346861387</v>
      </c>
      <c r="EQ22" s="443">
        <v>13393046.346861387</v>
      </c>
      <c r="ER22" s="443">
        <v>13393046.346861387</v>
      </c>
      <c r="ES22" s="443">
        <v>13393046.346861387</v>
      </c>
      <c r="ET22" s="443">
        <v>13393046.346861387</v>
      </c>
      <c r="EU22" s="443">
        <v>13393046.346861387</v>
      </c>
      <c r="EV22" s="443">
        <v>13393046.346861387</v>
      </c>
      <c r="EW22" s="443">
        <v>13393046.346861387</v>
      </c>
      <c r="EX22" s="443">
        <v>13393046.346861387</v>
      </c>
      <c r="EY22" s="443">
        <v>13393046.346861387</v>
      </c>
      <c r="EZ22" s="443">
        <v>13393046.346861387</v>
      </c>
      <c r="FA22" s="443">
        <v>13393046.346861387</v>
      </c>
      <c r="FB22" s="443">
        <v>13732034.528615672</v>
      </c>
      <c r="FC22" s="443">
        <v>13732034.528615672</v>
      </c>
      <c r="FD22" s="443">
        <v>13732034.528615672</v>
      </c>
      <c r="FE22" s="443">
        <v>13732034.528615672</v>
      </c>
      <c r="FF22" s="443">
        <v>13732034.528615672</v>
      </c>
      <c r="FG22" s="443">
        <v>13732034.528615672</v>
      </c>
      <c r="FH22" s="443">
        <v>13732034.528615672</v>
      </c>
      <c r="FI22" s="443">
        <v>13732034.528615672</v>
      </c>
      <c r="FJ22" s="443">
        <v>13732034.528615672</v>
      </c>
      <c r="FK22" s="443">
        <v>13732034.528615672</v>
      </c>
      <c r="FL22" s="443">
        <v>13732034.528615672</v>
      </c>
      <c r="FM22" s="443">
        <v>13732034.528615672</v>
      </c>
      <c r="FN22" s="443">
        <v>14079602.758881176</v>
      </c>
      <c r="FO22" s="443">
        <v>14079602.758881176</v>
      </c>
      <c r="FP22" s="443">
        <v>14079602.758881176</v>
      </c>
      <c r="FQ22" s="443">
        <v>14079602.758881176</v>
      </c>
      <c r="FR22" s="443">
        <v>14079602.758881176</v>
      </c>
      <c r="FS22" s="443">
        <v>14079602.758881176</v>
      </c>
      <c r="FT22" s="443">
        <v>14079602.758881176</v>
      </c>
      <c r="FU22" s="443">
        <v>14079602.758881176</v>
      </c>
      <c r="FV22" s="443">
        <v>14079602.758881176</v>
      </c>
      <c r="FW22" s="443">
        <v>14079602.758881176</v>
      </c>
      <c r="FX22" s="443">
        <v>14079602.758881176</v>
      </c>
      <c r="FY22" s="443">
        <v>14079602.758881176</v>
      </c>
      <c r="FZ22" s="443">
        <v>0</v>
      </c>
      <c r="GA22" s="443">
        <v>0</v>
      </c>
      <c r="GB22" s="443">
        <v>0</v>
      </c>
      <c r="GC22" s="443">
        <v>0</v>
      </c>
      <c r="GD22" s="443">
        <v>0</v>
      </c>
      <c r="GE22" s="443">
        <v>0</v>
      </c>
      <c r="GF22" s="443">
        <v>0</v>
      </c>
      <c r="GG22" s="443">
        <v>0</v>
      </c>
      <c r="GH22" s="443">
        <v>0</v>
      </c>
      <c r="GI22" s="443">
        <v>0</v>
      </c>
      <c r="GJ22" s="443">
        <v>0</v>
      </c>
      <c r="GK22" s="33">
        <v>0</v>
      </c>
      <c r="GL22" s="27"/>
    </row>
    <row r="23" spans="1:194">
      <c r="A23" s="459" t="s">
        <v>1000</v>
      </c>
      <c r="B23" s="456" t="s">
        <v>1199</v>
      </c>
      <c r="C23" s="541" t="s">
        <v>159</v>
      </c>
      <c r="D23" s="456" t="s">
        <v>1214</v>
      </c>
      <c r="E23" s="463" t="s">
        <v>1215</v>
      </c>
      <c r="F23" s="463"/>
      <c r="G23" s="464"/>
      <c r="H23" s="464">
        <v>0</v>
      </c>
      <c r="I23" s="456">
        <v>0</v>
      </c>
      <c r="J23" s="456" t="s">
        <v>1237</v>
      </c>
      <c r="K23" s="456">
        <v>0</v>
      </c>
      <c r="L23" s="456" t="s">
        <v>183</v>
      </c>
      <c r="M23" s="470">
        <v>2</v>
      </c>
      <c r="N23" s="470">
        <v>2</v>
      </c>
      <c r="O23" s="470">
        <v>2</v>
      </c>
      <c r="P23" s="470">
        <v>2</v>
      </c>
      <c r="Q23" s="470">
        <v>2</v>
      </c>
      <c r="R23" s="470">
        <v>2</v>
      </c>
      <c r="S23" s="470">
        <v>2</v>
      </c>
      <c r="T23" s="470">
        <v>2</v>
      </c>
      <c r="U23" s="470">
        <v>2</v>
      </c>
      <c r="V23" s="470">
        <v>2</v>
      </c>
      <c r="W23" s="470">
        <v>0</v>
      </c>
      <c r="X23" s="457">
        <v>0</v>
      </c>
      <c r="Y23" s="472">
        <v>2268632.3215880399</v>
      </c>
      <c r="Z23" s="472">
        <v>2326053.1298079975</v>
      </c>
      <c r="AA23" s="472">
        <v>2384927.3023238163</v>
      </c>
      <c r="AB23" s="472">
        <v>2445291.6248903819</v>
      </c>
      <c r="AC23" s="472">
        <v>2507183.8143379926</v>
      </c>
      <c r="AD23" s="472">
        <v>2570642.5421385858</v>
      </c>
      <c r="AE23" s="472">
        <v>2635707.4585684454</v>
      </c>
      <c r="AF23" s="472">
        <v>2702419.2174824812</v>
      </c>
      <c r="AG23" s="472">
        <v>2770819.5017155679</v>
      </c>
      <c r="AH23" s="472">
        <v>2840951.0491268104</v>
      </c>
      <c r="AI23" s="472">
        <v>0</v>
      </c>
      <c r="AJ23" s="457">
        <v>12</v>
      </c>
      <c r="AK23" s="457">
        <v>12</v>
      </c>
      <c r="AL23" s="457">
        <v>12</v>
      </c>
      <c r="AM23" s="457">
        <v>12</v>
      </c>
      <c r="AN23" s="457">
        <v>12</v>
      </c>
      <c r="AO23" s="457">
        <v>12</v>
      </c>
      <c r="AP23" s="457">
        <v>12</v>
      </c>
      <c r="AQ23" s="457">
        <v>12</v>
      </c>
      <c r="AR23" s="457">
        <v>12</v>
      </c>
      <c r="AS23" s="457">
        <v>12</v>
      </c>
      <c r="AT23" s="457">
        <v>12</v>
      </c>
      <c r="AU23" s="458">
        <v>1</v>
      </c>
      <c r="AV23" s="510">
        <v>1.02531076</v>
      </c>
      <c r="AW23" s="456">
        <v>0</v>
      </c>
      <c r="AX23" s="443">
        <v>610863071.08752275</v>
      </c>
      <c r="AY23" s="443">
        <v>54447175.718112953</v>
      </c>
      <c r="AZ23" s="443">
        <v>55825275.11539194</v>
      </c>
      <c r="BA23" s="443">
        <v>57238255.255771607</v>
      </c>
      <c r="BB23" s="443">
        <v>58686998.997369178</v>
      </c>
      <c r="BC23" s="443">
        <v>60172411.544111811</v>
      </c>
      <c r="BD23" s="443">
        <v>61695421.011326045</v>
      </c>
      <c r="BE23" s="443">
        <v>63256979.005642705</v>
      </c>
      <c r="BF23" s="443">
        <v>64858061.219579548</v>
      </c>
      <c r="BG23" s="443">
        <v>66499668.041173615</v>
      </c>
      <c r="BH23" s="443">
        <v>68182825.179043457</v>
      </c>
      <c r="BI23" s="443">
        <v>0</v>
      </c>
      <c r="BJ23" s="442">
        <v>4537264.6431760797</v>
      </c>
      <c r="BK23" s="443">
        <v>4537264.6431760797</v>
      </c>
      <c r="BL23" s="443">
        <v>4537264.6431760797</v>
      </c>
      <c r="BM23" s="443">
        <v>4537264.6431760797</v>
      </c>
      <c r="BN23" s="443">
        <v>4537264.6431760797</v>
      </c>
      <c r="BO23" s="443">
        <v>4537264.6431760797</v>
      </c>
      <c r="BP23" s="443">
        <v>4537264.6431760797</v>
      </c>
      <c r="BQ23" s="443">
        <v>4537264.6431760797</v>
      </c>
      <c r="BR23" s="443">
        <v>4537264.6431760797</v>
      </c>
      <c r="BS23" s="443">
        <v>4537264.6431760797</v>
      </c>
      <c r="BT23" s="443">
        <v>4537264.6431760797</v>
      </c>
      <c r="BU23" s="443">
        <v>4537264.6431760797</v>
      </c>
      <c r="BV23" s="443">
        <v>4652106.259615995</v>
      </c>
      <c r="BW23" s="443">
        <v>4652106.259615995</v>
      </c>
      <c r="BX23" s="443">
        <v>4652106.259615995</v>
      </c>
      <c r="BY23" s="443">
        <v>4652106.259615995</v>
      </c>
      <c r="BZ23" s="443">
        <v>4652106.259615995</v>
      </c>
      <c r="CA23" s="443">
        <v>4652106.259615995</v>
      </c>
      <c r="CB23" s="443">
        <v>4652106.259615995</v>
      </c>
      <c r="CC23" s="443">
        <v>4652106.259615995</v>
      </c>
      <c r="CD23" s="443">
        <v>4652106.259615995</v>
      </c>
      <c r="CE23" s="443">
        <v>4652106.259615995</v>
      </c>
      <c r="CF23" s="443">
        <v>4652106.259615995</v>
      </c>
      <c r="CG23" s="443">
        <v>4652106.259615995</v>
      </c>
      <c r="CH23" s="443">
        <v>4769854.6046476327</v>
      </c>
      <c r="CI23" s="443">
        <v>4769854.6046476327</v>
      </c>
      <c r="CJ23" s="443">
        <v>4769854.6046476327</v>
      </c>
      <c r="CK23" s="443">
        <v>4769854.6046476327</v>
      </c>
      <c r="CL23" s="443">
        <v>4769854.6046476327</v>
      </c>
      <c r="CM23" s="443">
        <v>4769854.6046476327</v>
      </c>
      <c r="CN23" s="443">
        <v>4769854.6046476327</v>
      </c>
      <c r="CO23" s="443">
        <v>4769854.6046476327</v>
      </c>
      <c r="CP23" s="443">
        <v>4769854.6046476327</v>
      </c>
      <c r="CQ23" s="443">
        <v>4769854.6046476327</v>
      </c>
      <c r="CR23" s="443">
        <v>4769854.6046476327</v>
      </c>
      <c r="CS23" s="443">
        <v>4769854.6046476327</v>
      </c>
      <c r="CT23" s="443">
        <v>4890583.2497807639</v>
      </c>
      <c r="CU23" s="443">
        <v>4890583.2497807639</v>
      </c>
      <c r="CV23" s="443">
        <v>4890583.2497807639</v>
      </c>
      <c r="CW23" s="443">
        <v>4890583.2497807639</v>
      </c>
      <c r="CX23" s="443">
        <v>4890583.2497807639</v>
      </c>
      <c r="CY23" s="443">
        <v>4890583.2497807639</v>
      </c>
      <c r="CZ23" s="443">
        <v>4890583.2497807639</v>
      </c>
      <c r="DA23" s="443">
        <v>4890583.2497807639</v>
      </c>
      <c r="DB23" s="443">
        <v>4890583.2497807639</v>
      </c>
      <c r="DC23" s="443">
        <v>4890583.2497807639</v>
      </c>
      <c r="DD23" s="443">
        <v>4890583.2497807639</v>
      </c>
      <c r="DE23" s="443">
        <v>4890583.2497807639</v>
      </c>
      <c r="DF23" s="443">
        <v>5014367.6286759852</v>
      </c>
      <c r="DG23" s="443">
        <v>5014367.6286759852</v>
      </c>
      <c r="DH23" s="443">
        <v>5014367.6286759852</v>
      </c>
      <c r="DI23" s="443">
        <v>5014367.6286759852</v>
      </c>
      <c r="DJ23" s="443">
        <v>5014367.6286759852</v>
      </c>
      <c r="DK23" s="443">
        <v>5014367.6286759852</v>
      </c>
      <c r="DL23" s="443">
        <v>5014367.6286759852</v>
      </c>
      <c r="DM23" s="443">
        <v>5014367.6286759852</v>
      </c>
      <c r="DN23" s="443">
        <v>5014367.6286759852</v>
      </c>
      <c r="DO23" s="443">
        <v>5014367.6286759852</v>
      </c>
      <c r="DP23" s="443">
        <v>5014367.6286759852</v>
      </c>
      <c r="DQ23" s="443">
        <v>5014367.6286759852</v>
      </c>
      <c r="DR23" s="443">
        <v>5141285.0842771716</v>
      </c>
      <c r="DS23" s="443">
        <v>5141285.0842771716</v>
      </c>
      <c r="DT23" s="443">
        <v>5141285.0842771716</v>
      </c>
      <c r="DU23" s="443">
        <v>5141285.0842771716</v>
      </c>
      <c r="DV23" s="443">
        <v>5141285.0842771716</v>
      </c>
      <c r="DW23" s="443">
        <v>5141285.0842771716</v>
      </c>
      <c r="DX23" s="443">
        <v>5141285.0842771716</v>
      </c>
      <c r="DY23" s="443">
        <v>5141285.0842771716</v>
      </c>
      <c r="DZ23" s="443">
        <v>5141285.0842771716</v>
      </c>
      <c r="EA23" s="443">
        <v>5141285.0842771716</v>
      </c>
      <c r="EB23" s="443">
        <v>5141285.0842771716</v>
      </c>
      <c r="EC23" s="443">
        <v>5141285.0842771716</v>
      </c>
      <c r="ED23" s="443">
        <v>5271414.9171368908</v>
      </c>
      <c r="EE23" s="443">
        <v>5271414.9171368908</v>
      </c>
      <c r="EF23" s="443">
        <v>5271414.9171368908</v>
      </c>
      <c r="EG23" s="443">
        <v>5271414.9171368908</v>
      </c>
      <c r="EH23" s="443">
        <v>5271414.9171368908</v>
      </c>
      <c r="EI23" s="443">
        <v>5271414.9171368908</v>
      </c>
      <c r="EJ23" s="443">
        <v>5271414.9171368908</v>
      </c>
      <c r="EK23" s="443">
        <v>5271414.9171368908</v>
      </c>
      <c r="EL23" s="443">
        <v>5271414.9171368908</v>
      </c>
      <c r="EM23" s="443">
        <v>5271414.9171368908</v>
      </c>
      <c r="EN23" s="443">
        <v>5271414.9171368908</v>
      </c>
      <c r="EO23" s="443">
        <v>5271414.9171368908</v>
      </c>
      <c r="EP23" s="443">
        <v>5404838.4349649623</v>
      </c>
      <c r="EQ23" s="443">
        <v>5404838.4349649623</v>
      </c>
      <c r="ER23" s="443">
        <v>5404838.4349649623</v>
      </c>
      <c r="ES23" s="443">
        <v>5404838.4349649623</v>
      </c>
      <c r="ET23" s="443">
        <v>5404838.4349649623</v>
      </c>
      <c r="EU23" s="443">
        <v>5404838.4349649623</v>
      </c>
      <c r="EV23" s="443">
        <v>5404838.4349649623</v>
      </c>
      <c r="EW23" s="443">
        <v>5404838.4349649623</v>
      </c>
      <c r="EX23" s="443">
        <v>5404838.4349649623</v>
      </c>
      <c r="EY23" s="443">
        <v>5404838.4349649623</v>
      </c>
      <c r="EZ23" s="443">
        <v>5404838.4349649623</v>
      </c>
      <c r="FA23" s="443">
        <v>5404838.4349649623</v>
      </c>
      <c r="FB23" s="443">
        <v>5541639.0034311358</v>
      </c>
      <c r="FC23" s="443">
        <v>5541639.0034311358</v>
      </c>
      <c r="FD23" s="443">
        <v>5541639.0034311358</v>
      </c>
      <c r="FE23" s="443">
        <v>5541639.0034311358</v>
      </c>
      <c r="FF23" s="443">
        <v>5541639.0034311358</v>
      </c>
      <c r="FG23" s="443">
        <v>5541639.0034311358</v>
      </c>
      <c r="FH23" s="443">
        <v>5541639.0034311358</v>
      </c>
      <c r="FI23" s="443">
        <v>5541639.0034311358</v>
      </c>
      <c r="FJ23" s="443">
        <v>5541639.0034311358</v>
      </c>
      <c r="FK23" s="443">
        <v>5541639.0034311358</v>
      </c>
      <c r="FL23" s="443">
        <v>5541639.0034311358</v>
      </c>
      <c r="FM23" s="443">
        <v>5541639.0034311358</v>
      </c>
      <c r="FN23" s="443">
        <v>5681902.0982536208</v>
      </c>
      <c r="FO23" s="443">
        <v>5681902.0982536208</v>
      </c>
      <c r="FP23" s="443">
        <v>5681902.0982536208</v>
      </c>
      <c r="FQ23" s="443">
        <v>5681902.0982536208</v>
      </c>
      <c r="FR23" s="443">
        <v>5681902.0982536208</v>
      </c>
      <c r="FS23" s="443">
        <v>5681902.0982536208</v>
      </c>
      <c r="FT23" s="443">
        <v>5681902.0982536208</v>
      </c>
      <c r="FU23" s="443">
        <v>5681902.0982536208</v>
      </c>
      <c r="FV23" s="443">
        <v>5681902.0982536208</v>
      </c>
      <c r="FW23" s="443">
        <v>5681902.0982536208</v>
      </c>
      <c r="FX23" s="443">
        <v>5681902.0982536208</v>
      </c>
      <c r="FY23" s="443">
        <v>5681902.0982536208</v>
      </c>
      <c r="FZ23" s="443">
        <v>0</v>
      </c>
      <c r="GA23" s="443">
        <v>0</v>
      </c>
      <c r="GB23" s="443">
        <v>0</v>
      </c>
      <c r="GC23" s="443">
        <v>0</v>
      </c>
      <c r="GD23" s="443">
        <v>0</v>
      </c>
      <c r="GE23" s="443">
        <v>0</v>
      </c>
      <c r="GF23" s="443">
        <v>0</v>
      </c>
      <c r="GG23" s="443">
        <v>0</v>
      </c>
      <c r="GH23" s="443">
        <v>0</v>
      </c>
      <c r="GI23" s="443">
        <v>0</v>
      </c>
      <c r="GJ23" s="443">
        <v>0</v>
      </c>
      <c r="GK23" s="33">
        <v>0</v>
      </c>
      <c r="GL23" s="27"/>
    </row>
    <row r="24" spans="1:194">
      <c r="A24" s="459" t="s">
        <v>1001</v>
      </c>
      <c r="B24" s="456" t="s">
        <v>1199</v>
      </c>
      <c r="C24" s="541" t="s">
        <v>176</v>
      </c>
      <c r="D24" s="456" t="s">
        <v>1207</v>
      </c>
      <c r="E24" s="463" t="s">
        <v>177</v>
      </c>
      <c r="F24" s="463"/>
      <c r="G24" s="464"/>
      <c r="H24" s="464">
        <v>0</v>
      </c>
      <c r="I24" s="456">
        <v>0</v>
      </c>
      <c r="J24" s="456" t="s">
        <v>1237</v>
      </c>
      <c r="K24" s="456">
        <v>0</v>
      </c>
      <c r="L24" s="456" t="s">
        <v>183</v>
      </c>
      <c r="M24" s="470">
        <v>1</v>
      </c>
      <c r="N24" s="470">
        <v>1</v>
      </c>
      <c r="O24" s="470">
        <v>1</v>
      </c>
      <c r="P24" s="470">
        <v>1</v>
      </c>
      <c r="Q24" s="470">
        <v>1</v>
      </c>
      <c r="R24" s="470">
        <v>1</v>
      </c>
      <c r="S24" s="470">
        <v>1</v>
      </c>
      <c r="T24" s="470">
        <v>1</v>
      </c>
      <c r="U24" s="470">
        <v>1</v>
      </c>
      <c r="V24" s="470">
        <v>1</v>
      </c>
      <c r="W24" s="470">
        <v>0</v>
      </c>
      <c r="X24" s="457">
        <v>0</v>
      </c>
      <c r="Y24" s="472">
        <v>3934599.2821772001</v>
      </c>
      <c r="Z24" s="472">
        <v>4034186.9803045592</v>
      </c>
      <c r="AA24" s="472">
        <v>4136295.3187581724</v>
      </c>
      <c r="AB24" s="472">
        <v>4240988.0968603836</v>
      </c>
      <c r="AC24" s="472">
        <v>4348330.7287428733</v>
      </c>
      <c r="AD24" s="472">
        <v>4458390.284218709</v>
      </c>
      <c r="AE24" s="472">
        <v>4571235.5306889005</v>
      </c>
      <c r="AF24" s="472">
        <v>4686936.9761096397</v>
      </c>
      <c r="AG24" s="472">
        <v>4805566.9130470762</v>
      </c>
      <c r="AH24" s="472">
        <v>4927199.463847152</v>
      </c>
      <c r="AI24" s="472">
        <v>0</v>
      </c>
      <c r="AJ24" s="457">
        <v>12</v>
      </c>
      <c r="AK24" s="457">
        <v>12</v>
      </c>
      <c r="AL24" s="457">
        <v>12</v>
      </c>
      <c r="AM24" s="457">
        <v>12</v>
      </c>
      <c r="AN24" s="457">
        <v>12</v>
      </c>
      <c r="AO24" s="457">
        <v>12</v>
      </c>
      <c r="AP24" s="457">
        <v>12</v>
      </c>
      <c r="AQ24" s="457">
        <v>12</v>
      </c>
      <c r="AR24" s="457">
        <v>12</v>
      </c>
      <c r="AS24" s="457">
        <v>12</v>
      </c>
      <c r="AT24" s="457">
        <v>12</v>
      </c>
      <c r="AU24" s="458">
        <v>1</v>
      </c>
      <c r="AV24" s="510">
        <v>1.02531076</v>
      </c>
      <c r="AW24" s="456">
        <v>0</v>
      </c>
      <c r="AX24" s="443">
        <v>529724754.89705592</v>
      </c>
      <c r="AY24" s="443">
        <v>47215191.386126406</v>
      </c>
      <c r="AZ24" s="443">
        <v>48410243.763654716</v>
      </c>
      <c r="BA24" s="443">
        <v>49635543.825098075</v>
      </c>
      <c r="BB24" s="443">
        <v>50891857.162324615</v>
      </c>
      <c r="BC24" s="443">
        <v>52179968.744914494</v>
      </c>
      <c r="BD24" s="443">
        <v>53500683.410624497</v>
      </c>
      <c r="BE24" s="443">
        <v>54854826.368266791</v>
      </c>
      <c r="BF24" s="443">
        <v>56243243.713315673</v>
      </c>
      <c r="BG24" s="443">
        <v>57666802.956564911</v>
      </c>
      <c r="BH24" s="443">
        <v>59126393.566165827</v>
      </c>
      <c r="BI24" s="443">
        <v>0</v>
      </c>
      <c r="BJ24" s="442">
        <v>3934599.2821772001</v>
      </c>
      <c r="BK24" s="443">
        <v>3934599.2821772001</v>
      </c>
      <c r="BL24" s="443">
        <v>3934599.2821772001</v>
      </c>
      <c r="BM24" s="443">
        <v>3934599.2821772001</v>
      </c>
      <c r="BN24" s="443">
        <v>3934599.2821772001</v>
      </c>
      <c r="BO24" s="443">
        <v>3934599.2821772001</v>
      </c>
      <c r="BP24" s="443">
        <v>3934599.2821772001</v>
      </c>
      <c r="BQ24" s="443">
        <v>3934599.2821772001</v>
      </c>
      <c r="BR24" s="443">
        <v>3934599.2821772001</v>
      </c>
      <c r="BS24" s="443">
        <v>3934599.2821772001</v>
      </c>
      <c r="BT24" s="443">
        <v>3934599.2821772001</v>
      </c>
      <c r="BU24" s="443">
        <v>3934599.2821772001</v>
      </c>
      <c r="BV24" s="443">
        <v>4034186.9803045592</v>
      </c>
      <c r="BW24" s="443">
        <v>4034186.9803045592</v>
      </c>
      <c r="BX24" s="443">
        <v>4034186.9803045592</v>
      </c>
      <c r="BY24" s="443">
        <v>4034186.9803045592</v>
      </c>
      <c r="BZ24" s="443">
        <v>4034186.9803045592</v>
      </c>
      <c r="CA24" s="443">
        <v>4034186.9803045592</v>
      </c>
      <c r="CB24" s="443">
        <v>4034186.9803045592</v>
      </c>
      <c r="CC24" s="443">
        <v>4034186.9803045592</v>
      </c>
      <c r="CD24" s="443">
        <v>4034186.9803045592</v>
      </c>
      <c r="CE24" s="443">
        <v>4034186.9803045592</v>
      </c>
      <c r="CF24" s="443">
        <v>4034186.9803045592</v>
      </c>
      <c r="CG24" s="443">
        <v>4034186.9803045592</v>
      </c>
      <c r="CH24" s="443">
        <v>4136295.3187581724</v>
      </c>
      <c r="CI24" s="443">
        <v>4136295.3187581724</v>
      </c>
      <c r="CJ24" s="443">
        <v>4136295.3187581724</v>
      </c>
      <c r="CK24" s="443">
        <v>4136295.3187581724</v>
      </c>
      <c r="CL24" s="443">
        <v>4136295.3187581724</v>
      </c>
      <c r="CM24" s="443">
        <v>4136295.3187581724</v>
      </c>
      <c r="CN24" s="443">
        <v>4136295.3187581724</v>
      </c>
      <c r="CO24" s="443">
        <v>4136295.3187581724</v>
      </c>
      <c r="CP24" s="443">
        <v>4136295.3187581724</v>
      </c>
      <c r="CQ24" s="443">
        <v>4136295.3187581724</v>
      </c>
      <c r="CR24" s="443">
        <v>4136295.3187581724</v>
      </c>
      <c r="CS24" s="443">
        <v>4136295.3187581724</v>
      </c>
      <c r="CT24" s="443">
        <v>4240988.0968603836</v>
      </c>
      <c r="CU24" s="443">
        <v>4240988.0968603836</v>
      </c>
      <c r="CV24" s="443">
        <v>4240988.0968603836</v>
      </c>
      <c r="CW24" s="443">
        <v>4240988.0968603836</v>
      </c>
      <c r="CX24" s="443">
        <v>4240988.0968603836</v>
      </c>
      <c r="CY24" s="443">
        <v>4240988.0968603836</v>
      </c>
      <c r="CZ24" s="443">
        <v>4240988.0968603836</v>
      </c>
      <c r="DA24" s="443">
        <v>4240988.0968603836</v>
      </c>
      <c r="DB24" s="443">
        <v>4240988.0968603836</v>
      </c>
      <c r="DC24" s="443">
        <v>4240988.0968603836</v>
      </c>
      <c r="DD24" s="443">
        <v>4240988.0968603836</v>
      </c>
      <c r="DE24" s="443">
        <v>4240988.0968603836</v>
      </c>
      <c r="DF24" s="443">
        <v>4348330.7287428733</v>
      </c>
      <c r="DG24" s="443">
        <v>4348330.7287428733</v>
      </c>
      <c r="DH24" s="443">
        <v>4348330.7287428733</v>
      </c>
      <c r="DI24" s="443">
        <v>4348330.7287428733</v>
      </c>
      <c r="DJ24" s="443">
        <v>4348330.7287428733</v>
      </c>
      <c r="DK24" s="443">
        <v>4348330.7287428733</v>
      </c>
      <c r="DL24" s="443">
        <v>4348330.7287428733</v>
      </c>
      <c r="DM24" s="443">
        <v>4348330.7287428733</v>
      </c>
      <c r="DN24" s="443">
        <v>4348330.7287428733</v>
      </c>
      <c r="DO24" s="443">
        <v>4348330.7287428733</v>
      </c>
      <c r="DP24" s="443">
        <v>4348330.7287428733</v>
      </c>
      <c r="DQ24" s="443">
        <v>4348330.7287428733</v>
      </c>
      <c r="DR24" s="443">
        <v>4458390.284218709</v>
      </c>
      <c r="DS24" s="443">
        <v>4458390.284218709</v>
      </c>
      <c r="DT24" s="443">
        <v>4458390.284218709</v>
      </c>
      <c r="DU24" s="443">
        <v>4458390.284218709</v>
      </c>
      <c r="DV24" s="443">
        <v>4458390.284218709</v>
      </c>
      <c r="DW24" s="443">
        <v>4458390.284218709</v>
      </c>
      <c r="DX24" s="443">
        <v>4458390.284218709</v>
      </c>
      <c r="DY24" s="443">
        <v>4458390.284218709</v>
      </c>
      <c r="DZ24" s="443">
        <v>4458390.284218709</v>
      </c>
      <c r="EA24" s="443">
        <v>4458390.284218709</v>
      </c>
      <c r="EB24" s="443">
        <v>4458390.284218709</v>
      </c>
      <c r="EC24" s="443">
        <v>4458390.284218709</v>
      </c>
      <c r="ED24" s="443">
        <v>4571235.5306889005</v>
      </c>
      <c r="EE24" s="443">
        <v>4571235.5306889005</v>
      </c>
      <c r="EF24" s="443">
        <v>4571235.5306889005</v>
      </c>
      <c r="EG24" s="443">
        <v>4571235.5306889005</v>
      </c>
      <c r="EH24" s="443">
        <v>4571235.5306889005</v>
      </c>
      <c r="EI24" s="443">
        <v>4571235.5306889005</v>
      </c>
      <c r="EJ24" s="443">
        <v>4571235.5306889005</v>
      </c>
      <c r="EK24" s="443">
        <v>4571235.5306889005</v>
      </c>
      <c r="EL24" s="443">
        <v>4571235.5306889005</v>
      </c>
      <c r="EM24" s="443">
        <v>4571235.5306889005</v>
      </c>
      <c r="EN24" s="443">
        <v>4571235.5306889005</v>
      </c>
      <c r="EO24" s="443">
        <v>4571235.5306889005</v>
      </c>
      <c r="EP24" s="443">
        <v>4686936.9761096397</v>
      </c>
      <c r="EQ24" s="443">
        <v>4686936.9761096397</v>
      </c>
      <c r="ER24" s="443">
        <v>4686936.9761096397</v>
      </c>
      <c r="ES24" s="443">
        <v>4686936.9761096397</v>
      </c>
      <c r="ET24" s="443">
        <v>4686936.9761096397</v>
      </c>
      <c r="EU24" s="443">
        <v>4686936.9761096397</v>
      </c>
      <c r="EV24" s="443">
        <v>4686936.9761096397</v>
      </c>
      <c r="EW24" s="443">
        <v>4686936.9761096397</v>
      </c>
      <c r="EX24" s="443">
        <v>4686936.9761096397</v>
      </c>
      <c r="EY24" s="443">
        <v>4686936.9761096397</v>
      </c>
      <c r="EZ24" s="443">
        <v>4686936.9761096397</v>
      </c>
      <c r="FA24" s="443">
        <v>4686936.9761096397</v>
      </c>
      <c r="FB24" s="443">
        <v>4805566.9130470762</v>
      </c>
      <c r="FC24" s="443">
        <v>4805566.9130470762</v>
      </c>
      <c r="FD24" s="443">
        <v>4805566.9130470762</v>
      </c>
      <c r="FE24" s="443">
        <v>4805566.9130470762</v>
      </c>
      <c r="FF24" s="443">
        <v>4805566.9130470762</v>
      </c>
      <c r="FG24" s="443">
        <v>4805566.9130470762</v>
      </c>
      <c r="FH24" s="443">
        <v>4805566.9130470762</v>
      </c>
      <c r="FI24" s="443">
        <v>4805566.9130470762</v>
      </c>
      <c r="FJ24" s="443">
        <v>4805566.9130470762</v>
      </c>
      <c r="FK24" s="443">
        <v>4805566.9130470762</v>
      </c>
      <c r="FL24" s="443">
        <v>4805566.9130470762</v>
      </c>
      <c r="FM24" s="443">
        <v>4805566.9130470762</v>
      </c>
      <c r="FN24" s="443">
        <v>4927199.463847152</v>
      </c>
      <c r="FO24" s="443">
        <v>4927199.463847152</v>
      </c>
      <c r="FP24" s="443">
        <v>4927199.463847152</v>
      </c>
      <c r="FQ24" s="443">
        <v>4927199.463847152</v>
      </c>
      <c r="FR24" s="443">
        <v>4927199.463847152</v>
      </c>
      <c r="FS24" s="443">
        <v>4927199.463847152</v>
      </c>
      <c r="FT24" s="443">
        <v>4927199.463847152</v>
      </c>
      <c r="FU24" s="443">
        <v>4927199.463847152</v>
      </c>
      <c r="FV24" s="443">
        <v>4927199.463847152</v>
      </c>
      <c r="FW24" s="443">
        <v>4927199.463847152</v>
      </c>
      <c r="FX24" s="443">
        <v>4927199.463847152</v>
      </c>
      <c r="FY24" s="443">
        <v>4927199.463847152</v>
      </c>
      <c r="FZ24" s="443">
        <v>0</v>
      </c>
      <c r="GA24" s="443">
        <v>0</v>
      </c>
      <c r="GB24" s="443">
        <v>0</v>
      </c>
      <c r="GC24" s="443">
        <v>0</v>
      </c>
      <c r="GD24" s="443">
        <v>0</v>
      </c>
      <c r="GE24" s="443">
        <v>0</v>
      </c>
      <c r="GF24" s="443">
        <v>0</v>
      </c>
      <c r="GG24" s="443">
        <v>0</v>
      </c>
      <c r="GH24" s="443">
        <v>0</v>
      </c>
      <c r="GI24" s="443">
        <v>0</v>
      </c>
      <c r="GJ24" s="443">
        <v>0</v>
      </c>
      <c r="GK24" s="33">
        <v>0</v>
      </c>
      <c r="GL24" s="27"/>
    </row>
    <row r="25" spans="1:194">
      <c r="A25" s="459" t="s">
        <v>1002</v>
      </c>
      <c r="B25" s="456" t="s">
        <v>1199</v>
      </c>
      <c r="C25" s="541" t="s">
        <v>176</v>
      </c>
      <c r="D25" s="456" t="s">
        <v>1207</v>
      </c>
      <c r="E25" s="463" t="s">
        <v>1209</v>
      </c>
      <c r="F25" s="463"/>
      <c r="G25" s="464"/>
      <c r="H25" s="464">
        <v>0</v>
      </c>
      <c r="I25" s="456">
        <v>0</v>
      </c>
      <c r="J25" s="456" t="s">
        <v>1237</v>
      </c>
      <c r="K25" s="456">
        <v>0</v>
      </c>
      <c r="L25" s="456" t="s">
        <v>183</v>
      </c>
      <c r="M25" s="470">
        <v>2.25</v>
      </c>
      <c r="N25" s="470">
        <v>1</v>
      </c>
      <c r="O25" s="470">
        <v>1</v>
      </c>
      <c r="P25" s="470">
        <v>1</v>
      </c>
      <c r="Q25" s="470">
        <v>1</v>
      </c>
      <c r="R25" s="470">
        <v>1</v>
      </c>
      <c r="S25" s="470">
        <v>1</v>
      </c>
      <c r="T25" s="470">
        <v>1</v>
      </c>
      <c r="U25" s="470">
        <v>1</v>
      </c>
      <c r="V25" s="470">
        <v>1</v>
      </c>
      <c r="W25" s="470">
        <v>0</v>
      </c>
      <c r="X25" s="457">
        <v>0</v>
      </c>
      <c r="Y25" s="472">
        <v>2822413.9414824001</v>
      </c>
      <c r="Z25" s="472">
        <v>2893851.3833759152</v>
      </c>
      <c r="AA25" s="472">
        <v>2967096.9612162109</v>
      </c>
      <c r="AB25" s="472">
        <v>3042196.4402982835</v>
      </c>
      <c r="AC25" s="472">
        <v>3119196.7442715275</v>
      </c>
      <c r="AD25" s="472">
        <v>3198145.9844585657</v>
      </c>
      <c r="AE25" s="472">
        <v>3279093.4899161602</v>
      </c>
      <c r="AF25" s="472">
        <v>3362089.8382569905</v>
      </c>
      <c r="AG25" s="472">
        <v>3447186.8872515522</v>
      </c>
      <c r="AH25" s="472">
        <v>3534437.8072299231</v>
      </c>
      <c r="AI25" s="472">
        <v>0</v>
      </c>
      <c r="AJ25" s="457">
        <v>12</v>
      </c>
      <c r="AK25" s="457">
        <v>12</v>
      </c>
      <c r="AL25" s="457">
        <v>12</v>
      </c>
      <c r="AM25" s="457">
        <v>12</v>
      </c>
      <c r="AN25" s="457">
        <v>12</v>
      </c>
      <c r="AO25" s="457">
        <v>12</v>
      </c>
      <c r="AP25" s="457">
        <v>12</v>
      </c>
      <c r="AQ25" s="457">
        <v>12</v>
      </c>
      <c r="AR25" s="457">
        <v>12</v>
      </c>
      <c r="AS25" s="457">
        <v>12</v>
      </c>
      <c r="AT25" s="457">
        <v>12</v>
      </c>
      <c r="AU25" s="458">
        <v>1</v>
      </c>
      <c r="AV25" s="510">
        <v>1.02531076</v>
      </c>
      <c r="AW25" s="456">
        <v>0</v>
      </c>
      <c r="AX25" s="443">
        <v>422324722.85532629</v>
      </c>
      <c r="AY25" s="443">
        <v>76205176.420024782</v>
      </c>
      <c r="AZ25" s="443">
        <v>34726216.600510992</v>
      </c>
      <c r="BA25" s="443">
        <v>35605163.534594528</v>
      </c>
      <c r="BB25" s="443">
        <v>36506357.283579394</v>
      </c>
      <c r="BC25" s="443">
        <v>37430360.931258328</v>
      </c>
      <c r="BD25" s="443">
        <v>38377751.813502789</v>
      </c>
      <c r="BE25" s="443">
        <v>39349121.878993921</v>
      </c>
      <c r="BF25" s="443">
        <v>40345078.059083901</v>
      </c>
      <c r="BG25" s="443">
        <v>41366242.647018626</v>
      </c>
      <c r="BH25" s="443">
        <v>42413253.686759062</v>
      </c>
      <c r="BI25" s="443">
        <v>0</v>
      </c>
      <c r="BJ25" s="442">
        <v>6350431.3683353998</v>
      </c>
      <c r="BK25" s="443">
        <v>6350431.3683353998</v>
      </c>
      <c r="BL25" s="443">
        <v>6350431.3683353998</v>
      </c>
      <c r="BM25" s="443">
        <v>6350431.3683353998</v>
      </c>
      <c r="BN25" s="443">
        <v>6350431.3683353998</v>
      </c>
      <c r="BO25" s="443">
        <v>6350431.3683353998</v>
      </c>
      <c r="BP25" s="443">
        <v>6350431.3683353998</v>
      </c>
      <c r="BQ25" s="443">
        <v>6350431.3683353998</v>
      </c>
      <c r="BR25" s="443">
        <v>6350431.3683353998</v>
      </c>
      <c r="BS25" s="443">
        <v>6350431.3683353998</v>
      </c>
      <c r="BT25" s="443">
        <v>6350431.3683353998</v>
      </c>
      <c r="BU25" s="443">
        <v>6350431.3683353998</v>
      </c>
      <c r="BV25" s="443">
        <v>2893851.3833759152</v>
      </c>
      <c r="BW25" s="443">
        <v>2893851.3833759152</v>
      </c>
      <c r="BX25" s="443">
        <v>2893851.3833759152</v>
      </c>
      <c r="BY25" s="443">
        <v>2893851.3833759152</v>
      </c>
      <c r="BZ25" s="443">
        <v>2893851.3833759152</v>
      </c>
      <c r="CA25" s="443">
        <v>2893851.3833759152</v>
      </c>
      <c r="CB25" s="443">
        <v>2893851.3833759152</v>
      </c>
      <c r="CC25" s="443">
        <v>2893851.3833759152</v>
      </c>
      <c r="CD25" s="443">
        <v>2893851.3833759152</v>
      </c>
      <c r="CE25" s="443">
        <v>2893851.3833759152</v>
      </c>
      <c r="CF25" s="443">
        <v>2893851.3833759152</v>
      </c>
      <c r="CG25" s="443">
        <v>2893851.3833759152</v>
      </c>
      <c r="CH25" s="443">
        <v>2967096.9612162109</v>
      </c>
      <c r="CI25" s="443">
        <v>2967096.9612162109</v>
      </c>
      <c r="CJ25" s="443">
        <v>2967096.9612162109</v>
      </c>
      <c r="CK25" s="443">
        <v>2967096.9612162109</v>
      </c>
      <c r="CL25" s="443">
        <v>2967096.9612162109</v>
      </c>
      <c r="CM25" s="443">
        <v>2967096.9612162109</v>
      </c>
      <c r="CN25" s="443">
        <v>2967096.9612162109</v>
      </c>
      <c r="CO25" s="443">
        <v>2967096.9612162109</v>
      </c>
      <c r="CP25" s="443">
        <v>2967096.9612162109</v>
      </c>
      <c r="CQ25" s="443">
        <v>2967096.9612162109</v>
      </c>
      <c r="CR25" s="443">
        <v>2967096.9612162109</v>
      </c>
      <c r="CS25" s="443">
        <v>2967096.9612162109</v>
      </c>
      <c r="CT25" s="443">
        <v>3042196.4402982835</v>
      </c>
      <c r="CU25" s="443">
        <v>3042196.4402982835</v>
      </c>
      <c r="CV25" s="443">
        <v>3042196.4402982835</v>
      </c>
      <c r="CW25" s="443">
        <v>3042196.4402982835</v>
      </c>
      <c r="CX25" s="443">
        <v>3042196.4402982835</v>
      </c>
      <c r="CY25" s="443">
        <v>3042196.4402982835</v>
      </c>
      <c r="CZ25" s="443">
        <v>3042196.4402982835</v>
      </c>
      <c r="DA25" s="443">
        <v>3042196.4402982835</v>
      </c>
      <c r="DB25" s="443">
        <v>3042196.4402982835</v>
      </c>
      <c r="DC25" s="443">
        <v>3042196.4402982835</v>
      </c>
      <c r="DD25" s="443">
        <v>3042196.4402982835</v>
      </c>
      <c r="DE25" s="443">
        <v>3042196.4402982835</v>
      </c>
      <c r="DF25" s="443">
        <v>3119196.7442715275</v>
      </c>
      <c r="DG25" s="443">
        <v>3119196.7442715275</v>
      </c>
      <c r="DH25" s="443">
        <v>3119196.7442715275</v>
      </c>
      <c r="DI25" s="443">
        <v>3119196.7442715275</v>
      </c>
      <c r="DJ25" s="443">
        <v>3119196.7442715275</v>
      </c>
      <c r="DK25" s="443">
        <v>3119196.7442715275</v>
      </c>
      <c r="DL25" s="443">
        <v>3119196.7442715275</v>
      </c>
      <c r="DM25" s="443">
        <v>3119196.7442715275</v>
      </c>
      <c r="DN25" s="443">
        <v>3119196.7442715275</v>
      </c>
      <c r="DO25" s="443">
        <v>3119196.7442715275</v>
      </c>
      <c r="DP25" s="443">
        <v>3119196.7442715275</v>
      </c>
      <c r="DQ25" s="443">
        <v>3119196.7442715275</v>
      </c>
      <c r="DR25" s="443">
        <v>3198145.9844585657</v>
      </c>
      <c r="DS25" s="443">
        <v>3198145.9844585657</v>
      </c>
      <c r="DT25" s="443">
        <v>3198145.9844585657</v>
      </c>
      <c r="DU25" s="443">
        <v>3198145.9844585657</v>
      </c>
      <c r="DV25" s="443">
        <v>3198145.9844585657</v>
      </c>
      <c r="DW25" s="443">
        <v>3198145.9844585657</v>
      </c>
      <c r="DX25" s="443">
        <v>3198145.9844585657</v>
      </c>
      <c r="DY25" s="443">
        <v>3198145.9844585657</v>
      </c>
      <c r="DZ25" s="443">
        <v>3198145.9844585657</v>
      </c>
      <c r="EA25" s="443">
        <v>3198145.9844585657</v>
      </c>
      <c r="EB25" s="443">
        <v>3198145.9844585657</v>
      </c>
      <c r="EC25" s="443">
        <v>3198145.9844585657</v>
      </c>
      <c r="ED25" s="443">
        <v>3279093.4899161602</v>
      </c>
      <c r="EE25" s="443">
        <v>3279093.4899161602</v>
      </c>
      <c r="EF25" s="443">
        <v>3279093.4899161602</v>
      </c>
      <c r="EG25" s="443">
        <v>3279093.4899161602</v>
      </c>
      <c r="EH25" s="443">
        <v>3279093.4899161602</v>
      </c>
      <c r="EI25" s="443">
        <v>3279093.4899161602</v>
      </c>
      <c r="EJ25" s="443">
        <v>3279093.4899161602</v>
      </c>
      <c r="EK25" s="443">
        <v>3279093.4899161602</v>
      </c>
      <c r="EL25" s="443">
        <v>3279093.4899161602</v>
      </c>
      <c r="EM25" s="443">
        <v>3279093.4899161602</v>
      </c>
      <c r="EN25" s="443">
        <v>3279093.4899161602</v>
      </c>
      <c r="EO25" s="443">
        <v>3279093.4899161602</v>
      </c>
      <c r="EP25" s="443">
        <v>3362089.8382569905</v>
      </c>
      <c r="EQ25" s="443">
        <v>3362089.8382569905</v>
      </c>
      <c r="ER25" s="443">
        <v>3362089.8382569905</v>
      </c>
      <c r="ES25" s="443">
        <v>3362089.8382569905</v>
      </c>
      <c r="ET25" s="443">
        <v>3362089.8382569905</v>
      </c>
      <c r="EU25" s="443">
        <v>3362089.8382569905</v>
      </c>
      <c r="EV25" s="443">
        <v>3362089.8382569905</v>
      </c>
      <c r="EW25" s="443">
        <v>3362089.8382569905</v>
      </c>
      <c r="EX25" s="443">
        <v>3362089.8382569905</v>
      </c>
      <c r="EY25" s="443">
        <v>3362089.8382569905</v>
      </c>
      <c r="EZ25" s="443">
        <v>3362089.8382569905</v>
      </c>
      <c r="FA25" s="443">
        <v>3362089.8382569905</v>
      </c>
      <c r="FB25" s="443">
        <v>3447186.8872515522</v>
      </c>
      <c r="FC25" s="443">
        <v>3447186.8872515522</v>
      </c>
      <c r="FD25" s="443">
        <v>3447186.8872515522</v>
      </c>
      <c r="FE25" s="443">
        <v>3447186.8872515522</v>
      </c>
      <c r="FF25" s="443">
        <v>3447186.8872515522</v>
      </c>
      <c r="FG25" s="443">
        <v>3447186.8872515522</v>
      </c>
      <c r="FH25" s="443">
        <v>3447186.8872515522</v>
      </c>
      <c r="FI25" s="443">
        <v>3447186.8872515522</v>
      </c>
      <c r="FJ25" s="443">
        <v>3447186.8872515522</v>
      </c>
      <c r="FK25" s="443">
        <v>3447186.8872515522</v>
      </c>
      <c r="FL25" s="443">
        <v>3447186.8872515522</v>
      </c>
      <c r="FM25" s="443">
        <v>3447186.8872515522</v>
      </c>
      <c r="FN25" s="443">
        <v>3534437.8072299231</v>
      </c>
      <c r="FO25" s="443">
        <v>3534437.8072299231</v>
      </c>
      <c r="FP25" s="443">
        <v>3534437.8072299231</v>
      </c>
      <c r="FQ25" s="443">
        <v>3534437.8072299231</v>
      </c>
      <c r="FR25" s="443">
        <v>3534437.8072299231</v>
      </c>
      <c r="FS25" s="443">
        <v>3534437.8072299231</v>
      </c>
      <c r="FT25" s="443">
        <v>3534437.8072299231</v>
      </c>
      <c r="FU25" s="443">
        <v>3534437.8072299231</v>
      </c>
      <c r="FV25" s="443">
        <v>3534437.8072299231</v>
      </c>
      <c r="FW25" s="443">
        <v>3534437.8072299231</v>
      </c>
      <c r="FX25" s="443">
        <v>3534437.8072299231</v>
      </c>
      <c r="FY25" s="443">
        <v>3534437.8072299231</v>
      </c>
      <c r="FZ25" s="443">
        <v>0</v>
      </c>
      <c r="GA25" s="443">
        <v>0</v>
      </c>
      <c r="GB25" s="443">
        <v>0</v>
      </c>
      <c r="GC25" s="443">
        <v>0</v>
      </c>
      <c r="GD25" s="443">
        <v>0</v>
      </c>
      <c r="GE25" s="443">
        <v>0</v>
      </c>
      <c r="GF25" s="443">
        <v>0</v>
      </c>
      <c r="GG25" s="443">
        <v>0</v>
      </c>
      <c r="GH25" s="443">
        <v>0</v>
      </c>
      <c r="GI25" s="443">
        <v>0</v>
      </c>
      <c r="GJ25" s="443">
        <v>0</v>
      </c>
      <c r="GK25" s="33">
        <v>0</v>
      </c>
      <c r="GL25" s="27"/>
    </row>
    <row r="26" spans="1:194">
      <c r="A26" s="459" t="s">
        <v>1003</v>
      </c>
      <c r="B26" s="456" t="s">
        <v>1199</v>
      </c>
      <c r="C26" s="541" t="s">
        <v>176</v>
      </c>
      <c r="D26" s="456" t="s">
        <v>1212</v>
      </c>
      <c r="E26" s="463" t="s">
        <v>1210</v>
      </c>
      <c r="F26" s="463"/>
      <c r="G26" s="464"/>
      <c r="H26" s="464">
        <v>0</v>
      </c>
      <c r="I26" s="456">
        <v>0</v>
      </c>
      <c r="J26" s="456" t="s">
        <v>1237</v>
      </c>
      <c r="K26" s="456">
        <v>0</v>
      </c>
      <c r="L26" s="456" t="s">
        <v>183</v>
      </c>
      <c r="M26" s="470">
        <v>3.5</v>
      </c>
      <c r="N26" s="470">
        <v>3</v>
      </c>
      <c r="O26" s="470">
        <v>3</v>
      </c>
      <c r="P26" s="470">
        <v>3</v>
      </c>
      <c r="Q26" s="470">
        <v>3</v>
      </c>
      <c r="R26" s="470">
        <v>3</v>
      </c>
      <c r="S26" s="470">
        <v>3</v>
      </c>
      <c r="T26" s="470">
        <v>3</v>
      </c>
      <c r="U26" s="470">
        <v>3</v>
      </c>
      <c r="V26" s="470">
        <v>3</v>
      </c>
      <c r="W26" s="470">
        <v>0</v>
      </c>
      <c r="X26" s="457">
        <v>0</v>
      </c>
      <c r="Y26" s="472">
        <v>2822413.9414824001</v>
      </c>
      <c r="Z26" s="472">
        <v>2893851.3833759152</v>
      </c>
      <c r="AA26" s="472">
        <v>2967096.9612162109</v>
      </c>
      <c r="AB26" s="472">
        <v>3042196.4402982835</v>
      </c>
      <c r="AC26" s="472">
        <v>3119196.7442715275</v>
      </c>
      <c r="AD26" s="472">
        <v>3198145.9844585657</v>
      </c>
      <c r="AE26" s="472">
        <v>3279093.4899161602</v>
      </c>
      <c r="AF26" s="472">
        <v>3362089.8382569905</v>
      </c>
      <c r="AG26" s="472">
        <v>3447186.8872515522</v>
      </c>
      <c r="AH26" s="472">
        <v>3534437.8072299231</v>
      </c>
      <c r="AI26" s="472">
        <v>0</v>
      </c>
      <c r="AJ26" s="457">
        <v>12</v>
      </c>
      <c r="AK26" s="457">
        <v>12</v>
      </c>
      <c r="AL26" s="457">
        <v>12</v>
      </c>
      <c r="AM26" s="457">
        <v>12</v>
      </c>
      <c r="AN26" s="457">
        <v>12</v>
      </c>
      <c r="AO26" s="457">
        <v>12</v>
      </c>
      <c r="AP26" s="457">
        <v>12</v>
      </c>
      <c r="AQ26" s="457">
        <v>12</v>
      </c>
      <c r="AR26" s="457">
        <v>12</v>
      </c>
      <c r="AS26" s="457">
        <v>12</v>
      </c>
      <c r="AT26" s="457">
        <v>12</v>
      </c>
      <c r="AU26" s="458">
        <v>1</v>
      </c>
      <c r="AV26" s="510">
        <v>1.02531076</v>
      </c>
      <c r="AW26" s="456">
        <v>0</v>
      </c>
      <c r="AX26" s="443">
        <v>1156900024.8481653</v>
      </c>
      <c r="AY26" s="443">
        <v>118541385.54226078</v>
      </c>
      <c r="AZ26" s="443">
        <v>104178649.80153292</v>
      </c>
      <c r="BA26" s="443">
        <v>106815490.60378359</v>
      </c>
      <c r="BB26" s="443">
        <v>109519071.85073821</v>
      </c>
      <c r="BC26" s="443">
        <v>112291082.79377498</v>
      </c>
      <c r="BD26" s="443">
        <v>115133255.44050837</v>
      </c>
      <c r="BE26" s="443">
        <v>118047365.63698177</v>
      </c>
      <c r="BF26" s="443">
        <v>121035234.17725165</v>
      </c>
      <c r="BG26" s="443">
        <v>124098727.94105585</v>
      </c>
      <c r="BH26" s="443">
        <v>127239761.06027721</v>
      </c>
      <c r="BI26" s="443">
        <v>0</v>
      </c>
      <c r="BJ26" s="442">
        <v>9878448.7951884009</v>
      </c>
      <c r="BK26" s="443">
        <v>9878448.7951884009</v>
      </c>
      <c r="BL26" s="443">
        <v>9878448.7951884009</v>
      </c>
      <c r="BM26" s="443">
        <v>9878448.7951884009</v>
      </c>
      <c r="BN26" s="443">
        <v>9878448.7951884009</v>
      </c>
      <c r="BO26" s="443">
        <v>9878448.7951884009</v>
      </c>
      <c r="BP26" s="443">
        <v>9878448.7951884009</v>
      </c>
      <c r="BQ26" s="443">
        <v>9878448.7951884009</v>
      </c>
      <c r="BR26" s="443">
        <v>9878448.7951884009</v>
      </c>
      <c r="BS26" s="443">
        <v>9878448.7951884009</v>
      </c>
      <c r="BT26" s="443">
        <v>9878448.7951884009</v>
      </c>
      <c r="BU26" s="443">
        <v>9878448.7951884009</v>
      </c>
      <c r="BV26" s="443">
        <v>8681554.1501277462</v>
      </c>
      <c r="BW26" s="443">
        <v>8681554.1501277462</v>
      </c>
      <c r="BX26" s="443">
        <v>8681554.1501277462</v>
      </c>
      <c r="BY26" s="443">
        <v>8681554.1501277462</v>
      </c>
      <c r="BZ26" s="443">
        <v>8681554.1501277462</v>
      </c>
      <c r="CA26" s="443">
        <v>8681554.1501277462</v>
      </c>
      <c r="CB26" s="443">
        <v>8681554.1501277462</v>
      </c>
      <c r="CC26" s="443">
        <v>8681554.1501277462</v>
      </c>
      <c r="CD26" s="443">
        <v>8681554.1501277462</v>
      </c>
      <c r="CE26" s="443">
        <v>8681554.1501277462</v>
      </c>
      <c r="CF26" s="443">
        <v>8681554.1501277462</v>
      </c>
      <c r="CG26" s="443">
        <v>8681554.1501277462</v>
      </c>
      <c r="CH26" s="443">
        <v>8901290.8836486321</v>
      </c>
      <c r="CI26" s="443">
        <v>8901290.8836486321</v>
      </c>
      <c r="CJ26" s="443">
        <v>8901290.8836486321</v>
      </c>
      <c r="CK26" s="443">
        <v>8901290.8836486321</v>
      </c>
      <c r="CL26" s="443">
        <v>8901290.8836486321</v>
      </c>
      <c r="CM26" s="443">
        <v>8901290.8836486321</v>
      </c>
      <c r="CN26" s="443">
        <v>8901290.8836486321</v>
      </c>
      <c r="CO26" s="443">
        <v>8901290.8836486321</v>
      </c>
      <c r="CP26" s="443">
        <v>8901290.8836486321</v>
      </c>
      <c r="CQ26" s="443">
        <v>8901290.8836486321</v>
      </c>
      <c r="CR26" s="443">
        <v>8901290.8836486321</v>
      </c>
      <c r="CS26" s="443">
        <v>8901290.8836486321</v>
      </c>
      <c r="CT26" s="443">
        <v>9126589.3208948504</v>
      </c>
      <c r="CU26" s="443">
        <v>9126589.3208948504</v>
      </c>
      <c r="CV26" s="443">
        <v>9126589.3208948504</v>
      </c>
      <c r="CW26" s="443">
        <v>9126589.3208948504</v>
      </c>
      <c r="CX26" s="443">
        <v>9126589.3208948504</v>
      </c>
      <c r="CY26" s="443">
        <v>9126589.3208948504</v>
      </c>
      <c r="CZ26" s="443">
        <v>9126589.3208948504</v>
      </c>
      <c r="DA26" s="443">
        <v>9126589.3208948504</v>
      </c>
      <c r="DB26" s="443">
        <v>9126589.3208948504</v>
      </c>
      <c r="DC26" s="443">
        <v>9126589.3208948504</v>
      </c>
      <c r="DD26" s="443">
        <v>9126589.3208948504</v>
      </c>
      <c r="DE26" s="443">
        <v>9126589.3208948504</v>
      </c>
      <c r="DF26" s="443">
        <v>9357590.2328145821</v>
      </c>
      <c r="DG26" s="443">
        <v>9357590.2328145821</v>
      </c>
      <c r="DH26" s="443">
        <v>9357590.2328145821</v>
      </c>
      <c r="DI26" s="443">
        <v>9357590.2328145821</v>
      </c>
      <c r="DJ26" s="443">
        <v>9357590.2328145821</v>
      </c>
      <c r="DK26" s="443">
        <v>9357590.2328145821</v>
      </c>
      <c r="DL26" s="443">
        <v>9357590.2328145821</v>
      </c>
      <c r="DM26" s="443">
        <v>9357590.2328145821</v>
      </c>
      <c r="DN26" s="443">
        <v>9357590.2328145821</v>
      </c>
      <c r="DO26" s="443">
        <v>9357590.2328145821</v>
      </c>
      <c r="DP26" s="443">
        <v>9357590.2328145821</v>
      </c>
      <c r="DQ26" s="443">
        <v>9357590.2328145821</v>
      </c>
      <c r="DR26" s="443">
        <v>9594437.9533756971</v>
      </c>
      <c r="DS26" s="443">
        <v>9594437.9533756971</v>
      </c>
      <c r="DT26" s="443">
        <v>9594437.9533756971</v>
      </c>
      <c r="DU26" s="443">
        <v>9594437.9533756971</v>
      </c>
      <c r="DV26" s="443">
        <v>9594437.9533756971</v>
      </c>
      <c r="DW26" s="443">
        <v>9594437.9533756971</v>
      </c>
      <c r="DX26" s="443">
        <v>9594437.9533756971</v>
      </c>
      <c r="DY26" s="443">
        <v>9594437.9533756971</v>
      </c>
      <c r="DZ26" s="443">
        <v>9594437.9533756971</v>
      </c>
      <c r="EA26" s="443">
        <v>9594437.9533756971</v>
      </c>
      <c r="EB26" s="443">
        <v>9594437.9533756971</v>
      </c>
      <c r="EC26" s="443">
        <v>9594437.9533756971</v>
      </c>
      <c r="ED26" s="443">
        <v>9837280.4697484802</v>
      </c>
      <c r="EE26" s="443">
        <v>9837280.4697484802</v>
      </c>
      <c r="EF26" s="443">
        <v>9837280.4697484802</v>
      </c>
      <c r="EG26" s="443">
        <v>9837280.4697484802</v>
      </c>
      <c r="EH26" s="443">
        <v>9837280.4697484802</v>
      </c>
      <c r="EI26" s="443">
        <v>9837280.4697484802</v>
      </c>
      <c r="EJ26" s="443">
        <v>9837280.4697484802</v>
      </c>
      <c r="EK26" s="443">
        <v>9837280.4697484802</v>
      </c>
      <c r="EL26" s="443">
        <v>9837280.4697484802</v>
      </c>
      <c r="EM26" s="443">
        <v>9837280.4697484802</v>
      </c>
      <c r="EN26" s="443">
        <v>9837280.4697484802</v>
      </c>
      <c r="EO26" s="443">
        <v>9837280.4697484802</v>
      </c>
      <c r="EP26" s="443">
        <v>10086269.514770972</v>
      </c>
      <c r="EQ26" s="443">
        <v>10086269.514770972</v>
      </c>
      <c r="ER26" s="443">
        <v>10086269.514770972</v>
      </c>
      <c r="ES26" s="443">
        <v>10086269.514770972</v>
      </c>
      <c r="ET26" s="443">
        <v>10086269.514770972</v>
      </c>
      <c r="EU26" s="443">
        <v>10086269.514770972</v>
      </c>
      <c r="EV26" s="443">
        <v>10086269.514770972</v>
      </c>
      <c r="EW26" s="443">
        <v>10086269.514770972</v>
      </c>
      <c r="EX26" s="443">
        <v>10086269.514770972</v>
      </c>
      <c r="EY26" s="443">
        <v>10086269.514770972</v>
      </c>
      <c r="EZ26" s="443">
        <v>10086269.514770972</v>
      </c>
      <c r="FA26" s="443">
        <v>10086269.514770972</v>
      </c>
      <c r="FB26" s="443">
        <v>10341560.661754657</v>
      </c>
      <c r="FC26" s="443">
        <v>10341560.661754657</v>
      </c>
      <c r="FD26" s="443">
        <v>10341560.661754657</v>
      </c>
      <c r="FE26" s="443">
        <v>10341560.661754657</v>
      </c>
      <c r="FF26" s="443">
        <v>10341560.661754657</v>
      </c>
      <c r="FG26" s="443">
        <v>10341560.661754657</v>
      </c>
      <c r="FH26" s="443">
        <v>10341560.661754657</v>
      </c>
      <c r="FI26" s="443">
        <v>10341560.661754657</v>
      </c>
      <c r="FJ26" s="443">
        <v>10341560.661754657</v>
      </c>
      <c r="FK26" s="443">
        <v>10341560.661754657</v>
      </c>
      <c r="FL26" s="443">
        <v>10341560.661754657</v>
      </c>
      <c r="FM26" s="443">
        <v>10341560.661754657</v>
      </c>
      <c r="FN26" s="443">
        <v>10603313.421689769</v>
      </c>
      <c r="FO26" s="443">
        <v>10603313.421689769</v>
      </c>
      <c r="FP26" s="443">
        <v>10603313.421689769</v>
      </c>
      <c r="FQ26" s="443">
        <v>10603313.421689769</v>
      </c>
      <c r="FR26" s="443">
        <v>10603313.421689769</v>
      </c>
      <c r="FS26" s="443">
        <v>10603313.421689769</v>
      </c>
      <c r="FT26" s="443">
        <v>10603313.421689769</v>
      </c>
      <c r="FU26" s="443">
        <v>10603313.421689769</v>
      </c>
      <c r="FV26" s="443">
        <v>10603313.421689769</v>
      </c>
      <c r="FW26" s="443">
        <v>10603313.421689769</v>
      </c>
      <c r="FX26" s="443">
        <v>10603313.421689769</v>
      </c>
      <c r="FY26" s="443">
        <v>10603313.421689769</v>
      </c>
      <c r="FZ26" s="443">
        <v>0</v>
      </c>
      <c r="GA26" s="443">
        <v>0</v>
      </c>
      <c r="GB26" s="443">
        <v>0</v>
      </c>
      <c r="GC26" s="443">
        <v>0</v>
      </c>
      <c r="GD26" s="443">
        <v>0</v>
      </c>
      <c r="GE26" s="443">
        <v>0</v>
      </c>
      <c r="GF26" s="443">
        <v>0</v>
      </c>
      <c r="GG26" s="443">
        <v>0</v>
      </c>
      <c r="GH26" s="443">
        <v>0</v>
      </c>
      <c r="GI26" s="443">
        <v>0</v>
      </c>
      <c r="GJ26" s="443">
        <v>0</v>
      </c>
      <c r="GK26" s="33">
        <v>0</v>
      </c>
      <c r="GL26" s="27"/>
    </row>
    <row r="27" spans="1:194">
      <c r="A27" s="459" t="s">
        <v>1004</v>
      </c>
      <c r="B27" s="456" t="s">
        <v>1199</v>
      </c>
      <c r="C27" s="541" t="s">
        <v>176</v>
      </c>
      <c r="D27" s="456" t="s">
        <v>1214</v>
      </c>
      <c r="E27" s="463" t="s">
        <v>1210</v>
      </c>
      <c r="F27" s="463"/>
      <c r="G27" s="464"/>
      <c r="H27" s="464">
        <v>0</v>
      </c>
      <c r="I27" s="456">
        <v>0</v>
      </c>
      <c r="J27" s="456" t="s">
        <v>1237</v>
      </c>
      <c r="K27" s="456">
        <v>0</v>
      </c>
      <c r="L27" s="456" t="s">
        <v>183</v>
      </c>
      <c r="M27" s="470">
        <v>2</v>
      </c>
      <c r="N27" s="470">
        <v>2</v>
      </c>
      <c r="O27" s="470">
        <v>2</v>
      </c>
      <c r="P27" s="470">
        <v>2</v>
      </c>
      <c r="Q27" s="470">
        <v>2</v>
      </c>
      <c r="R27" s="470">
        <v>2</v>
      </c>
      <c r="S27" s="470">
        <v>2</v>
      </c>
      <c r="T27" s="470">
        <v>2</v>
      </c>
      <c r="U27" s="470">
        <v>2</v>
      </c>
      <c r="V27" s="470">
        <v>2</v>
      </c>
      <c r="W27" s="470">
        <v>0</v>
      </c>
      <c r="X27" s="457">
        <v>0</v>
      </c>
      <c r="Y27" s="472">
        <v>2822413.9414824001</v>
      </c>
      <c r="Z27" s="472">
        <v>2893851.3833759152</v>
      </c>
      <c r="AA27" s="472">
        <v>2967096.9612162109</v>
      </c>
      <c r="AB27" s="472">
        <v>3042196.4402982835</v>
      </c>
      <c r="AC27" s="472">
        <v>3119196.7442715275</v>
      </c>
      <c r="AD27" s="472">
        <v>3198145.9844585657</v>
      </c>
      <c r="AE27" s="472">
        <v>3279093.4899161602</v>
      </c>
      <c r="AF27" s="472">
        <v>3362089.8382569905</v>
      </c>
      <c r="AG27" s="472">
        <v>3447186.8872515522</v>
      </c>
      <c r="AH27" s="472">
        <v>3534437.8072299231</v>
      </c>
      <c r="AI27" s="472">
        <v>0</v>
      </c>
      <c r="AJ27" s="457">
        <v>12</v>
      </c>
      <c r="AK27" s="457">
        <v>12</v>
      </c>
      <c r="AL27" s="457">
        <v>12</v>
      </c>
      <c r="AM27" s="457">
        <v>12</v>
      </c>
      <c r="AN27" s="457">
        <v>12</v>
      </c>
      <c r="AO27" s="457">
        <v>12</v>
      </c>
      <c r="AP27" s="457">
        <v>12</v>
      </c>
      <c r="AQ27" s="457">
        <v>12</v>
      </c>
      <c r="AR27" s="457">
        <v>12</v>
      </c>
      <c r="AS27" s="457">
        <v>12</v>
      </c>
      <c r="AT27" s="457">
        <v>12</v>
      </c>
      <c r="AU27" s="458">
        <v>1</v>
      </c>
      <c r="AV27" s="510">
        <v>1.02531076</v>
      </c>
      <c r="AW27" s="456">
        <v>0</v>
      </c>
      <c r="AX27" s="443">
        <v>759977027.46618056</v>
      </c>
      <c r="AY27" s="443">
        <v>67737934.595577583</v>
      </c>
      <c r="AZ27" s="443">
        <v>69452433.201021984</v>
      </c>
      <c r="BA27" s="443">
        <v>71210327.069189057</v>
      </c>
      <c r="BB27" s="443">
        <v>73012714.567158788</v>
      </c>
      <c r="BC27" s="443">
        <v>74860721.862516657</v>
      </c>
      <c r="BD27" s="443">
        <v>76755503.627005577</v>
      </c>
      <c r="BE27" s="443">
        <v>78698243.757987842</v>
      </c>
      <c r="BF27" s="443">
        <v>80690156.118167803</v>
      </c>
      <c r="BG27" s="443">
        <v>82732485.294037253</v>
      </c>
      <c r="BH27" s="443">
        <v>84826507.373518124</v>
      </c>
      <c r="BI27" s="443">
        <v>0</v>
      </c>
      <c r="BJ27" s="442">
        <v>5644827.8829648001</v>
      </c>
      <c r="BK27" s="443">
        <v>5644827.8829648001</v>
      </c>
      <c r="BL27" s="443">
        <v>5644827.8829648001</v>
      </c>
      <c r="BM27" s="443">
        <v>5644827.8829648001</v>
      </c>
      <c r="BN27" s="443">
        <v>5644827.8829648001</v>
      </c>
      <c r="BO27" s="443">
        <v>5644827.8829648001</v>
      </c>
      <c r="BP27" s="443">
        <v>5644827.8829648001</v>
      </c>
      <c r="BQ27" s="443">
        <v>5644827.8829648001</v>
      </c>
      <c r="BR27" s="443">
        <v>5644827.8829648001</v>
      </c>
      <c r="BS27" s="443">
        <v>5644827.8829648001</v>
      </c>
      <c r="BT27" s="443">
        <v>5644827.8829648001</v>
      </c>
      <c r="BU27" s="443">
        <v>5644827.8829648001</v>
      </c>
      <c r="BV27" s="443">
        <v>5787702.7667518305</v>
      </c>
      <c r="BW27" s="443">
        <v>5787702.7667518305</v>
      </c>
      <c r="BX27" s="443">
        <v>5787702.7667518305</v>
      </c>
      <c r="BY27" s="443">
        <v>5787702.7667518305</v>
      </c>
      <c r="BZ27" s="443">
        <v>5787702.7667518305</v>
      </c>
      <c r="CA27" s="443">
        <v>5787702.7667518305</v>
      </c>
      <c r="CB27" s="443">
        <v>5787702.7667518305</v>
      </c>
      <c r="CC27" s="443">
        <v>5787702.7667518305</v>
      </c>
      <c r="CD27" s="443">
        <v>5787702.7667518305</v>
      </c>
      <c r="CE27" s="443">
        <v>5787702.7667518305</v>
      </c>
      <c r="CF27" s="443">
        <v>5787702.7667518305</v>
      </c>
      <c r="CG27" s="443">
        <v>5787702.7667518305</v>
      </c>
      <c r="CH27" s="443">
        <v>5934193.9224324217</v>
      </c>
      <c r="CI27" s="443">
        <v>5934193.9224324217</v>
      </c>
      <c r="CJ27" s="443">
        <v>5934193.9224324217</v>
      </c>
      <c r="CK27" s="443">
        <v>5934193.9224324217</v>
      </c>
      <c r="CL27" s="443">
        <v>5934193.9224324217</v>
      </c>
      <c r="CM27" s="443">
        <v>5934193.9224324217</v>
      </c>
      <c r="CN27" s="443">
        <v>5934193.9224324217</v>
      </c>
      <c r="CO27" s="443">
        <v>5934193.9224324217</v>
      </c>
      <c r="CP27" s="443">
        <v>5934193.9224324217</v>
      </c>
      <c r="CQ27" s="443">
        <v>5934193.9224324217</v>
      </c>
      <c r="CR27" s="443">
        <v>5934193.9224324217</v>
      </c>
      <c r="CS27" s="443">
        <v>5934193.9224324217</v>
      </c>
      <c r="CT27" s="443">
        <v>6084392.8805965669</v>
      </c>
      <c r="CU27" s="443">
        <v>6084392.8805965669</v>
      </c>
      <c r="CV27" s="443">
        <v>6084392.8805965669</v>
      </c>
      <c r="CW27" s="443">
        <v>6084392.8805965669</v>
      </c>
      <c r="CX27" s="443">
        <v>6084392.8805965669</v>
      </c>
      <c r="CY27" s="443">
        <v>6084392.8805965669</v>
      </c>
      <c r="CZ27" s="443">
        <v>6084392.8805965669</v>
      </c>
      <c r="DA27" s="443">
        <v>6084392.8805965669</v>
      </c>
      <c r="DB27" s="443">
        <v>6084392.8805965669</v>
      </c>
      <c r="DC27" s="443">
        <v>6084392.8805965669</v>
      </c>
      <c r="DD27" s="443">
        <v>6084392.8805965669</v>
      </c>
      <c r="DE27" s="443">
        <v>6084392.8805965669</v>
      </c>
      <c r="DF27" s="443">
        <v>6238393.488543055</v>
      </c>
      <c r="DG27" s="443">
        <v>6238393.488543055</v>
      </c>
      <c r="DH27" s="443">
        <v>6238393.488543055</v>
      </c>
      <c r="DI27" s="443">
        <v>6238393.488543055</v>
      </c>
      <c r="DJ27" s="443">
        <v>6238393.488543055</v>
      </c>
      <c r="DK27" s="443">
        <v>6238393.488543055</v>
      </c>
      <c r="DL27" s="443">
        <v>6238393.488543055</v>
      </c>
      <c r="DM27" s="443">
        <v>6238393.488543055</v>
      </c>
      <c r="DN27" s="443">
        <v>6238393.488543055</v>
      </c>
      <c r="DO27" s="443">
        <v>6238393.488543055</v>
      </c>
      <c r="DP27" s="443">
        <v>6238393.488543055</v>
      </c>
      <c r="DQ27" s="443">
        <v>6238393.488543055</v>
      </c>
      <c r="DR27" s="443">
        <v>6396291.9689171314</v>
      </c>
      <c r="DS27" s="443">
        <v>6396291.9689171314</v>
      </c>
      <c r="DT27" s="443">
        <v>6396291.9689171314</v>
      </c>
      <c r="DU27" s="443">
        <v>6396291.9689171314</v>
      </c>
      <c r="DV27" s="443">
        <v>6396291.9689171314</v>
      </c>
      <c r="DW27" s="443">
        <v>6396291.9689171314</v>
      </c>
      <c r="DX27" s="443">
        <v>6396291.9689171314</v>
      </c>
      <c r="DY27" s="443">
        <v>6396291.9689171314</v>
      </c>
      <c r="DZ27" s="443">
        <v>6396291.9689171314</v>
      </c>
      <c r="EA27" s="443">
        <v>6396291.9689171314</v>
      </c>
      <c r="EB27" s="443">
        <v>6396291.9689171314</v>
      </c>
      <c r="EC27" s="443">
        <v>6396291.9689171314</v>
      </c>
      <c r="ED27" s="443">
        <v>6558186.9798323205</v>
      </c>
      <c r="EE27" s="443">
        <v>6558186.9798323205</v>
      </c>
      <c r="EF27" s="443">
        <v>6558186.9798323205</v>
      </c>
      <c r="EG27" s="443">
        <v>6558186.9798323205</v>
      </c>
      <c r="EH27" s="443">
        <v>6558186.9798323205</v>
      </c>
      <c r="EI27" s="443">
        <v>6558186.9798323205</v>
      </c>
      <c r="EJ27" s="443">
        <v>6558186.9798323205</v>
      </c>
      <c r="EK27" s="443">
        <v>6558186.9798323205</v>
      </c>
      <c r="EL27" s="443">
        <v>6558186.9798323205</v>
      </c>
      <c r="EM27" s="443">
        <v>6558186.9798323205</v>
      </c>
      <c r="EN27" s="443">
        <v>6558186.9798323205</v>
      </c>
      <c r="EO27" s="443">
        <v>6558186.9798323205</v>
      </c>
      <c r="EP27" s="443">
        <v>6724179.6765139811</v>
      </c>
      <c r="EQ27" s="443">
        <v>6724179.6765139811</v>
      </c>
      <c r="ER27" s="443">
        <v>6724179.6765139811</v>
      </c>
      <c r="ES27" s="443">
        <v>6724179.6765139811</v>
      </c>
      <c r="ET27" s="443">
        <v>6724179.6765139811</v>
      </c>
      <c r="EU27" s="443">
        <v>6724179.6765139811</v>
      </c>
      <c r="EV27" s="443">
        <v>6724179.6765139811</v>
      </c>
      <c r="EW27" s="443">
        <v>6724179.6765139811</v>
      </c>
      <c r="EX27" s="443">
        <v>6724179.6765139811</v>
      </c>
      <c r="EY27" s="443">
        <v>6724179.6765139811</v>
      </c>
      <c r="EZ27" s="443">
        <v>6724179.6765139811</v>
      </c>
      <c r="FA27" s="443">
        <v>6724179.6765139811</v>
      </c>
      <c r="FB27" s="443">
        <v>6894373.7745031044</v>
      </c>
      <c r="FC27" s="443">
        <v>6894373.7745031044</v>
      </c>
      <c r="FD27" s="443">
        <v>6894373.7745031044</v>
      </c>
      <c r="FE27" s="443">
        <v>6894373.7745031044</v>
      </c>
      <c r="FF27" s="443">
        <v>6894373.7745031044</v>
      </c>
      <c r="FG27" s="443">
        <v>6894373.7745031044</v>
      </c>
      <c r="FH27" s="443">
        <v>6894373.7745031044</v>
      </c>
      <c r="FI27" s="443">
        <v>6894373.7745031044</v>
      </c>
      <c r="FJ27" s="443">
        <v>6894373.7745031044</v>
      </c>
      <c r="FK27" s="443">
        <v>6894373.7745031044</v>
      </c>
      <c r="FL27" s="443">
        <v>6894373.7745031044</v>
      </c>
      <c r="FM27" s="443">
        <v>6894373.7745031044</v>
      </c>
      <c r="FN27" s="443">
        <v>7068875.6144598462</v>
      </c>
      <c r="FO27" s="443">
        <v>7068875.6144598462</v>
      </c>
      <c r="FP27" s="443">
        <v>7068875.6144598462</v>
      </c>
      <c r="FQ27" s="443">
        <v>7068875.6144598462</v>
      </c>
      <c r="FR27" s="443">
        <v>7068875.6144598462</v>
      </c>
      <c r="FS27" s="443">
        <v>7068875.6144598462</v>
      </c>
      <c r="FT27" s="443">
        <v>7068875.6144598462</v>
      </c>
      <c r="FU27" s="443">
        <v>7068875.6144598462</v>
      </c>
      <c r="FV27" s="443">
        <v>7068875.6144598462</v>
      </c>
      <c r="FW27" s="443">
        <v>7068875.6144598462</v>
      </c>
      <c r="FX27" s="443">
        <v>7068875.6144598462</v>
      </c>
      <c r="FY27" s="443">
        <v>7068875.6144598462</v>
      </c>
      <c r="FZ27" s="443">
        <v>0</v>
      </c>
      <c r="GA27" s="443">
        <v>0</v>
      </c>
      <c r="GB27" s="443">
        <v>0</v>
      </c>
      <c r="GC27" s="443">
        <v>0</v>
      </c>
      <c r="GD27" s="443">
        <v>0</v>
      </c>
      <c r="GE27" s="443">
        <v>0</v>
      </c>
      <c r="GF27" s="443">
        <v>0</v>
      </c>
      <c r="GG27" s="443">
        <v>0</v>
      </c>
      <c r="GH27" s="443">
        <v>0</v>
      </c>
      <c r="GI27" s="443">
        <v>0</v>
      </c>
      <c r="GJ27" s="443">
        <v>0</v>
      </c>
      <c r="GK27" s="33">
        <v>0</v>
      </c>
      <c r="GL27" s="27"/>
    </row>
    <row r="28" spans="1:194">
      <c r="A28" s="459" t="s">
        <v>1005</v>
      </c>
      <c r="B28" s="456" t="s">
        <v>1184</v>
      </c>
      <c r="C28" s="541" t="s">
        <v>176</v>
      </c>
      <c r="D28" s="456" t="s">
        <v>1212</v>
      </c>
      <c r="E28" s="463" t="s">
        <v>1213</v>
      </c>
      <c r="F28" s="463"/>
      <c r="G28" s="464"/>
      <c r="H28" s="464">
        <v>0</v>
      </c>
      <c r="I28" s="456">
        <v>0</v>
      </c>
      <c r="J28" s="456" t="s">
        <v>1237</v>
      </c>
      <c r="K28" s="456">
        <v>0</v>
      </c>
      <c r="L28" s="456" t="s">
        <v>183</v>
      </c>
      <c r="M28" s="470">
        <v>0</v>
      </c>
      <c r="N28" s="470">
        <v>0</v>
      </c>
      <c r="O28" s="470">
        <v>0</v>
      </c>
      <c r="P28" s="470">
        <v>0</v>
      </c>
      <c r="Q28" s="470">
        <v>0</v>
      </c>
      <c r="R28" s="470">
        <v>0</v>
      </c>
      <c r="S28" s="470">
        <v>0</v>
      </c>
      <c r="T28" s="470">
        <v>0</v>
      </c>
      <c r="U28" s="470">
        <v>0</v>
      </c>
      <c r="V28" s="470">
        <v>0</v>
      </c>
      <c r="W28" s="470">
        <v>0</v>
      </c>
      <c r="X28" s="457">
        <v>3</v>
      </c>
      <c r="Y28" s="472">
        <v>2970191.1851691948</v>
      </c>
      <c r="Z28" s="472">
        <v>3045368.981411125</v>
      </c>
      <c r="AA28" s="472">
        <v>3122449.5848110663</v>
      </c>
      <c r="AB28" s="472">
        <v>3201481.156864319</v>
      </c>
      <c r="AC28" s="472">
        <v>3282513.078070234</v>
      </c>
      <c r="AD28" s="472">
        <v>3365595.9787861314</v>
      </c>
      <c r="AE28" s="472">
        <v>3450781.7708621523</v>
      </c>
      <c r="AF28" s="472">
        <v>3538123.6800768184</v>
      </c>
      <c r="AG28" s="472">
        <v>3627676.2793935603</v>
      </c>
      <c r="AH28" s="472">
        <v>3719495.5230589835</v>
      </c>
      <c r="AI28" s="472">
        <v>0</v>
      </c>
      <c r="AJ28" s="457">
        <v>9</v>
      </c>
      <c r="AK28" s="457">
        <v>12</v>
      </c>
      <c r="AL28" s="457">
        <v>12</v>
      </c>
      <c r="AM28" s="457">
        <v>12</v>
      </c>
      <c r="AN28" s="457">
        <v>12</v>
      </c>
      <c r="AO28" s="457">
        <v>12</v>
      </c>
      <c r="AP28" s="457">
        <v>12</v>
      </c>
      <c r="AQ28" s="457">
        <v>12</v>
      </c>
      <c r="AR28" s="457">
        <v>12</v>
      </c>
      <c r="AS28" s="457">
        <v>12</v>
      </c>
      <c r="AT28" s="457">
        <v>12</v>
      </c>
      <c r="AU28" s="458">
        <v>1</v>
      </c>
      <c r="AV28" s="510">
        <v>1.02531076</v>
      </c>
      <c r="AW28" s="456">
        <v>0</v>
      </c>
      <c r="AX28" s="443">
        <v>0</v>
      </c>
      <c r="AY28" s="443">
        <v>0</v>
      </c>
      <c r="AZ28" s="443">
        <v>0</v>
      </c>
      <c r="BA28" s="443">
        <v>0</v>
      </c>
      <c r="BB28" s="443">
        <v>0</v>
      </c>
      <c r="BC28" s="443">
        <v>0</v>
      </c>
      <c r="BD28" s="443">
        <v>0</v>
      </c>
      <c r="BE28" s="443">
        <v>0</v>
      </c>
      <c r="BF28" s="443">
        <v>0</v>
      </c>
      <c r="BG28" s="443">
        <v>0</v>
      </c>
      <c r="BH28" s="443">
        <v>0</v>
      </c>
      <c r="BI28" s="443">
        <v>0</v>
      </c>
      <c r="BJ28" s="531">
        <v>0</v>
      </c>
      <c r="BK28" s="531">
        <v>0</v>
      </c>
      <c r="BL28" s="531">
        <v>0</v>
      </c>
      <c r="BM28" s="442">
        <v>0</v>
      </c>
      <c r="BN28" s="443">
        <v>0</v>
      </c>
      <c r="BO28" s="443">
        <v>0</v>
      </c>
      <c r="BP28" s="443">
        <v>0</v>
      </c>
      <c r="BQ28" s="443">
        <v>0</v>
      </c>
      <c r="BR28" s="443">
        <v>0</v>
      </c>
      <c r="BS28" s="443">
        <v>0</v>
      </c>
      <c r="BT28" s="443">
        <v>0</v>
      </c>
      <c r="BU28" s="443">
        <v>0</v>
      </c>
      <c r="BV28" s="443">
        <v>0</v>
      </c>
      <c r="BW28" s="443">
        <v>0</v>
      </c>
      <c r="BX28" s="443">
        <v>0</v>
      </c>
      <c r="BY28" s="443">
        <v>0</v>
      </c>
      <c r="BZ28" s="443">
        <v>0</v>
      </c>
      <c r="CA28" s="443">
        <v>0</v>
      </c>
      <c r="CB28" s="443">
        <v>0</v>
      </c>
      <c r="CC28" s="443">
        <v>0</v>
      </c>
      <c r="CD28" s="443">
        <v>0</v>
      </c>
      <c r="CE28" s="443">
        <v>0</v>
      </c>
      <c r="CF28" s="443">
        <v>0</v>
      </c>
      <c r="CG28" s="443">
        <v>0</v>
      </c>
      <c r="CH28" s="443">
        <v>0</v>
      </c>
      <c r="CI28" s="443">
        <v>0</v>
      </c>
      <c r="CJ28" s="443">
        <v>0</v>
      </c>
      <c r="CK28" s="443">
        <v>0</v>
      </c>
      <c r="CL28" s="443">
        <v>0</v>
      </c>
      <c r="CM28" s="443">
        <v>0</v>
      </c>
      <c r="CN28" s="443">
        <v>0</v>
      </c>
      <c r="CO28" s="443">
        <v>0</v>
      </c>
      <c r="CP28" s="443">
        <v>0</v>
      </c>
      <c r="CQ28" s="443">
        <v>0</v>
      </c>
      <c r="CR28" s="443">
        <v>0</v>
      </c>
      <c r="CS28" s="443">
        <v>0</v>
      </c>
      <c r="CT28" s="443">
        <v>0</v>
      </c>
      <c r="CU28" s="443">
        <v>0</v>
      </c>
      <c r="CV28" s="443">
        <v>0</v>
      </c>
      <c r="CW28" s="443">
        <v>0</v>
      </c>
      <c r="CX28" s="443">
        <v>0</v>
      </c>
      <c r="CY28" s="443">
        <v>0</v>
      </c>
      <c r="CZ28" s="443">
        <v>0</v>
      </c>
      <c r="DA28" s="443">
        <v>0</v>
      </c>
      <c r="DB28" s="443">
        <v>0</v>
      </c>
      <c r="DC28" s="443">
        <v>0</v>
      </c>
      <c r="DD28" s="443">
        <v>0</v>
      </c>
      <c r="DE28" s="443">
        <v>0</v>
      </c>
      <c r="DF28" s="443">
        <v>0</v>
      </c>
      <c r="DG28" s="443">
        <v>0</v>
      </c>
      <c r="DH28" s="443">
        <v>0</v>
      </c>
      <c r="DI28" s="443">
        <v>0</v>
      </c>
      <c r="DJ28" s="443">
        <v>0</v>
      </c>
      <c r="DK28" s="443">
        <v>0</v>
      </c>
      <c r="DL28" s="443">
        <v>0</v>
      </c>
      <c r="DM28" s="443">
        <v>0</v>
      </c>
      <c r="DN28" s="443">
        <v>0</v>
      </c>
      <c r="DO28" s="443">
        <v>0</v>
      </c>
      <c r="DP28" s="443">
        <v>0</v>
      </c>
      <c r="DQ28" s="443">
        <v>0</v>
      </c>
      <c r="DR28" s="443">
        <v>0</v>
      </c>
      <c r="DS28" s="443">
        <v>0</v>
      </c>
      <c r="DT28" s="443">
        <v>0</v>
      </c>
      <c r="DU28" s="443">
        <v>0</v>
      </c>
      <c r="DV28" s="443">
        <v>0</v>
      </c>
      <c r="DW28" s="443">
        <v>0</v>
      </c>
      <c r="DX28" s="443">
        <v>0</v>
      </c>
      <c r="DY28" s="443">
        <v>0</v>
      </c>
      <c r="DZ28" s="443">
        <v>0</v>
      </c>
      <c r="EA28" s="443">
        <v>0</v>
      </c>
      <c r="EB28" s="443">
        <v>0</v>
      </c>
      <c r="EC28" s="443">
        <v>0</v>
      </c>
      <c r="ED28" s="443">
        <v>0</v>
      </c>
      <c r="EE28" s="443">
        <v>0</v>
      </c>
      <c r="EF28" s="443">
        <v>0</v>
      </c>
      <c r="EG28" s="443">
        <v>0</v>
      </c>
      <c r="EH28" s="443">
        <v>0</v>
      </c>
      <c r="EI28" s="443">
        <v>0</v>
      </c>
      <c r="EJ28" s="443">
        <v>0</v>
      </c>
      <c r="EK28" s="443">
        <v>0</v>
      </c>
      <c r="EL28" s="443">
        <v>0</v>
      </c>
      <c r="EM28" s="443">
        <v>0</v>
      </c>
      <c r="EN28" s="443">
        <v>0</v>
      </c>
      <c r="EO28" s="443">
        <v>0</v>
      </c>
      <c r="EP28" s="443">
        <v>0</v>
      </c>
      <c r="EQ28" s="443">
        <v>0</v>
      </c>
      <c r="ER28" s="443">
        <v>0</v>
      </c>
      <c r="ES28" s="443">
        <v>0</v>
      </c>
      <c r="ET28" s="443">
        <v>0</v>
      </c>
      <c r="EU28" s="443">
        <v>0</v>
      </c>
      <c r="EV28" s="443">
        <v>0</v>
      </c>
      <c r="EW28" s="443">
        <v>0</v>
      </c>
      <c r="EX28" s="443">
        <v>0</v>
      </c>
      <c r="EY28" s="443">
        <v>0</v>
      </c>
      <c r="EZ28" s="443">
        <v>0</v>
      </c>
      <c r="FA28" s="443">
        <v>0</v>
      </c>
      <c r="FB28" s="443">
        <v>0</v>
      </c>
      <c r="FC28" s="443">
        <v>0</v>
      </c>
      <c r="FD28" s="443">
        <v>0</v>
      </c>
      <c r="FE28" s="443">
        <v>0</v>
      </c>
      <c r="FF28" s="443">
        <v>0</v>
      </c>
      <c r="FG28" s="443">
        <v>0</v>
      </c>
      <c r="FH28" s="443">
        <v>0</v>
      </c>
      <c r="FI28" s="443">
        <v>0</v>
      </c>
      <c r="FJ28" s="443">
        <v>0</v>
      </c>
      <c r="FK28" s="443">
        <v>0</v>
      </c>
      <c r="FL28" s="443">
        <v>0</v>
      </c>
      <c r="FM28" s="443">
        <v>0</v>
      </c>
      <c r="FN28" s="443">
        <v>0</v>
      </c>
      <c r="FO28" s="443">
        <v>0</v>
      </c>
      <c r="FP28" s="443">
        <v>0</v>
      </c>
      <c r="FQ28" s="443">
        <v>0</v>
      </c>
      <c r="FR28" s="443">
        <v>0</v>
      </c>
      <c r="FS28" s="443">
        <v>0</v>
      </c>
      <c r="FT28" s="443">
        <v>0</v>
      </c>
      <c r="FU28" s="443">
        <v>0</v>
      </c>
      <c r="FV28" s="443">
        <v>0</v>
      </c>
      <c r="FW28" s="443">
        <v>0</v>
      </c>
      <c r="FX28" s="443">
        <v>0</v>
      </c>
      <c r="FY28" s="443">
        <v>0</v>
      </c>
      <c r="FZ28" s="443">
        <v>0</v>
      </c>
      <c r="GA28" s="443">
        <v>0</v>
      </c>
      <c r="GB28" s="443">
        <v>0</v>
      </c>
      <c r="GC28" s="443">
        <v>0</v>
      </c>
      <c r="GD28" s="443">
        <v>0</v>
      </c>
      <c r="GE28" s="443">
        <v>0</v>
      </c>
      <c r="GF28" s="443">
        <v>0</v>
      </c>
      <c r="GG28" s="443">
        <v>0</v>
      </c>
      <c r="GH28" s="443">
        <v>0</v>
      </c>
      <c r="GI28" s="443">
        <v>0</v>
      </c>
      <c r="GJ28" s="443">
        <v>0</v>
      </c>
      <c r="GK28" s="33">
        <v>0</v>
      </c>
      <c r="GL28" s="27"/>
    </row>
    <row r="29" spans="1:194">
      <c r="A29" s="459" t="s">
        <v>1006</v>
      </c>
      <c r="B29" s="456" t="s">
        <v>1184</v>
      </c>
      <c r="C29" s="541" t="s">
        <v>159</v>
      </c>
      <c r="D29" s="456" t="s">
        <v>1212</v>
      </c>
      <c r="E29" s="463" t="s">
        <v>1216</v>
      </c>
      <c r="F29" s="463"/>
      <c r="G29" s="464"/>
      <c r="H29" s="464">
        <v>0</v>
      </c>
      <c r="I29" s="456">
        <v>0</v>
      </c>
      <c r="J29" s="456" t="s">
        <v>1237</v>
      </c>
      <c r="K29" s="456">
        <v>0</v>
      </c>
      <c r="L29" s="456" t="s">
        <v>183</v>
      </c>
      <c r="M29" s="470">
        <v>16.946564885496198</v>
      </c>
      <c r="N29" s="470">
        <v>16.946564885496198</v>
      </c>
      <c r="O29" s="470">
        <v>16.946564885496162</v>
      </c>
      <c r="P29" s="470">
        <v>16.946564885496162</v>
      </c>
      <c r="Q29" s="470">
        <v>16.946564885496162</v>
      </c>
      <c r="R29" s="470">
        <v>16.946564885496162</v>
      </c>
      <c r="S29" s="470">
        <v>16.946564885496162</v>
      </c>
      <c r="T29" s="470">
        <v>16.946564885496162</v>
      </c>
      <c r="U29" s="470">
        <v>16.946564885496162</v>
      </c>
      <c r="V29" s="470">
        <v>16.946564885496162</v>
      </c>
      <c r="W29" s="470">
        <v>0</v>
      </c>
      <c r="X29" s="457">
        <v>3</v>
      </c>
      <c r="Y29" s="472">
        <v>2387498.5637485301</v>
      </c>
      <c r="Z29" s="472">
        <v>2447927.9668959118</v>
      </c>
      <c r="AA29" s="472">
        <v>2509886.8841633014</v>
      </c>
      <c r="AB29" s="472">
        <v>2573414.0287155071</v>
      </c>
      <c r="AC29" s="472">
        <v>2638549.093576957</v>
      </c>
      <c r="AD29" s="472">
        <v>2705332.7764327019</v>
      </c>
      <c r="AE29" s="472">
        <v>2773806.8050571242</v>
      </c>
      <c r="AF29" s="472">
        <v>2844013.9633862916</v>
      </c>
      <c r="AG29" s="472">
        <v>2915998.1182502108</v>
      </c>
      <c r="AH29" s="472">
        <v>2989804.2467816933</v>
      </c>
      <c r="AI29" s="472">
        <v>0</v>
      </c>
      <c r="AJ29" s="457">
        <v>9</v>
      </c>
      <c r="AK29" s="457">
        <v>12</v>
      </c>
      <c r="AL29" s="457">
        <v>12</v>
      </c>
      <c r="AM29" s="457">
        <v>12</v>
      </c>
      <c r="AN29" s="457">
        <v>12</v>
      </c>
      <c r="AO29" s="457">
        <v>12</v>
      </c>
      <c r="AP29" s="457">
        <v>12</v>
      </c>
      <c r="AQ29" s="457">
        <v>12</v>
      </c>
      <c r="AR29" s="457">
        <v>12</v>
      </c>
      <c r="AS29" s="457">
        <v>12</v>
      </c>
      <c r="AT29" s="457">
        <v>12</v>
      </c>
      <c r="AU29" s="458">
        <v>1</v>
      </c>
      <c r="AV29" s="510">
        <v>1.02531076</v>
      </c>
      <c r="AW29" s="456">
        <v>0</v>
      </c>
      <c r="AX29" s="443">
        <v>5325835816.4407129</v>
      </c>
      <c r="AY29" s="443">
        <v>364139093.921341</v>
      </c>
      <c r="AZ29" s="443">
        <v>497807641.51226825</v>
      </c>
      <c r="BA29" s="443">
        <v>510407531.25275016</v>
      </c>
      <c r="BB29" s="443">
        <v>523326333.77848125</v>
      </c>
      <c r="BC29" s="443">
        <v>536572121.01442772</v>
      </c>
      <c r="BD29" s="443">
        <v>550153169.19211519</v>
      </c>
      <c r="BE29" s="443">
        <v>564077964.02077615</v>
      </c>
      <c r="BF29" s="443">
        <v>578355205.9893949</v>
      </c>
      <c r="BG29" s="443">
        <v>592993815.80294299</v>
      </c>
      <c r="BH29" s="443">
        <v>608002939.95621526</v>
      </c>
      <c r="BI29" s="443">
        <v>0</v>
      </c>
      <c r="BJ29" s="531">
        <v>0</v>
      </c>
      <c r="BK29" s="531">
        <v>0</v>
      </c>
      <c r="BL29" s="531">
        <v>0</v>
      </c>
      <c r="BM29" s="442">
        <v>40459899.324593447</v>
      </c>
      <c r="BN29" s="443">
        <v>40459899.324593447</v>
      </c>
      <c r="BO29" s="443">
        <v>40459899.324593447</v>
      </c>
      <c r="BP29" s="443">
        <v>40459899.324593447</v>
      </c>
      <c r="BQ29" s="443">
        <v>40459899.324593447</v>
      </c>
      <c r="BR29" s="443">
        <v>40459899.324593447</v>
      </c>
      <c r="BS29" s="443">
        <v>40459899.324593447</v>
      </c>
      <c r="BT29" s="443">
        <v>40459899.324593447</v>
      </c>
      <c r="BU29" s="443">
        <v>40459899.324593447</v>
      </c>
      <c r="BV29" s="443">
        <v>41483970.126022361</v>
      </c>
      <c r="BW29" s="443">
        <v>41483970.126022361</v>
      </c>
      <c r="BX29" s="443">
        <v>41483970.126022361</v>
      </c>
      <c r="BY29" s="443">
        <v>41483970.126022361</v>
      </c>
      <c r="BZ29" s="443">
        <v>41483970.126022361</v>
      </c>
      <c r="CA29" s="443">
        <v>41483970.126022361</v>
      </c>
      <c r="CB29" s="443">
        <v>41483970.126022361</v>
      </c>
      <c r="CC29" s="443">
        <v>41483970.126022361</v>
      </c>
      <c r="CD29" s="443">
        <v>41483970.126022361</v>
      </c>
      <c r="CE29" s="443">
        <v>41483970.126022361</v>
      </c>
      <c r="CF29" s="443">
        <v>41483970.126022361</v>
      </c>
      <c r="CG29" s="443">
        <v>41483970.126022361</v>
      </c>
      <c r="CH29" s="443">
        <v>42533960.93772918</v>
      </c>
      <c r="CI29" s="443">
        <v>42533960.93772918</v>
      </c>
      <c r="CJ29" s="443">
        <v>42533960.93772918</v>
      </c>
      <c r="CK29" s="443">
        <v>42533960.93772918</v>
      </c>
      <c r="CL29" s="443">
        <v>42533960.93772918</v>
      </c>
      <c r="CM29" s="443">
        <v>42533960.93772918</v>
      </c>
      <c r="CN29" s="443">
        <v>42533960.93772918</v>
      </c>
      <c r="CO29" s="443">
        <v>42533960.93772918</v>
      </c>
      <c r="CP29" s="443">
        <v>42533960.93772918</v>
      </c>
      <c r="CQ29" s="443">
        <v>42533960.93772918</v>
      </c>
      <c r="CR29" s="443">
        <v>42533960.93772918</v>
      </c>
      <c r="CS29" s="443">
        <v>42533960.93772918</v>
      </c>
      <c r="CT29" s="443">
        <v>43610527.814873427</v>
      </c>
      <c r="CU29" s="443">
        <v>43610527.814873427</v>
      </c>
      <c r="CV29" s="443">
        <v>43610527.814873427</v>
      </c>
      <c r="CW29" s="443">
        <v>43610527.814873427</v>
      </c>
      <c r="CX29" s="443">
        <v>43610527.814873427</v>
      </c>
      <c r="CY29" s="443">
        <v>43610527.814873427</v>
      </c>
      <c r="CZ29" s="443">
        <v>43610527.814873427</v>
      </c>
      <c r="DA29" s="443">
        <v>43610527.814873427</v>
      </c>
      <c r="DB29" s="443">
        <v>43610527.814873427</v>
      </c>
      <c r="DC29" s="443">
        <v>43610527.814873427</v>
      </c>
      <c r="DD29" s="443">
        <v>43610527.814873427</v>
      </c>
      <c r="DE29" s="443">
        <v>43610527.814873427</v>
      </c>
      <c r="DF29" s="443">
        <v>44714343.417868987</v>
      </c>
      <c r="DG29" s="443">
        <v>44714343.417868987</v>
      </c>
      <c r="DH29" s="443">
        <v>44714343.417868987</v>
      </c>
      <c r="DI29" s="443">
        <v>44714343.417868987</v>
      </c>
      <c r="DJ29" s="443">
        <v>44714343.417868987</v>
      </c>
      <c r="DK29" s="443">
        <v>44714343.417868987</v>
      </c>
      <c r="DL29" s="443">
        <v>44714343.417868987</v>
      </c>
      <c r="DM29" s="443">
        <v>44714343.417868987</v>
      </c>
      <c r="DN29" s="443">
        <v>44714343.417868987</v>
      </c>
      <c r="DO29" s="443">
        <v>44714343.417868987</v>
      </c>
      <c r="DP29" s="443">
        <v>44714343.417868987</v>
      </c>
      <c r="DQ29" s="443">
        <v>44714343.417868987</v>
      </c>
      <c r="DR29" s="443">
        <v>45846097.432676263</v>
      </c>
      <c r="DS29" s="443">
        <v>45846097.432676263</v>
      </c>
      <c r="DT29" s="443">
        <v>45846097.432676263</v>
      </c>
      <c r="DU29" s="443">
        <v>45846097.432676263</v>
      </c>
      <c r="DV29" s="443">
        <v>45846097.432676263</v>
      </c>
      <c r="DW29" s="443">
        <v>45846097.432676263</v>
      </c>
      <c r="DX29" s="443">
        <v>45846097.432676263</v>
      </c>
      <c r="DY29" s="443">
        <v>45846097.432676263</v>
      </c>
      <c r="DZ29" s="443">
        <v>45846097.432676263</v>
      </c>
      <c r="EA29" s="443">
        <v>45846097.432676263</v>
      </c>
      <c r="EB29" s="443">
        <v>45846097.432676263</v>
      </c>
      <c r="EC29" s="443">
        <v>45846097.432676263</v>
      </c>
      <c r="ED29" s="443">
        <v>47006497.001731358</v>
      </c>
      <c r="EE29" s="443">
        <v>47006497.001731358</v>
      </c>
      <c r="EF29" s="443">
        <v>47006497.001731358</v>
      </c>
      <c r="EG29" s="443">
        <v>47006497.001731358</v>
      </c>
      <c r="EH29" s="443">
        <v>47006497.001731358</v>
      </c>
      <c r="EI29" s="443">
        <v>47006497.001731358</v>
      </c>
      <c r="EJ29" s="443">
        <v>47006497.001731358</v>
      </c>
      <c r="EK29" s="443">
        <v>47006497.001731358</v>
      </c>
      <c r="EL29" s="443">
        <v>47006497.001731358</v>
      </c>
      <c r="EM29" s="443">
        <v>47006497.001731358</v>
      </c>
      <c r="EN29" s="443">
        <v>47006497.001731358</v>
      </c>
      <c r="EO29" s="443">
        <v>47006497.001731358</v>
      </c>
      <c r="EP29" s="443">
        <v>48196267.165782899</v>
      </c>
      <c r="EQ29" s="443">
        <v>48196267.165782899</v>
      </c>
      <c r="ER29" s="443">
        <v>48196267.165782899</v>
      </c>
      <c r="ES29" s="443">
        <v>48196267.165782899</v>
      </c>
      <c r="ET29" s="443">
        <v>48196267.165782899</v>
      </c>
      <c r="EU29" s="443">
        <v>48196267.165782899</v>
      </c>
      <c r="EV29" s="443">
        <v>48196267.165782899</v>
      </c>
      <c r="EW29" s="443">
        <v>48196267.165782899</v>
      </c>
      <c r="EX29" s="443">
        <v>48196267.165782899</v>
      </c>
      <c r="EY29" s="443">
        <v>48196267.165782899</v>
      </c>
      <c r="EZ29" s="443">
        <v>48196267.165782899</v>
      </c>
      <c r="FA29" s="443">
        <v>48196267.165782899</v>
      </c>
      <c r="FB29" s="443">
        <v>49416151.316911906</v>
      </c>
      <c r="FC29" s="443">
        <v>49416151.316911906</v>
      </c>
      <c r="FD29" s="443">
        <v>49416151.316911906</v>
      </c>
      <c r="FE29" s="443">
        <v>49416151.316911906</v>
      </c>
      <c r="FF29" s="443">
        <v>49416151.316911906</v>
      </c>
      <c r="FG29" s="443">
        <v>49416151.316911906</v>
      </c>
      <c r="FH29" s="443">
        <v>49416151.316911906</v>
      </c>
      <c r="FI29" s="443">
        <v>49416151.316911906</v>
      </c>
      <c r="FJ29" s="443">
        <v>49416151.316911906</v>
      </c>
      <c r="FK29" s="443">
        <v>49416151.316911906</v>
      </c>
      <c r="FL29" s="443">
        <v>49416151.316911906</v>
      </c>
      <c r="FM29" s="443">
        <v>49416151.316911906</v>
      </c>
      <c r="FN29" s="443">
        <v>50666911.663017944</v>
      </c>
      <c r="FO29" s="443">
        <v>50666911.663017944</v>
      </c>
      <c r="FP29" s="443">
        <v>50666911.663017944</v>
      </c>
      <c r="FQ29" s="443">
        <v>50666911.663017944</v>
      </c>
      <c r="FR29" s="443">
        <v>50666911.663017944</v>
      </c>
      <c r="FS29" s="443">
        <v>50666911.663017944</v>
      </c>
      <c r="FT29" s="443">
        <v>50666911.663017944</v>
      </c>
      <c r="FU29" s="443">
        <v>50666911.663017944</v>
      </c>
      <c r="FV29" s="443">
        <v>50666911.663017944</v>
      </c>
      <c r="FW29" s="443">
        <v>50666911.663017944</v>
      </c>
      <c r="FX29" s="443">
        <v>50666911.663017944</v>
      </c>
      <c r="FY29" s="443">
        <v>50666911.663017944</v>
      </c>
      <c r="FZ29" s="443">
        <v>0</v>
      </c>
      <c r="GA29" s="443">
        <v>0</v>
      </c>
      <c r="GB29" s="443">
        <v>0</v>
      </c>
      <c r="GC29" s="443">
        <v>0</v>
      </c>
      <c r="GD29" s="443">
        <v>0</v>
      </c>
      <c r="GE29" s="443">
        <v>0</v>
      </c>
      <c r="GF29" s="443">
        <v>0</v>
      </c>
      <c r="GG29" s="443">
        <v>0</v>
      </c>
      <c r="GH29" s="443">
        <v>0</v>
      </c>
      <c r="GI29" s="443">
        <v>0</v>
      </c>
      <c r="GJ29" s="443">
        <v>0</v>
      </c>
      <c r="GK29" s="33">
        <v>0</v>
      </c>
      <c r="GL29" s="27"/>
    </row>
    <row r="30" spans="1:194">
      <c r="A30" s="459" t="s">
        <v>1007</v>
      </c>
      <c r="B30" s="456" t="s">
        <v>1184</v>
      </c>
      <c r="C30" s="541" t="s">
        <v>159</v>
      </c>
      <c r="D30" s="456" t="s">
        <v>1212</v>
      </c>
      <c r="E30" s="463" t="s">
        <v>1217</v>
      </c>
      <c r="F30" s="463"/>
      <c r="G30" s="464"/>
      <c r="H30" s="464">
        <v>0</v>
      </c>
      <c r="I30" s="456">
        <v>0</v>
      </c>
      <c r="J30" s="456" t="s">
        <v>1237</v>
      </c>
      <c r="K30" s="456">
        <v>0</v>
      </c>
      <c r="L30" s="456" t="s">
        <v>183</v>
      </c>
      <c r="M30" s="470">
        <v>3.3893129770992396</v>
      </c>
      <c r="N30" s="470">
        <v>3.3893129770992396</v>
      </c>
      <c r="O30" s="470">
        <v>3.3893129770992423</v>
      </c>
      <c r="P30" s="470">
        <v>3.3893129770992423</v>
      </c>
      <c r="Q30" s="470">
        <v>3.3893129770992423</v>
      </c>
      <c r="R30" s="470">
        <v>3.3893129770992423</v>
      </c>
      <c r="S30" s="470">
        <v>3.3893129770992423</v>
      </c>
      <c r="T30" s="470">
        <v>3.3893129770992423</v>
      </c>
      <c r="U30" s="470">
        <v>3.3893129770992423</v>
      </c>
      <c r="V30" s="470">
        <v>3.3893129770992423</v>
      </c>
      <c r="W30" s="470">
        <v>0</v>
      </c>
      <c r="X30" s="457">
        <v>3</v>
      </c>
      <c r="Y30" s="472">
        <v>2387498.5637485301</v>
      </c>
      <c r="Z30" s="472">
        <v>2447927.9668959118</v>
      </c>
      <c r="AA30" s="472">
        <v>2509886.8841633014</v>
      </c>
      <c r="AB30" s="472">
        <v>2573414.0287155071</v>
      </c>
      <c r="AC30" s="472">
        <v>2638549.093576957</v>
      </c>
      <c r="AD30" s="472">
        <v>2705332.7764327019</v>
      </c>
      <c r="AE30" s="472">
        <v>2773806.8050571242</v>
      </c>
      <c r="AF30" s="472">
        <v>2844013.9633862916</v>
      </c>
      <c r="AG30" s="472">
        <v>2915998.1182502108</v>
      </c>
      <c r="AH30" s="472">
        <v>2989804.2467816933</v>
      </c>
      <c r="AI30" s="472">
        <v>0</v>
      </c>
      <c r="AJ30" s="457">
        <v>9</v>
      </c>
      <c r="AK30" s="457">
        <v>12</v>
      </c>
      <c r="AL30" s="457">
        <v>12</v>
      </c>
      <c r="AM30" s="457">
        <v>12</v>
      </c>
      <c r="AN30" s="457">
        <v>12</v>
      </c>
      <c r="AO30" s="457">
        <v>12</v>
      </c>
      <c r="AP30" s="457">
        <v>12</v>
      </c>
      <c r="AQ30" s="457">
        <v>12</v>
      </c>
      <c r="AR30" s="457">
        <v>12</v>
      </c>
      <c r="AS30" s="457">
        <v>12</v>
      </c>
      <c r="AT30" s="457">
        <v>12</v>
      </c>
      <c r="AU30" s="458">
        <v>1</v>
      </c>
      <c r="AV30" s="510">
        <v>1.02531076</v>
      </c>
      <c r="AW30" s="456">
        <v>0</v>
      </c>
      <c r="AX30" s="443">
        <v>1065167163.2881451</v>
      </c>
      <c r="AY30" s="443">
        <v>72827818.7842682</v>
      </c>
      <c r="AZ30" s="443">
        <v>99561528.302453697</v>
      </c>
      <c r="BA30" s="443">
        <v>102081506.25055034</v>
      </c>
      <c r="BB30" s="443">
        <v>104665266.75569649</v>
      </c>
      <c r="BC30" s="443">
        <v>107314424.20288591</v>
      </c>
      <c r="BD30" s="443">
        <v>110030633.83842336</v>
      </c>
      <c r="BE30" s="443">
        <v>112815592.80415557</v>
      </c>
      <c r="BF30" s="443">
        <v>115671041.1978793</v>
      </c>
      <c r="BG30" s="443">
        <v>118598763.16058891</v>
      </c>
      <c r="BH30" s="443">
        <v>121600587.99124342</v>
      </c>
      <c r="BI30" s="443">
        <v>0</v>
      </c>
      <c r="BJ30" s="531">
        <v>0</v>
      </c>
      <c r="BK30" s="531">
        <v>0</v>
      </c>
      <c r="BL30" s="531">
        <v>0</v>
      </c>
      <c r="BM30" s="442">
        <v>8091979.8649186892</v>
      </c>
      <c r="BN30" s="443">
        <v>8091979.8649186892</v>
      </c>
      <c r="BO30" s="443">
        <v>8091979.8649186892</v>
      </c>
      <c r="BP30" s="443">
        <v>8091979.8649186892</v>
      </c>
      <c r="BQ30" s="443">
        <v>8091979.8649186892</v>
      </c>
      <c r="BR30" s="443">
        <v>8091979.8649186892</v>
      </c>
      <c r="BS30" s="443">
        <v>8091979.8649186892</v>
      </c>
      <c r="BT30" s="443">
        <v>8091979.8649186892</v>
      </c>
      <c r="BU30" s="443">
        <v>8091979.8649186892</v>
      </c>
      <c r="BV30" s="443">
        <v>8296794.0252044722</v>
      </c>
      <c r="BW30" s="443">
        <v>8296794.0252044722</v>
      </c>
      <c r="BX30" s="443">
        <v>8296794.0252044722</v>
      </c>
      <c r="BY30" s="443">
        <v>8296794.0252044722</v>
      </c>
      <c r="BZ30" s="443">
        <v>8296794.0252044722</v>
      </c>
      <c r="CA30" s="443">
        <v>8296794.0252044722</v>
      </c>
      <c r="CB30" s="443">
        <v>8296794.0252044722</v>
      </c>
      <c r="CC30" s="443">
        <v>8296794.0252044722</v>
      </c>
      <c r="CD30" s="443">
        <v>8296794.0252044722</v>
      </c>
      <c r="CE30" s="443">
        <v>8296794.0252044722</v>
      </c>
      <c r="CF30" s="443">
        <v>8296794.0252044722</v>
      </c>
      <c r="CG30" s="443">
        <v>8296794.0252044722</v>
      </c>
      <c r="CH30" s="443">
        <v>8506792.1875458602</v>
      </c>
      <c r="CI30" s="443">
        <v>8506792.1875458602</v>
      </c>
      <c r="CJ30" s="443">
        <v>8506792.1875458602</v>
      </c>
      <c r="CK30" s="443">
        <v>8506792.1875458602</v>
      </c>
      <c r="CL30" s="443">
        <v>8506792.1875458602</v>
      </c>
      <c r="CM30" s="443">
        <v>8506792.1875458602</v>
      </c>
      <c r="CN30" s="443">
        <v>8506792.1875458602</v>
      </c>
      <c r="CO30" s="443">
        <v>8506792.1875458602</v>
      </c>
      <c r="CP30" s="443">
        <v>8506792.1875458602</v>
      </c>
      <c r="CQ30" s="443">
        <v>8506792.1875458602</v>
      </c>
      <c r="CR30" s="443">
        <v>8506792.1875458602</v>
      </c>
      <c r="CS30" s="443">
        <v>8506792.1875458602</v>
      </c>
      <c r="CT30" s="443">
        <v>8722105.56297471</v>
      </c>
      <c r="CU30" s="443">
        <v>8722105.56297471</v>
      </c>
      <c r="CV30" s="443">
        <v>8722105.56297471</v>
      </c>
      <c r="CW30" s="443">
        <v>8722105.56297471</v>
      </c>
      <c r="CX30" s="443">
        <v>8722105.56297471</v>
      </c>
      <c r="CY30" s="443">
        <v>8722105.56297471</v>
      </c>
      <c r="CZ30" s="443">
        <v>8722105.56297471</v>
      </c>
      <c r="DA30" s="443">
        <v>8722105.56297471</v>
      </c>
      <c r="DB30" s="443">
        <v>8722105.56297471</v>
      </c>
      <c r="DC30" s="443">
        <v>8722105.56297471</v>
      </c>
      <c r="DD30" s="443">
        <v>8722105.56297471</v>
      </c>
      <c r="DE30" s="443">
        <v>8722105.56297471</v>
      </c>
      <c r="DF30" s="443">
        <v>8942868.6835738234</v>
      </c>
      <c r="DG30" s="443">
        <v>8942868.6835738234</v>
      </c>
      <c r="DH30" s="443">
        <v>8942868.6835738234</v>
      </c>
      <c r="DI30" s="443">
        <v>8942868.6835738234</v>
      </c>
      <c r="DJ30" s="443">
        <v>8942868.6835738234</v>
      </c>
      <c r="DK30" s="443">
        <v>8942868.6835738234</v>
      </c>
      <c r="DL30" s="443">
        <v>8942868.6835738234</v>
      </c>
      <c r="DM30" s="443">
        <v>8942868.6835738234</v>
      </c>
      <c r="DN30" s="443">
        <v>8942868.6835738234</v>
      </c>
      <c r="DO30" s="443">
        <v>8942868.6835738234</v>
      </c>
      <c r="DP30" s="443">
        <v>8942868.6835738234</v>
      </c>
      <c r="DQ30" s="443">
        <v>8942868.6835738234</v>
      </c>
      <c r="DR30" s="443">
        <v>9169219.4865352791</v>
      </c>
      <c r="DS30" s="443">
        <v>9169219.4865352791</v>
      </c>
      <c r="DT30" s="443">
        <v>9169219.4865352791</v>
      </c>
      <c r="DU30" s="443">
        <v>9169219.4865352791</v>
      </c>
      <c r="DV30" s="443">
        <v>9169219.4865352791</v>
      </c>
      <c r="DW30" s="443">
        <v>9169219.4865352791</v>
      </c>
      <c r="DX30" s="443">
        <v>9169219.4865352791</v>
      </c>
      <c r="DY30" s="443">
        <v>9169219.4865352791</v>
      </c>
      <c r="DZ30" s="443">
        <v>9169219.4865352791</v>
      </c>
      <c r="EA30" s="443">
        <v>9169219.4865352791</v>
      </c>
      <c r="EB30" s="443">
        <v>9169219.4865352791</v>
      </c>
      <c r="EC30" s="443">
        <v>9169219.4865352791</v>
      </c>
      <c r="ED30" s="443">
        <v>9401299.4003462996</v>
      </c>
      <c r="EE30" s="443">
        <v>9401299.4003462996</v>
      </c>
      <c r="EF30" s="443">
        <v>9401299.4003462996</v>
      </c>
      <c r="EG30" s="443">
        <v>9401299.4003462996</v>
      </c>
      <c r="EH30" s="443">
        <v>9401299.4003462996</v>
      </c>
      <c r="EI30" s="443">
        <v>9401299.4003462996</v>
      </c>
      <c r="EJ30" s="443">
        <v>9401299.4003462996</v>
      </c>
      <c r="EK30" s="443">
        <v>9401299.4003462996</v>
      </c>
      <c r="EL30" s="443">
        <v>9401299.4003462996</v>
      </c>
      <c r="EM30" s="443">
        <v>9401299.4003462996</v>
      </c>
      <c r="EN30" s="443">
        <v>9401299.4003462996</v>
      </c>
      <c r="EO30" s="443">
        <v>9401299.4003462996</v>
      </c>
      <c r="EP30" s="443">
        <v>9639253.4331566077</v>
      </c>
      <c r="EQ30" s="443">
        <v>9639253.4331566077</v>
      </c>
      <c r="ER30" s="443">
        <v>9639253.4331566077</v>
      </c>
      <c r="ES30" s="443">
        <v>9639253.4331566077</v>
      </c>
      <c r="ET30" s="443">
        <v>9639253.4331566077</v>
      </c>
      <c r="EU30" s="443">
        <v>9639253.4331566077</v>
      </c>
      <c r="EV30" s="443">
        <v>9639253.4331566077</v>
      </c>
      <c r="EW30" s="443">
        <v>9639253.4331566077</v>
      </c>
      <c r="EX30" s="443">
        <v>9639253.4331566077</v>
      </c>
      <c r="EY30" s="443">
        <v>9639253.4331566077</v>
      </c>
      <c r="EZ30" s="443">
        <v>9639253.4331566077</v>
      </c>
      <c r="FA30" s="443">
        <v>9639253.4331566077</v>
      </c>
      <c r="FB30" s="443">
        <v>9883230.2633824106</v>
      </c>
      <c r="FC30" s="443">
        <v>9883230.2633824106</v>
      </c>
      <c r="FD30" s="443">
        <v>9883230.2633824106</v>
      </c>
      <c r="FE30" s="443">
        <v>9883230.2633824106</v>
      </c>
      <c r="FF30" s="443">
        <v>9883230.2633824106</v>
      </c>
      <c r="FG30" s="443">
        <v>9883230.2633824106</v>
      </c>
      <c r="FH30" s="443">
        <v>9883230.2633824106</v>
      </c>
      <c r="FI30" s="443">
        <v>9883230.2633824106</v>
      </c>
      <c r="FJ30" s="443">
        <v>9883230.2633824106</v>
      </c>
      <c r="FK30" s="443">
        <v>9883230.2633824106</v>
      </c>
      <c r="FL30" s="443">
        <v>9883230.2633824106</v>
      </c>
      <c r="FM30" s="443">
        <v>9883230.2633824106</v>
      </c>
      <c r="FN30" s="443">
        <v>10133382.332603619</v>
      </c>
      <c r="FO30" s="443">
        <v>10133382.332603619</v>
      </c>
      <c r="FP30" s="443">
        <v>10133382.332603619</v>
      </c>
      <c r="FQ30" s="443">
        <v>10133382.332603619</v>
      </c>
      <c r="FR30" s="443">
        <v>10133382.332603619</v>
      </c>
      <c r="FS30" s="443">
        <v>10133382.332603619</v>
      </c>
      <c r="FT30" s="443">
        <v>10133382.332603619</v>
      </c>
      <c r="FU30" s="443">
        <v>10133382.332603619</v>
      </c>
      <c r="FV30" s="443">
        <v>10133382.332603619</v>
      </c>
      <c r="FW30" s="443">
        <v>10133382.332603619</v>
      </c>
      <c r="FX30" s="443">
        <v>10133382.332603619</v>
      </c>
      <c r="FY30" s="443">
        <v>10133382.332603619</v>
      </c>
      <c r="FZ30" s="443">
        <v>0</v>
      </c>
      <c r="GA30" s="443">
        <v>0</v>
      </c>
      <c r="GB30" s="443">
        <v>0</v>
      </c>
      <c r="GC30" s="443">
        <v>0</v>
      </c>
      <c r="GD30" s="443">
        <v>0</v>
      </c>
      <c r="GE30" s="443">
        <v>0</v>
      </c>
      <c r="GF30" s="443">
        <v>0</v>
      </c>
      <c r="GG30" s="443">
        <v>0</v>
      </c>
      <c r="GH30" s="443">
        <v>0</v>
      </c>
      <c r="GI30" s="443">
        <v>0</v>
      </c>
      <c r="GJ30" s="443">
        <v>0</v>
      </c>
      <c r="GK30" s="33">
        <v>0</v>
      </c>
      <c r="GL30" s="27"/>
    </row>
    <row r="31" spans="1:194">
      <c r="A31" s="459" t="s">
        <v>1008</v>
      </c>
      <c r="B31" s="456" t="s">
        <v>1184</v>
      </c>
      <c r="C31" s="541" t="s">
        <v>159</v>
      </c>
      <c r="D31" s="456" t="s">
        <v>1212</v>
      </c>
      <c r="E31" s="463" t="s">
        <v>1218</v>
      </c>
      <c r="F31" s="463"/>
      <c r="G31" s="456"/>
      <c r="H31" s="464">
        <v>0</v>
      </c>
      <c r="I31" s="456">
        <v>0</v>
      </c>
      <c r="J31" s="456" t="s">
        <v>1237</v>
      </c>
      <c r="K31" s="456">
        <v>0</v>
      </c>
      <c r="L31" s="456" t="s">
        <v>183</v>
      </c>
      <c r="M31" s="470">
        <v>12.427480916030547</v>
      </c>
      <c r="N31" s="470">
        <v>12.427480916030547</v>
      </c>
      <c r="O31" s="470">
        <v>12.427480916030525</v>
      </c>
      <c r="P31" s="470">
        <v>12.427480916030525</v>
      </c>
      <c r="Q31" s="470">
        <v>12.427480916030525</v>
      </c>
      <c r="R31" s="470">
        <v>12.427480916030525</v>
      </c>
      <c r="S31" s="470">
        <v>12.427480916030525</v>
      </c>
      <c r="T31" s="470">
        <v>12.427480916030525</v>
      </c>
      <c r="U31" s="470">
        <v>12.427480916030525</v>
      </c>
      <c r="V31" s="470">
        <v>12.427480916030525</v>
      </c>
      <c r="W31" s="470">
        <v>0</v>
      </c>
      <c r="X31" s="457">
        <v>3</v>
      </c>
      <c r="Y31" s="472">
        <v>2387498.5637485301</v>
      </c>
      <c r="Z31" s="472">
        <v>2447927.9668959118</v>
      </c>
      <c r="AA31" s="472">
        <v>2509886.8841633014</v>
      </c>
      <c r="AB31" s="472">
        <v>2573414.0287155071</v>
      </c>
      <c r="AC31" s="472">
        <v>2638549.093576957</v>
      </c>
      <c r="AD31" s="472">
        <v>2705332.7764327019</v>
      </c>
      <c r="AE31" s="472">
        <v>2773806.8050571242</v>
      </c>
      <c r="AF31" s="472">
        <v>2844013.9633862916</v>
      </c>
      <c r="AG31" s="472">
        <v>2915998.1182502108</v>
      </c>
      <c r="AH31" s="472">
        <v>2989804.2467816933</v>
      </c>
      <c r="AI31" s="472">
        <v>0</v>
      </c>
      <c r="AJ31" s="457">
        <v>9</v>
      </c>
      <c r="AK31" s="457">
        <v>12</v>
      </c>
      <c r="AL31" s="457">
        <v>12</v>
      </c>
      <c r="AM31" s="457">
        <v>12</v>
      </c>
      <c r="AN31" s="457">
        <v>12</v>
      </c>
      <c r="AO31" s="457">
        <v>12</v>
      </c>
      <c r="AP31" s="457">
        <v>12</v>
      </c>
      <c r="AQ31" s="457">
        <v>12</v>
      </c>
      <c r="AR31" s="457">
        <v>12</v>
      </c>
      <c r="AS31" s="457">
        <v>12</v>
      </c>
      <c r="AT31" s="457">
        <v>12</v>
      </c>
      <c r="AU31" s="458">
        <v>1</v>
      </c>
      <c r="AV31" s="510">
        <v>1.02531076</v>
      </c>
      <c r="AW31" s="456">
        <v>0</v>
      </c>
      <c r="AX31" s="443">
        <v>3905612932.0565252</v>
      </c>
      <c r="AY31" s="443">
        <v>267035335.54231676</v>
      </c>
      <c r="AZ31" s="443">
        <v>365058937.10899681</v>
      </c>
      <c r="BA31" s="443">
        <v>374298856.25201702</v>
      </c>
      <c r="BB31" s="443">
        <v>383772644.77088636</v>
      </c>
      <c r="BC31" s="443">
        <v>393486222.07724738</v>
      </c>
      <c r="BD31" s="443">
        <v>403445657.40755147</v>
      </c>
      <c r="BE31" s="443">
        <v>413657173.61523622</v>
      </c>
      <c r="BF31" s="443">
        <v>424127151.05888981</v>
      </c>
      <c r="BG31" s="443">
        <v>434862131.58882517</v>
      </c>
      <c r="BH31" s="443">
        <v>445868822.63455802</v>
      </c>
      <c r="BI31" s="443">
        <v>0</v>
      </c>
      <c r="BJ31" s="531">
        <v>0</v>
      </c>
      <c r="BK31" s="531">
        <v>0</v>
      </c>
      <c r="BL31" s="531">
        <v>0</v>
      </c>
      <c r="BM31" s="442">
        <v>29670592.838035196</v>
      </c>
      <c r="BN31" s="443">
        <v>29670592.838035196</v>
      </c>
      <c r="BO31" s="443">
        <v>29670592.838035196</v>
      </c>
      <c r="BP31" s="443">
        <v>29670592.838035196</v>
      </c>
      <c r="BQ31" s="443">
        <v>29670592.838035196</v>
      </c>
      <c r="BR31" s="443">
        <v>29670592.838035196</v>
      </c>
      <c r="BS31" s="443">
        <v>29670592.838035196</v>
      </c>
      <c r="BT31" s="443">
        <v>29670592.838035196</v>
      </c>
      <c r="BU31" s="443">
        <v>29670592.838035196</v>
      </c>
      <c r="BV31" s="443">
        <v>30421578.092416398</v>
      </c>
      <c r="BW31" s="443">
        <v>30421578.092416398</v>
      </c>
      <c r="BX31" s="443">
        <v>30421578.092416398</v>
      </c>
      <c r="BY31" s="443">
        <v>30421578.092416398</v>
      </c>
      <c r="BZ31" s="443">
        <v>30421578.092416398</v>
      </c>
      <c r="CA31" s="443">
        <v>30421578.092416398</v>
      </c>
      <c r="CB31" s="443">
        <v>30421578.092416398</v>
      </c>
      <c r="CC31" s="443">
        <v>30421578.092416398</v>
      </c>
      <c r="CD31" s="443">
        <v>30421578.092416398</v>
      </c>
      <c r="CE31" s="443">
        <v>30421578.092416398</v>
      </c>
      <c r="CF31" s="443">
        <v>30421578.092416398</v>
      </c>
      <c r="CG31" s="443">
        <v>30421578.092416398</v>
      </c>
      <c r="CH31" s="443">
        <v>31191571.354334746</v>
      </c>
      <c r="CI31" s="443">
        <v>31191571.354334746</v>
      </c>
      <c r="CJ31" s="443">
        <v>31191571.354334746</v>
      </c>
      <c r="CK31" s="443">
        <v>31191571.354334746</v>
      </c>
      <c r="CL31" s="443">
        <v>31191571.354334746</v>
      </c>
      <c r="CM31" s="443">
        <v>31191571.354334746</v>
      </c>
      <c r="CN31" s="443">
        <v>31191571.354334746</v>
      </c>
      <c r="CO31" s="443">
        <v>31191571.354334746</v>
      </c>
      <c r="CP31" s="443">
        <v>31191571.354334746</v>
      </c>
      <c r="CQ31" s="443">
        <v>31191571.354334746</v>
      </c>
      <c r="CR31" s="443">
        <v>31191571.354334746</v>
      </c>
      <c r="CS31" s="443">
        <v>31191571.354334746</v>
      </c>
      <c r="CT31" s="443">
        <v>31981053.730907194</v>
      </c>
      <c r="CU31" s="443">
        <v>31981053.730907194</v>
      </c>
      <c r="CV31" s="443">
        <v>31981053.730907194</v>
      </c>
      <c r="CW31" s="443">
        <v>31981053.730907194</v>
      </c>
      <c r="CX31" s="443">
        <v>31981053.730907194</v>
      </c>
      <c r="CY31" s="443">
        <v>31981053.730907194</v>
      </c>
      <c r="CZ31" s="443">
        <v>31981053.730907194</v>
      </c>
      <c r="DA31" s="443">
        <v>31981053.730907194</v>
      </c>
      <c r="DB31" s="443">
        <v>31981053.730907194</v>
      </c>
      <c r="DC31" s="443">
        <v>31981053.730907194</v>
      </c>
      <c r="DD31" s="443">
        <v>31981053.730907194</v>
      </c>
      <c r="DE31" s="443">
        <v>31981053.730907194</v>
      </c>
      <c r="DF31" s="443">
        <v>32790518.506437276</v>
      </c>
      <c r="DG31" s="443">
        <v>32790518.506437276</v>
      </c>
      <c r="DH31" s="443">
        <v>32790518.506437276</v>
      </c>
      <c r="DI31" s="443">
        <v>32790518.506437276</v>
      </c>
      <c r="DJ31" s="443">
        <v>32790518.506437276</v>
      </c>
      <c r="DK31" s="443">
        <v>32790518.506437276</v>
      </c>
      <c r="DL31" s="443">
        <v>32790518.506437276</v>
      </c>
      <c r="DM31" s="443">
        <v>32790518.506437276</v>
      </c>
      <c r="DN31" s="443">
        <v>32790518.506437276</v>
      </c>
      <c r="DO31" s="443">
        <v>32790518.506437276</v>
      </c>
      <c r="DP31" s="443">
        <v>32790518.506437276</v>
      </c>
      <c r="DQ31" s="443">
        <v>32790518.506437276</v>
      </c>
      <c r="DR31" s="443">
        <v>33620471.450629279</v>
      </c>
      <c r="DS31" s="443">
        <v>33620471.450629279</v>
      </c>
      <c r="DT31" s="443">
        <v>33620471.450629279</v>
      </c>
      <c r="DU31" s="443">
        <v>33620471.450629279</v>
      </c>
      <c r="DV31" s="443">
        <v>33620471.450629279</v>
      </c>
      <c r="DW31" s="443">
        <v>33620471.450629279</v>
      </c>
      <c r="DX31" s="443">
        <v>33620471.450629279</v>
      </c>
      <c r="DY31" s="443">
        <v>33620471.450629279</v>
      </c>
      <c r="DZ31" s="443">
        <v>33620471.450629279</v>
      </c>
      <c r="EA31" s="443">
        <v>33620471.450629279</v>
      </c>
      <c r="EB31" s="443">
        <v>33620471.450629279</v>
      </c>
      <c r="EC31" s="443">
        <v>33620471.450629279</v>
      </c>
      <c r="ED31" s="443">
        <v>34471431.134603016</v>
      </c>
      <c r="EE31" s="443">
        <v>34471431.134603016</v>
      </c>
      <c r="EF31" s="443">
        <v>34471431.134603016</v>
      </c>
      <c r="EG31" s="443">
        <v>34471431.134603016</v>
      </c>
      <c r="EH31" s="443">
        <v>34471431.134603016</v>
      </c>
      <c r="EI31" s="443">
        <v>34471431.134603016</v>
      </c>
      <c r="EJ31" s="443">
        <v>34471431.134603016</v>
      </c>
      <c r="EK31" s="443">
        <v>34471431.134603016</v>
      </c>
      <c r="EL31" s="443">
        <v>34471431.134603016</v>
      </c>
      <c r="EM31" s="443">
        <v>34471431.134603016</v>
      </c>
      <c r="EN31" s="443">
        <v>34471431.134603016</v>
      </c>
      <c r="EO31" s="443">
        <v>34471431.134603016</v>
      </c>
      <c r="EP31" s="443">
        <v>35343929.254907474</v>
      </c>
      <c r="EQ31" s="443">
        <v>35343929.254907474</v>
      </c>
      <c r="ER31" s="443">
        <v>35343929.254907474</v>
      </c>
      <c r="ES31" s="443">
        <v>35343929.254907474</v>
      </c>
      <c r="ET31" s="443">
        <v>35343929.254907474</v>
      </c>
      <c r="EU31" s="443">
        <v>35343929.254907474</v>
      </c>
      <c r="EV31" s="443">
        <v>35343929.254907474</v>
      </c>
      <c r="EW31" s="443">
        <v>35343929.254907474</v>
      </c>
      <c r="EX31" s="443">
        <v>35343929.254907474</v>
      </c>
      <c r="EY31" s="443">
        <v>35343929.254907474</v>
      </c>
      <c r="EZ31" s="443">
        <v>35343929.254907474</v>
      </c>
      <c r="FA31" s="443">
        <v>35343929.254907474</v>
      </c>
      <c r="FB31" s="443">
        <v>36238510.965735421</v>
      </c>
      <c r="FC31" s="443">
        <v>36238510.965735421</v>
      </c>
      <c r="FD31" s="443">
        <v>36238510.965735421</v>
      </c>
      <c r="FE31" s="443">
        <v>36238510.965735421</v>
      </c>
      <c r="FF31" s="443">
        <v>36238510.965735421</v>
      </c>
      <c r="FG31" s="443">
        <v>36238510.965735421</v>
      </c>
      <c r="FH31" s="443">
        <v>36238510.965735421</v>
      </c>
      <c r="FI31" s="443">
        <v>36238510.965735421</v>
      </c>
      <c r="FJ31" s="443">
        <v>36238510.965735421</v>
      </c>
      <c r="FK31" s="443">
        <v>36238510.965735421</v>
      </c>
      <c r="FL31" s="443">
        <v>36238510.965735421</v>
      </c>
      <c r="FM31" s="443">
        <v>36238510.965735421</v>
      </c>
      <c r="FN31" s="443">
        <v>37155735.219546512</v>
      </c>
      <c r="FO31" s="443">
        <v>37155735.219546512</v>
      </c>
      <c r="FP31" s="443">
        <v>37155735.219546512</v>
      </c>
      <c r="FQ31" s="443">
        <v>37155735.219546512</v>
      </c>
      <c r="FR31" s="443">
        <v>37155735.219546512</v>
      </c>
      <c r="FS31" s="443">
        <v>37155735.219546512</v>
      </c>
      <c r="FT31" s="443">
        <v>37155735.219546512</v>
      </c>
      <c r="FU31" s="443">
        <v>37155735.219546512</v>
      </c>
      <c r="FV31" s="443">
        <v>37155735.219546512</v>
      </c>
      <c r="FW31" s="443">
        <v>37155735.219546512</v>
      </c>
      <c r="FX31" s="443">
        <v>37155735.219546512</v>
      </c>
      <c r="FY31" s="443">
        <v>37155735.219546512</v>
      </c>
      <c r="FZ31" s="443">
        <v>0</v>
      </c>
      <c r="GA31" s="443">
        <v>0</v>
      </c>
      <c r="GB31" s="443">
        <v>0</v>
      </c>
      <c r="GC31" s="443">
        <v>0</v>
      </c>
      <c r="GD31" s="443">
        <v>0</v>
      </c>
      <c r="GE31" s="443">
        <v>0</v>
      </c>
      <c r="GF31" s="443">
        <v>0</v>
      </c>
      <c r="GG31" s="443">
        <v>0</v>
      </c>
      <c r="GH31" s="443">
        <v>0</v>
      </c>
      <c r="GI31" s="443">
        <v>0</v>
      </c>
      <c r="GJ31" s="443">
        <v>0</v>
      </c>
      <c r="GK31" s="33">
        <v>0</v>
      </c>
      <c r="GL31" s="27"/>
    </row>
    <row r="32" spans="1:194">
      <c r="A32" s="459" t="s">
        <v>1009</v>
      </c>
      <c r="B32" s="456" t="s">
        <v>1184</v>
      </c>
      <c r="C32" s="541" t="s">
        <v>159</v>
      </c>
      <c r="D32" s="456" t="s">
        <v>1214</v>
      </c>
      <c r="E32" s="463" t="s">
        <v>1219</v>
      </c>
      <c r="F32" s="463"/>
      <c r="G32" s="456"/>
      <c r="H32" s="464">
        <v>0</v>
      </c>
      <c r="I32" s="456">
        <v>0</v>
      </c>
      <c r="J32" s="456" t="s">
        <v>1237</v>
      </c>
      <c r="K32" s="456">
        <v>0</v>
      </c>
      <c r="L32" s="456" t="s">
        <v>183</v>
      </c>
      <c r="M32" s="470">
        <v>27.114503816793917</v>
      </c>
      <c r="N32" s="470">
        <v>27.114503816793917</v>
      </c>
      <c r="O32" s="470">
        <v>27.114503816793917</v>
      </c>
      <c r="P32" s="470">
        <v>27.114503816793917</v>
      </c>
      <c r="Q32" s="470">
        <v>27.114503816793917</v>
      </c>
      <c r="R32" s="470">
        <v>27.114503816793917</v>
      </c>
      <c r="S32" s="470">
        <v>27.114503816793917</v>
      </c>
      <c r="T32" s="470">
        <v>27.114503816793917</v>
      </c>
      <c r="U32" s="470">
        <v>27.114503816793917</v>
      </c>
      <c r="V32" s="470">
        <v>27.114503816793917</v>
      </c>
      <c r="W32" s="470">
        <v>0</v>
      </c>
      <c r="X32" s="457">
        <v>3</v>
      </c>
      <c r="Y32" s="472">
        <v>2387498.5637485301</v>
      </c>
      <c r="Z32" s="472">
        <v>2447927.9668959118</v>
      </c>
      <c r="AA32" s="472">
        <v>2509886.8841633014</v>
      </c>
      <c r="AB32" s="472">
        <v>2573414.0287155071</v>
      </c>
      <c r="AC32" s="472">
        <v>2638549.093576957</v>
      </c>
      <c r="AD32" s="472">
        <v>2705332.7764327019</v>
      </c>
      <c r="AE32" s="472">
        <v>2773806.8050571242</v>
      </c>
      <c r="AF32" s="472">
        <v>2844013.9633862916</v>
      </c>
      <c r="AG32" s="472">
        <v>2915998.1182502108</v>
      </c>
      <c r="AH32" s="472">
        <v>2989804.2467816933</v>
      </c>
      <c r="AI32" s="472">
        <v>0</v>
      </c>
      <c r="AJ32" s="457">
        <v>9</v>
      </c>
      <c r="AK32" s="457">
        <v>12</v>
      </c>
      <c r="AL32" s="457">
        <v>12</v>
      </c>
      <c r="AM32" s="457">
        <v>12</v>
      </c>
      <c r="AN32" s="457">
        <v>12</v>
      </c>
      <c r="AO32" s="457">
        <v>12</v>
      </c>
      <c r="AP32" s="457">
        <v>12</v>
      </c>
      <c r="AQ32" s="457">
        <v>12</v>
      </c>
      <c r="AR32" s="457">
        <v>12</v>
      </c>
      <c r="AS32" s="457">
        <v>12</v>
      </c>
      <c r="AT32" s="457">
        <v>12</v>
      </c>
      <c r="AU32" s="458">
        <v>1</v>
      </c>
      <c r="AV32" s="510">
        <v>1.02531076</v>
      </c>
      <c r="AW32" s="456">
        <v>0</v>
      </c>
      <c r="AX32" s="443">
        <v>8521337306.3051548</v>
      </c>
      <c r="AY32" s="443">
        <v>582622550.2741456</v>
      </c>
      <c r="AZ32" s="443">
        <v>796492226.41962957</v>
      </c>
      <c r="BA32" s="443">
        <v>816652050.0044018</v>
      </c>
      <c r="BB32" s="443">
        <v>837322134.04557168</v>
      </c>
      <c r="BC32" s="443">
        <v>858515393.62308609</v>
      </c>
      <c r="BD32" s="443">
        <v>880245070.7073859</v>
      </c>
      <c r="BE32" s="443">
        <v>902524742.43324411</v>
      </c>
      <c r="BF32" s="443">
        <v>925368329.58303344</v>
      </c>
      <c r="BG32" s="443">
        <v>948790105.28471076</v>
      </c>
      <c r="BH32" s="443">
        <v>972804703.92994642</v>
      </c>
      <c r="BI32" s="443">
        <v>0</v>
      </c>
      <c r="BJ32" s="531">
        <v>0</v>
      </c>
      <c r="BK32" s="531">
        <v>0</v>
      </c>
      <c r="BL32" s="531">
        <v>0</v>
      </c>
      <c r="BM32" s="442">
        <v>64735838.919349514</v>
      </c>
      <c r="BN32" s="443">
        <v>64735838.919349514</v>
      </c>
      <c r="BO32" s="443">
        <v>64735838.919349514</v>
      </c>
      <c r="BP32" s="443">
        <v>64735838.919349514</v>
      </c>
      <c r="BQ32" s="443">
        <v>64735838.919349514</v>
      </c>
      <c r="BR32" s="443">
        <v>64735838.919349514</v>
      </c>
      <c r="BS32" s="443">
        <v>64735838.919349514</v>
      </c>
      <c r="BT32" s="443">
        <v>64735838.919349514</v>
      </c>
      <c r="BU32" s="443">
        <v>64735838.919349514</v>
      </c>
      <c r="BV32" s="443">
        <v>66374352.201635778</v>
      </c>
      <c r="BW32" s="443">
        <v>66374352.201635778</v>
      </c>
      <c r="BX32" s="443">
        <v>66374352.201635778</v>
      </c>
      <c r="BY32" s="443">
        <v>66374352.201635778</v>
      </c>
      <c r="BZ32" s="443">
        <v>66374352.201635778</v>
      </c>
      <c r="CA32" s="443">
        <v>66374352.201635778</v>
      </c>
      <c r="CB32" s="443">
        <v>66374352.201635778</v>
      </c>
      <c r="CC32" s="443">
        <v>66374352.201635778</v>
      </c>
      <c r="CD32" s="443">
        <v>66374352.201635778</v>
      </c>
      <c r="CE32" s="443">
        <v>66374352.201635778</v>
      </c>
      <c r="CF32" s="443">
        <v>66374352.201635778</v>
      </c>
      <c r="CG32" s="443">
        <v>66374352.201635778</v>
      </c>
      <c r="CH32" s="443">
        <v>68054337.500366822</v>
      </c>
      <c r="CI32" s="443">
        <v>68054337.500366822</v>
      </c>
      <c r="CJ32" s="443">
        <v>68054337.500366822</v>
      </c>
      <c r="CK32" s="443">
        <v>68054337.500366822</v>
      </c>
      <c r="CL32" s="443">
        <v>68054337.500366822</v>
      </c>
      <c r="CM32" s="443">
        <v>68054337.500366822</v>
      </c>
      <c r="CN32" s="443">
        <v>68054337.500366822</v>
      </c>
      <c r="CO32" s="443">
        <v>68054337.500366822</v>
      </c>
      <c r="CP32" s="443">
        <v>68054337.500366822</v>
      </c>
      <c r="CQ32" s="443">
        <v>68054337.500366822</v>
      </c>
      <c r="CR32" s="443">
        <v>68054337.500366822</v>
      </c>
      <c r="CS32" s="443">
        <v>68054337.500366822</v>
      </c>
      <c r="CT32" s="443">
        <v>69776844.503797635</v>
      </c>
      <c r="CU32" s="443">
        <v>69776844.503797635</v>
      </c>
      <c r="CV32" s="443">
        <v>69776844.503797635</v>
      </c>
      <c r="CW32" s="443">
        <v>69776844.503797635</v>
      </c>
      <c r="CX32" s="443">
        <v>69776844.503797635</v>
      </c>
      <c r="CY32" s="443">
        <v>69776844.503797635</v>
      </c>
      <c r="CZ32" s="443">
        <v>69776844.503797635</v>
      </c>
      <c r="DA32" s="443">
        <v>69776844.503797635</v>
      </c>
      <c r="DB32" s="443">
        <v>69776844.503797635</v>
      </c>
      <c r="DC32" s="443">
        <v>69776844.503797635</v>
      </c>
      <c r="DD32" s="443">
        <v>69776844.503797635</v>
      </c>
      <c r="DE32" s="443">
        <v>69776844.503797635</v>
      </c>
      <c r="DF32" s="443">
        <v>71542949.468590528</v>
      </c>
      <c r="DG32" s="443">
        <v>71542949.468590528</v>
      </c>
      <c r="DH32" s="443">
        <v>71542949.468590528</v>
      </c>
      <c r="DI32" s="443">
        <v>71542949.468590528</v>
      </c>
      <c r="DJ32" s="443">
        <v>71542949.468590528</v>
      </c>
      <c r="DK32" s="443">
        <v>71542949.468590528</v>
      </c>
      <c r="DL32" s="443">
        <v>71542949.468590528</v>
      </c>
      <c r="DM32" s="443">
        <v>71542949.468590528</v>
      </c>
      <c r="DN32" s="443">
        <v>71542949.468590528</v>
      </c>
      <c r="DO32" s="443">
        <v>71542949.468590528</v>
      </c>
      <c r="DP32" s="443">
        <v>71542949.468590528</v>
      </c>
      <c r="DQ32" s="443">
        <v>71542949.468590528</v>
      </c>
      <c r="DR32" s="443">
        <v>73353755.892282173</v>
      </c>
      <c r="DS32" s="443">
        <v>73353755.892282173</v>
      </c>
      <c r="DT32" s="443">
        <v>73353755.892282173</v>
      </c>
      <c r="DU32" s="443">
        <v>73353755.892282173</v>
      </c>
      <c r="DV32" s="443">
        <v>73353755.892282173</v>
      </c>
      <c r="DW32" s="443">
        <v>73353755.892282173</v>
      </c>
      <c r="DX32" s="443">
        <v>73353755.892282173</v>
      </c>
      <c r="DY32" s="443">
        <v>73353755.892282173</v>
      </c>
      <c r="DZ32" s="443">
        <v>73353755.892282173</v>
      </c>
      <c r="EA32" s="443">
        <v>73353755.892282173</v>
      </c>
      <c r="EB32" s="443">
        <v>73353755.892282173</v>
      </c>
      <c r="EC32" s="443">
        <v>73353755.892282173</v>
      </c>
      <c r="ED32" s="443">
        <v>75210395.202770337</v>
      </c>
      <c r="EE32" s="443">
        <v>75210395.202770337</v>
      </c>
      <c r="EF32" s="443">
        <v>75210395.202770337</v>
      </c>
      <c r="EG32" s="443">
        <v>75210395.202770337</v>
      </c>
      <c r="EH32" s="443">
        <v>75210395.202770337</v>
      </c>
      <c r="EI32" s="443">
        <v>75210395.202770337</v>
      </c>
      <c r="EJ32" s="443">
        <v>75210395.202770337</v>
      </c>
      <c r="EK32" s="443">
        <v>75210395.202770337</v>
      </c>
      <c r="EL32" s="443">
        <v>75210395.202770337</v>
      </c>
      <c r="EM32" s="443">
        <v>75210395.202770337</v>
      </c>
      <c r="EN32" s="443">
        <v>75210395.202770337</v>
      </c>
      <c r="EO32" s="443">
        <v>75210395.202770337</v>
      </c>
      <c r="EP32" s="443">
        <v>77114027.465252802</v>
      </c>
      <c r="EQ32" s="443">
        <v>77114027.465252802</v>
      </c>
      <c r="ER32" s="443">
        <v>77114027.465252802</v>
      </c>
      <c r="ES32" s="443">
        <v>77114027.465252802</v>
      </c>
      <c r="ET32" s="443">
        <v>77114027.465252802</v>
      </c>
      <c r="EU32" s="443">
        <v>77114027.465252802</v>
      </c>
      <c r="EV32" s="443">
        <v>77114027.465252802</v>
      </c>
      <c r="EW32" s="443">
        <v>77114027.465252802</v>
      </c>
      <c r="EX32" s="443">
        <v>77114027.465252802</v>
      </c>
      <c r="EY32" s="443">
        <v>77114027.465252802</v>
      </c>
      <c r="EZ32" s="443">
        <v>77114027.465252802</v>
      </c>
      <c r="FA32" s="443">
        <v>77114027.465252802</v>
      </c>
      <c r="FB32" s="443">
        <v>79065842.107059225</v>
      </c>
      <c r="FC32" s="443">
        <v>79065842.107059225</v>
      </c>
      <c r="FD32" s="443">
        <v>79065842.107059225</v>
      </c>
      <c r="FE32" s="443">
        <v>79065842.107059225</v>
      </c>
      <c r="FF32" s="443">
        <v>79065842.107059225</v>
      </c>
      <c r="FG32" s="443">
        <v>79065842.107059225</v>
      </c>
      <c r="FH32" s="443">
        <v>79065842.107059225</v>
      </c>
      <c r="FI32" s="443">
        <v>79065842.107059225</v>
      </c>
      <c r="FJ32" s="443">
        <v>79065842.107059225</v>
      </c>
      <c r="FK32" s="443">
        <v>79065842.107059225</v>
      </c>
      <c r="FL32" s="443">
        <v>79065842.107059225</v>
      </c>
      <c r="FM32" s="443">
        <v>79065842.107059225</v>
      </c>
      <c r="FN32" s="443">
        <v>81067058.660828888</v>
      </c>
      <c r="FO32" s="443">
        <v>81067058.660828888</v>
      </c>
      <c r="FP32" s="443">
        <v>81067058.660828888</v>
      </c>
      <c r="FQ32" s="443">
        <v>81067058.660828888</v>
      </c>
      <c r="FR32" s="443">
        <v>81067058.660828888</v>
      </c>
      <c r="FS32" s="443">
        <v>81067058.660828888</v>
      </c>
      <c r="FT32" s="443">
        <v>81067058.660828888</v>
      </c>
      <c r="FU32" s="443">
        <v>81067058.660828888</v>
      </c>
      <c r="FV32" s="443">
        <v>81067058.660828888</v>
      </c>
      <c r="FW32" s="443">
        <v>81067058.660828888</v>
      </c>
      <c r="FX32" s="443">
        <v>81067058.660828888</v>
      </c>
      <c r="FY32" s="443">
        <v>81067058.660828888</v>
      </c>
      <c r="FZ32" s="443">
        <v>0</v>
      </c>
      <c r="GA32" s="443">
        <v>0</v>
      </c>
      <c r="GB32" s="443">
        <v>0</v>
      </c>
      <c r="GC32" s="443">
        <v>0</v>
      </c>
      <c r="GD32" s="443">
        <v>0</v>
      </c>
      <c r="GE32" s="443">
        <v>0</v>
      </c>
      <c r="GF32" s="443">
        <v>0</v>
      </c>
      <c r="GG32" s="443">
        <v>0</v>
      </c>
      <c r="GH32" s="443">
        <v>0</v>
      </c>
      <c r="GI32" s="443">
        <v>0</v>
      </c>
      <c r="GJ32" s="443">
        <v>0</v>
      </c>
      <c r="GK32" s="33">
        <v>0</v>
      </c>
      <c r="GL32" s="27"/>
    </row>
    <row r="33" spans="1:194">
      <c r="A33" s="459" t="s">
        <v>1010</v>
      </c>
      <c r="B33" s="456" t="s">
        <v>1184</v>
      </c>
      <c r="C33" s="541" t="s">
        <v>159</v>
      </c>
      <c r="D33" s="456" t="s">
        <v>1214</v>
      </c>
      <c r="E33" s="463" t="s">
        <v>1220</v>
      </c>
      <c r="F33" s="463"/>
      <c r="G33" s="456"/>
      <c r="H33" s="464">
        <v>0</v>
      </c>
      <c r="I33" s="456">
        <v>0</v>
      </c>
      <c r="J33" s="456" t="s">
        <v>1237</v>
      </c>
      <c r="K33" s="456">
        <v>0</v>
      </c>
      <c r="L33" s="456" t="s">
        <v>183</v>
      </c>
      <c r="M33" s="470">
        <v>0</v>
      </c>
      <c r="N33" s="470">
        <v>0</v>
      </c>
      <c r="O33" s="470">
        <v>0</v>
      </c>
      <c r="P33" s="470">
        <v>0</v>
      </c>
      <c r="Q33" s="470">
        <v>0</v>
      </c>
      <c r="R33" s="470">
        <v>0</v>
      </c>
      <c r="S33" s="470">
        <v>0</v>
      </c>
      <c r="T33" s="470">
        <v>0</v>
      </c>
      <c r="U33" s="470">
        <v>0</v>
      </c>
      <c r="V33" s="470">
        <v>0</v>
      </c>
      <c r="W33" s="470">
        <v>0</v>
      </c>
      <c r="X33" s="457">
        <v>3</v>
      </c>
      <c r="Y33" s="472">
        <v>2387498.5637485301</v>
      </c>
      <c r="Z33" s="472">
        <v>2447927.9668959118</v>
      </c>
      <c r="AA33" s="472">
        <v>2509886.8841633014</v>
      </c>
      <c r="AB33" s="472">
        <v>2573414.0287155071</v>
      </c>
      <c r="AC33" s="472">
        <v>2638549.093576957</v>
      </c>
      <c r="AD33" s="472">
        <v>2705332.7764327019</v>
      </c>
      <c r="AE33" s="472">
        <v>2773806.8050571242</v>
      </c>
      <c r="AF33" s="472">
        <v>2844013.9633862916</v>
      </c>
      <c r="AG33" s="472">
        <v>2915998.1182502108</v>
      </c>
      <c r="AH33" s="472">
        <v>2989804.2467816933</v>
      </c>
      <c r="AI33" s="472">
        <v>0</v>
      </c>
      <c r="AJ33" s="457">
        <v>9</v>
      </c>
      <c r="AK33" s="457">
        <v>12</v>
      </c>
      <c r="AL33" s="457">
        <v>12</v>
      </c>
      <c r="AM33" s="457">
        <v>12</v>
      </c>
      <c r="AN33" s="457">
        <v>12</v>
      </c>
      <c r="AO33" s="457">
        <v>12</v>
      </c>
      <c r="AP33" s="457">
        <v>12</v>
      </c>
      <c r="AQ33" s="457">
        <v>12</v>
      </c>
      <c r="AR33" s="457">
        <v>12</v>
      </c>
      <c r="AS33" s="457">
        <v>12</v>
      </c>
      <c r="AT33" s="457">
        <v>12</v>
      </c>
      <c r="AU33" s="458">
        <v>1</v>
      </c>
      <c r="AV33" s="510">
        <v>1.02531076</v>
      </c>
      <c r="AW33" s="456">
        <v>0</v>
      </c>
      <c r="AX33" s="443">
        <v>0</v>
      </c>
      <c r="AY33" s="443">
        <v>0</v>
      </c>
      <c r="AZ33" s="443">
        <v>0</v>
      </c>
      <c r="BA33" s="443">
        <v>0</v>
      </c>
      <c r="BB33" s="443">
        <v>0</v>
      </c>
      <c r="BC33" s="443">
        <v>0</v>
      </c>
      <c r="BD33" s="443">
        <v>0</v>
      </c>
      <c r="BE33" s="443">
        <v>0</v>
      </c>
      <c r="BF33" s="443">
        <v>0</v>
      </c>
      <c r="BG33" s="443">
        <v>0</v>
      </c>
      <c r="BH33" s="443">
        <v>0</v>
      </c>
      <c r="BI33" s="443">
        <v>0</v>
      </c>
      <c r="BJ33" s="531">
        <v>0</v>
      </c>
      <c r="BK33" s="531">
        <v>0</v>
      </c>
      <c r="BL33" s="531">
        <v>0</v>
      </c>
      <c r="BM33" s="442">
        <v>0</v>
      </c>
      <c r="BN33" s="443">
        <v>0</v>
      </c>
      <c r="BO33" s="443">
        <v>0</v>
      </c>
      <c r="BP33" s="443">
        <v>0</v>
      </c>
      <c r="BQ33" s="443">
        <v>0</v>
      </c>
      <c r="BR33" s="443">
        <v>0</v>
      </c>
      <c r="BS33" s="443">
        <v>0</v>
      </c>
      <c r="BT33" s="443">
        <v>0</v>
      </c>
      <c r="BU33" s="443">
        <v>0</v>
      </c>
      <c r="BV33" s="443">
        <v>0</v>
      </c>
      <c r="BW33" s="443">
        <v>0</v>
      </c>
      <c r="BX33" s="443">
        <v>0</v>
      </c>
      <c r="BY33" s="443">
        <v>0</v>
      </c>
      <c r="BZ33" s="443">
        <v>0</v>
      </c>
      <c r="CA33" s="443">
        <v>0</v>
      </c>
      <c r="CB33" s="443">
        <v>0</v>
      </c>
      <c r="CC33" s="443">
        <v>0</v>
      </c>
      <c r="CD33" s="443">
        <v>0</v>
      </c>
      <c r="CE33" s="443">
        <v>0</v>
      </c>
      <c r="CF33" s="443">
        <v>0</v>
      </c>
      <c r="CG33" s="443">
        <v>0</v>
      </c>
      <c r="CH33" s="443">
        <v>0</v>
      </c>
      <c r="CI33" s="443">
        <v>0</v>
      </c>
      <c r="CJ33" s="443">
        <v>0</v>
      </c>
      <c r="CK33" s="443">
        <v>0</v>
      </c>
      <c r="CL33" s="443">
        <v>0</v>
      </c>
      <c r="CM33" s="443">
        <v>0</v>
      </c>
      <c r="CN33" s="443">
        <v>0</v>
      </c>
      <c r="CO33" s="443">
        <v>0</v>
      </c>
      <c r="CP33" s="443">
        <v>0</v>
      </c>
      <c r="CQ33" s="443">
        <v>0</v>
      </c>
      <c r="CR33" s="443">
        <v>0</v>
      </c>
      <c r="CS33" s="443">
        <v>0</v>
      </c>
      <c r="CT33" s="443">
        <v>0</v>
      </c>
      <c r="CU33" s="443">
        <v>0</v>
      </c>
      <c r="CV33" s="443">
        <v>0</v>
      </c>
      <c r="CW33" s="443">
        <v>0</v>
      </c>
      <c r="CX33" s="443">
        <v>0</v>
      </c>
      <c r="CY33" s="443">
        <v>0</v>
      </c>
      <c r="CZ33" s="443">
        <v>0</v>
      </c>
      <c r="DA33" s="443">
        <v>0</v>
      </c>
      <c r="DB33" s="443">
        <v>0</v>
      </c>
      <c r="DC33" s="443">
        <v>0</v>
      </c>
      <c r="DD33" s="443">
        <v>0</v>
      </c>
      <c r="DE33" s="443">
        <v>0</v>
      </c>
      <c r="DF33" s="443">
        <v>0</v>
      </c>
      <c r="DG33" s="443">
        <v>0</v>
      </c>
      <c r="DH33" s="443">
        <v>0</v>
      </c>
      <c r="DI33" s="443">
        <v>0</v>
      </c>
      <c r="DJ33" s="443">
        <v>0</v>
      </c>
      <c r="DK33" s="443">
        <v>0</v>
      </c>
      <c r="DL33" s="443">
        <v>0</v>
      </c>
      <c r="DM33" s="443">
        <v>0</v>
      </c>
      <c r="DN33" s="443">
        <v>0</v>
      </c>
      <c r="DO33" s="443">
        <v>0</v>
      </c>
      <c r="DP33" s="443">
        <v>0</v>
      </c>
      <c r="DQ33" s="443">
        <v>0</v>
      </c>
      <c r="DR33" s="443">
        <v>0</v>
      </c>
      <c r="DS33" s="443">
        <v>0</v>
      </c>
      <c r="DT33" s="443">
        <v>0</v>
      </c>
      <c r="DU33" s="443">
        <v>0</v>
      </c>
      <c r="DV33" s="443">
        <v>0</v>
      </c>
      <c r="DW33" s="443">
        <v>0</v>
      </c>
      <c r="DX33" s="443">
        <v>0</v>
      </c>
      <c r="DY33" s="443">
        <v>0</v>
      </c>
      <c r="DZ33" s="443">
        <v>0</v>
      </c>
      <c r="EA33" s="443">
        <v>0</v>
      </c>
      <c r="EB33" s="443">
        <v>0</v>
      </c>
      <c r="EC33" s="443">
        <v>0</v>
      </c>
      <c r="ED33" s="443">
        <v>0</v>
      </c>
      <c r="EE33" s="443">
        <v>0</v>
      </c>
      <c r="EF33" s="443">
        <v>0</v>
      </c>
      <c r="EG33" s="443">
        <v>0</v>
      </c>
      <c r="EH33" s="443">
        <v>0</v>
      </c>
      <c r="EI33" s="443">
        <v>0</v>
      </c>
      <c r="EJ33" s="443">
        <v>0</v>
      </c>
      <c r="EK33" s="443">
        <v>0</v>
      </c>
      <c r="EL33" s="443">
        <v>0</v>
      </c>
      <c r="EM33" s="443">
        <v>0</v>
      </c>
      <c r="EN33" s="443">
        <v>0</v>
      </c>
      <c r="EO33" s="443">
        <v>0</v>
      </c>
      <c r="EP33" s="443">
        <v>0</v>
      </c>
      <c r="EQ33" s="443">
        <v>0</v>
      </c>
      <c r="ER33" s="443">
        <v>0</v>
      </c>
      <c r="ES33" s="443">
        <v>0</v>
      </c>
      <c r="ET33" s="443">
        <v>0</v>
      </c>
      <c r="EU33" s="443">
        <v>0</v>
      </c>
      <c r="EV33" s="443">
        <v>0</v>
      </c>
      <c r="EW33" s="443">
        <v>0</v>
      </c>
      <c r="EX33" s="443">
        <v>0</v>
      </c>
      <c r="EY33" s="443">
        <v>0</v>
      </c>
      <c r="EZ33" s="443">
        <v>0</v>
      </c>
      <c r="FA33" s="443">
        <v>0</v>
      </c>
      <c r="FB33" s="443">
        <v>0</v>
      </c>
      <c r="FC33" s="443">
        <v>0</v>
      </c>
      <c r="FD33" s="443">
        <v>0</v>
      </c>
      <c r="FE33" s="443">
        <v>0</v>
      </c>
      <c r="FF33" s="443">
        <v>0</v>
      </c>
      <c r="FG33" s="443">
        <v>0</v>
      </c>
      <c r="FH33" s="443">
        <v>0</v>
      </c>
      <c r="FI33" s="443">
        <v>0</v>
      </c>
      <c r="FJ33" s="443">
        <v>0</v>
      </c>
      <c r="FK33" s="443">
        <v>0</v>
      </c>
      <c r="FL33" s="443">
        <v>0</v>
      </c>
      <c r="FM33" s="443">
        <v>0</v>
      </c>
      <c r="FN33" s="443">
        <v>0</v>
      </c>
      <c r="FO33" s="443">
        <v>0</v>
      </c>
      <c r="FP33" s="443">
        <v>0</v>
      </c>
      <c r="FQ33" s="443">
        <v>0</v>
      </c>
      <c r="FR33" s="443">
        <v>0</v>
      </c>
      <c r="FS33" s="443">
        <v>0</v>
      </c>
      <c r="FT33" s="443">
        <v>0</v>
      </c>
      <c r="FU33" s="443">
        <v>0</v>
      </c>
      <c r="FV33" s="443">
        <v>0</v>
      </c>
      <c r="FW33" s="443">
        <v>0</v>
      </c>
      <c r="FX33" s="443">
        <v>0</v>
      </c>
      <c r="FY33" s="443">
        <v>0</v>
      </c>
      <c r="FZ33" s="443">
        <v>0</v>
      </c>
      <c r="GA33" s="443">
        <v>0</v>
      </c>
      <c r="GB33" s="443">
        <v>0</v>
      </c>
      <c r="GC33" s="443">
        <v>0</v>
      </c>
      <c r="GD33" s="443">
        <v>0</v>
      </c>
      <c r="GE33" s="443">
        <v>0</v>
      </c>
      <c r="GF33" s="443">
        <v>0</v>
      </c>
      <c r="GG33" s="443">
        <v>0</v>
      </c>
      <c r="GH33" s="443">
        <v>0</v>
      </c>
      <c r="GI33" s="443">
        <v>0</v>
      </c>
      <c r="GJ33" s="443">
        <v>0</v>
      </c>
      <c r="GK33" s="33">
        <v>0</v>
      </c>
      <c r="GL33" s="27"/>
    </row>
    <row r="34" spans="1:194">
      <c r="A34" s="459" t="s">
        <v>1011</v>
      </c>
      <c r="B34" s="456" t="s">
        <v>1184</v>
      </c>
      <c r="C34" s="541" t="s">
        <v>159</v>
      </c>
      <c r="D34" s="456" t="s">
        <v>1214</v>
      </c>
      <c r="E34" s="463" t="s">
        <v>1221</v>
      </c>
      <c r="F34" s="463"/>
      <c r="G34" s="456"/>
      <c r="H34" s="464">
        <v>0</v>
      </c>
      <c r="I34" s="456">
        <v>0</v>
      </c>
      <c r="J34" s="456" t="s">
        <v>1237</v>
      </c>
      <c r="K34" s="456">
        <v>0</v>
      </c>
      <c r="L34" s="456" t="s">
        <v>183</v>
      </c>
      <c r="M34" s="470">
        <v>0</v>
      </c>
      <c r="N34" s="470">
        <v>0</v>
      </c>
      <c r="O34" s="470">
        <v>0</v>
      </c>
      <c r="P34" s="470">
        <v>0</v>
      </c>
      <c r="Q34" s="470">
        <v>0</v>
      </c>
      <c r="R34" s="470">
        <v>0</v>
      </c>
      <c r="S34" s="470">
        <v>0</v>
      </c>
      <c r="T34" s="470">
        <v>0</v>
      </c>
      <c r="U34" s="470">
        <v>0</v>
      </c>
      <c r="V34" s="470">
        <v>0</v>
      </c>
      <c r="W34" s="470">
        <v>0</v>
      </c>
      <c r="X34" s="457">
        <v>3</v>
      </c>
      <c r="Y34" s="472">
        <v>2387498.5637485301</v>
      </c>
      <c r="Z34" s="472">
        <v>2447927.9668959118</v>
      </c>
      <c r="AA34" s="472">
        <v>2509886.8841633014</v>
      </c>
      <c r="AB34" s="472">
        <v>2573414.0287155071</v>
      </c>
      <c r="AC34" s="472">
        <v>2638549.093576957</v>
      </c>
      <c r="AD34" s="472">
        <v>2705332.7764327019</v>
      </c>
      <c r="AE34" s="472">
        <v>2773806.8050571242</v>
      </c>
      <c r="AF34" s="472">
        <v>2844013.9633862916</v>
      </c>
      <c r="AG34" s="472">
        <v>2915998.1182502108</v>
      </c>
      <c r="AH34" s="472">
        <v>2989804.2467816933</v>
      </c>
      <c r="AI34" s="472">
        <v>0</v>
      </c>
      <c r="AJ34" s="457">
        <v>9</v>
      </c>
      <c r="AK34" s="457">
        <v>12</v>
      </c>
      <c r="AL34" s="457">
        <v>12</v>
      </c>
      <c r="AM34" s="457">
        <v>12</v>
      </c>
      <c r="AN34" s="457">
        <v>12</v>
      </c>
      <c r="AO34" s="457">
        <v>12</v>
      </c>
      <c r="AP34" s="457">
        <v>12</v>
      </c>
      <c r="AQ34" s="457">
        <v>12</v>
      </c>
      <c r="AR34" s="457">
        <v>12</v>
      </c>
      <c r="AS34" s="457">
        <v>12</v>
      </c>
      <c r="AT34" s="457">
        <v>12</v>
      </c>
      <c r="AU34" s="458">
        <v>1</v>
      </c>
      <c r="AV34" s="510">
        <v>1.02531076</v>
      </c>
      <c r="AW34" s="456">
        <v>0</v>
      </c>
      <c r="AX34" s="443">
        <v>0</v>
      </c>
      <c r="AY34" s="443">
        <v>0</v>
      </c>
      <c r="AZ34" s="443">
        <v>0</v>
      </c>
      <c r="BA34" s="443">
        <v>0</v>
      </c>
      <c r="BB34" s="443">
        <v>0</v>
      </c>
      <c r="BC34" s="443">
        <v>0</v>
      </c>
      <c r="BD34" s="443">
        <v>0</v>
      </c>
      <c r="BE34" s="443">
        <v>0</v>
      </c>
      <c r="BF34" s="443">
        <v>0</v>
      </c>
      <c r="BG34" s="443">
        <v>0</v>
      </c>
      <c r="BH34" s="443">
        <v>0</v>
      </c>
      <c r="BI34" s="443">
        <v>0</v>
      </c>
      <c r="BJ34" s="531">
        <v>0</v>
      </c>
      <c r="BK34" s="531">
        <v>0</v>
      </c>
      <c r="BL34" s="531">
        <v>0</v>
      </c>
      <c r="BM34" s="442">
        <v>0</v>
      </c>
      <c r="BN34" s="443">
        <v>0</v>
      </c>
      <c r="BO34" s="443">
        <v>0</v>
      </c>
      <c r="BP34" s="443">
        <v>0</v>
      </c>
      <c r="BQ34" s="443">
        <v>0</v>
      </c>
      <c r="BR34" s="443">
        <v>0</v>
      </c>
      <c r="BS34" s="443">
        <v>0</v>
      </c>
      <c r="BT34" s="443">
        <v>0</v>
      </c>
      <c r="BU34" s="443">
        <v>0</v>
      </c>
      <c r="BV34" s="443">
        <v>0</v>
      </c>
      <c r="BW34" s="443">
        <v>0</v>
      </c>
      <c r="BX34" s="443">
        <v>0</v>
      </c>
      <c r="BY34" s="443">
        <v>0</v>
      </c>
      <c r="BZ34" s="443">
        <v>0</v>
      </c>
      <c r="CA34" s="443">
        <v>0</v>
      </c>
      <c r="CB34" s="443">
        <v>0</v>
      </c>
      <c r="CC34" s="443">
        <v>0</v>
      </c>
      <c r="CD34" s="443">
        <v>0</v>
      </c>
      <c r="CE34" s="443">
        <v>0</v>
      </c>
      <c r="CF34" s="443">
        <v>0</v>
      </c>
      <c r="CG34" s="443">
        <v>0</v>
      </c>
      <c r="CH34" s="443">
        <v>0</v>
      </c>
      <c r="CI34" s="443">
        <v>0</v>
      </c>
      <c r="CJ34" s="443">
        <v>0</v>
      </c>
      <c r="CK34" s="443">
        <v>0</v>
      </c>
      <c r="CL34" s="443">
        <v>0</v>
      </c>
      <c r="CM34" s="443">
        <v>0</v>
      </c>
      <c r="CN34" s="443">
        <v>0</v>
      </c>
      <c r="CO34" s="443">
        <v>0</v>
      </c>
      <c r="CP34" s="443">
        <v>0</v>
      </c>
      <c r="CQ34" s="443">
        <v>0</v>
      </c>
      <c r="CR34" s="443">
        <v>0</v>
      </c>
      <c r="CS34" s="443">
        <v>0</v>
      </c>
      <c r="CT34" s="443">
        <v>0</v>
      </c>
      <c r="CU34" s="443">
        <v>0</v>
      </c>
      <c r="CV34" s="443">
        <v>0</v>
      </c>
      <c r="CW34" s="443">
        <v>0</v>
      </c>
      <c r="CX34" s="443">
        <v>0</v>
      </c>
      <c r="CY34" s="443">
        <v>0</v>
      </c>
      <c r="CZ34" s="443">
        <v>0</v>
      </c>
      <c r="DA34" s="443">
        <v>0</v>
      </c>
      <c r="DB34" s="443">
        <v>0</v>
      </c>
      <c r="DC34" s="443">
        <v>0</v>
      </c>
      <c r="DD34" s="443">
        <v>0</v>
      </c>
      <c r="DE34" s="443">
        <v>0</v>
      </c>
      <c r="DF34" s="443">
        <v>0</v>
      </c>
      <c r="DG34" s="443">
        <v>0</v>
      </c>
      <c r="DH34" s="443">
        <v>0</v>
      </c>
      <c r="DI34" s="443">
        <v>0</v>
      </c>
      <c r="DJ34" s="443">
        <v>0</v>
      </c>
      <c r="DK34" s="443">
        <v>0</v>
      </c>
      <c r="DL34" s="443">
        <v>0</v>
      </c>
      <c r="DM34" s="443">
        <v>0</v>
      </c>
      <c r="DN34" s="443">
        <v>0</v>
      </c>
      <c r="DO34" s="443">
        <v>0</v>
      </c>
      <c r="DP34" s="443">
        <v>0</v>
      </c>
      <c r="DQ34" s="443">
        <v>0</v>
      </c>
      <c r="DR34" s="443">
        <v>0</v>
      </c>
      <c r="DS34" s="443">
        <v>0</v>
      </c>
      <c r="DT34" s="443">
        <v>0</v>
      </c>
      <c r="DU34" s="443">
        <v>0</v>
      </c>
      <c r="DV34" s="443">
        <v>0</v>
      </c>
      <c r="DW34" s="443">
        <v>0</v>
      </c>
      <c r="DX34" s="443">
        <v>0</v>
      </c>
      <c r="DY34" s="443">
        <v>0</v>
      </c>
      <c r="DZ34" s="443">
        <v>0</v>
      </c>
      <c r="EA34" s="443">
        <v>0</v>
      </c>
      <c r="EB34" s="443">
        <v>0</v>
      </c>
      <c r="EC34" s="443">
        <v>0</v>
      </c>
      <c r="ED34" s="443">
        <v>0</v>
      </c>
      <c r="EE34" s="443">
        <v>0</v>
      </c>
      <c r="EF34" s="443">
        <v>0</v>
      </c>
      <c r="EG34" s="443">
        <v>0</v>
      </c>
      <c r="EH34" s="443">
        <v>0</v>
      </c>
      <c r="EI34" s="443">
        <v>0</v>
      </c>
      <c r="EJ34" s="443">
        <v>0</v>
      </c>
      <c r="EK34" s="443">
        <v>0</v>
      </c>
      <c r="EL34" s="443">
        <v>0</v>
      </c>
      <c r="EM34" s="443">
        <v>0</v>
      </c>
      <c r="EN34" s="443">
        <v>0</v>
      </c>
      <c r="EO34" s="443">
        <v>0</v>
      </c>
      <c r="EP34" s="443">
        <v>0</v>
      </c>
      <c r="EQ34" s="443">
        <v>0</v>
      </c>
      <c r="ER34" s="443">
        <v>0</v>
      </c>
      <c r="ES34" s="443">
        <v>0</v>
      </c>
      <c r="ET34" s="443">
        <v>0</v>
      </c>
      <c r="EU34" s="443">
        <v>0</v>
      </c>
      <c r="EV34" s="443">
        <v>0</v>
      </c>
      <c r="EW34" s="443">
        <v>0</v>
      </c>
      <c r="EX34" s="443">
        <v>0</v>
      </c>
      <c r="EY34" s="443">
        <v>0</v>
      </c>
      <c r="EZ34" s="443">
        <v>0</v>
      </c>
      <c r="FA34" s="443">
        <v>0</v>
      </c>
      <c r="FB34" s="443">
        <v>0</v>
      </c>
      <c r="FC34" s="443">
        <v>0</v>
      </c>
      <c r="FD34" s="443">
        <v>0</v>
      </c>
      <c r="FE34" s="443">
        <v>0</v>
      </c>
      <c r="FF34" s="443">
        <v>0</v>
      </c>
      <c r="FG34" s="443">
        <v>0</v>
      </c>
      <c r="FH34" s="443">
        <v>0</v>
      </c>
      <c r="FI34" s="443">
        <v>0</v>
      </c>
      <c r="FJ34" s="443">
        <v>0</v>
      </c>
      <c r="FK34" s="443">
        <v>0</v>
      </c>
      <c r="FL34" s="443">
        <v>0</v>
      </c>
      <c r="FM34" s="443">
        <v>0</v>
      </c>
      <c r="FN34" s="443">
        <v>0</v>
      </c>
      <c r="FO34" s="443">
        <v>0</v>
      </c>
      <c r="FP34" s="443">
        <v>0</v>
      </c>
      <c r="FQ34" s="443">
        <v>0</v>
      </c>
      <c r="FR34" s="443">
        <v>0</v>
      </c>
      <c r="FS34" s="443">
        <v>0</v>
      </c>
      <c r="FT34" s="443">
        <v>0</v>
      </c>
      <c r="FU34" s="443">
        <v>0</v>
      </c>
      <c r="FV34" s="443">
        <v>0</v>
      </c>
      <c r="FW34" s="443">
        <v>0</v>
      </c>
      <c r="FX34" s="443">
        <v>0</v>
      </c>
      <c r="FY34" s="443">
        <v>0</v>
      </c>
      <c r="FZ34" s="443">
        <v>0</v>
      </c>
      <c r="GA34" s="443">
        <v>0</v>
      </c>
      <c r="GB34" s="443">
        <v>0</v>
      </c>
      <c r="GC34" s="443">
        <v>0</v>
      </c>
      <c r="GD34" s="443">
        <v>0</v>
      </c>
      <c r="GE34" s="443">
        <v>0</v>
      </c>
      <c r="GF34" s="443">
        <v>0</v>
      </c>
      <c r="GG34" s="443">
        <v>0</v>
      </c>
      <c r="GH34" s="443">
        <v>0</v>
      </c>
      <c r="GI34" s="443">
        <v>0</v>
      </c>
      <c r="GJ34" s="443">
        <v>0</v>
      </c>
      <c r="GK34" s="33">
        <v>0</v>
      </c>
      <c r="GL34" s="27"/>
    </row>
    <row r="35" spans="1:194">
      <c r="A35" s="459" t="s">
        <v>1229</v>
      </c>
      <c r="B35" s="456" t="s">
        <v>1184</v>
      </c>
      <c r="C35" s="541" t="s">
        <v>176</v>
      </c>
      <c r="D35" s="456" t="s">
        <v>1207</v>
      </c>
      <c r="E35" s="463" t="s">
        <v>1222</v>
      </c>
      <c r="F35" s="456"/>
      <c r="G35" s="456"/>
      <c r="H35" s="464">
        <v>0</v>
      </c>
      <c r="I35" s="456">
        <v>0</v>
      </c>
      <c r="J35" s="456" t="s">
        <v>1237</v>
      </c>
      <c r="K35" s="456">
        <v>0</v>
      </c>
      <c r="L35" s="456" t="s">
        <v>183</v>
      </c>
      <c r="M35" s="470">
        <v>1.1297709923664132</v>
      </c>
      <c r="N35" s="470">
        <v>1.1297709923664132</v>
      </c>
      <c r="O35" s="470">
        <v>1.1297709923664141</v>
      </c>
      <c r="P35" s="470">
        <v>1.1297709923664141</v>
      </c>
      <c r="Q35" s="470">
        <v>1.1297709923664141</v>
      </c>
      <c r="R35" s="470">
        <v>1.1297709923664141</v>
      </c>
      <c r="S35" s="470">
        <v>1.1297709923664141</v>
      </c>
      <c r="T35" s="470">
        <v>1.1297709923664141</v>
      </c>
      <c r="U35" s="470">
        <v>1.1297709923664141</v>
      </c>
      <c r="V35" s="470">
        <v>1.1297709923664141</v>
      </c>
      <c r="W35" s="470">
        <v>0</v>
      </c>
      <c r="X35" s="457">
        <v>3</v>
      </c>
      <c r="Y35" s="472">
        <v>2970191.1851691948</v>
      </c>
      <c r="Z35" s="472">
        <v>3045368.981411125</v>
      </c>
      <c r="AA35" s="472">
        <v>3122449.5848110663</v>
      </c>
      <c r="AB35" s="472">
        <v>3201481.156864319</v>
      </c>
      <c r="AC35" s="472">
        <v>3282513.078070234</v>
      </c>
      <c r="AD35" s="472">
        <v>3365595.9787861314</v>
      </c>
      <c r="AE35" s="472">
        <v>3450781.7708621523</v>
      </c>
      <c r="AF35" s="472">
        <v>3538123.6800768184</v>
      </c>
      <c r="AG35" s="472">
        <v>3627676.2793935603</v>
      </c>
      <c r="AH35" s="472">
        <v>3719495.5230589835</v>
      </c>
      <c r="AI35" s="472">
        <v>0</v>
      </c>
      <c r="AJ35" s="457">
        <v>9</v>
      </c>
      <c r="AK35" s="457">
        <v>12</v>
      </c>
      <c r="AL35" s="457">
        <v>12</v>
      </c>
      <c r="AM35" s="457">
        <v>12</v>
      </c>
      <c r="AN35" s="457">
        <v>12</v>
      </c>
      <c r="AO35" s="457">
        <v>12</v>
      </c>
      <c r="AP35" s="457">
        <v>12</v>
      </c>
      <c r="AQ35" s="457">
        <v>12</v>
      </c>
      <c r="AR35" s="457">
        <v>12</v>
      </c>
      <c r="AS35" s="457">
        <v>12</v>
      </c>
      <c r="AT35" s="457">
        <v>12</v>
      </c>
      <c r="AU35" s="458">
        <v>1</v>
      </c>
      <c r="AV35" s="510">
        <v>1.02531076</v>
      </c>
      <c r="AW35" s="456">
        <v>0</v>
      </c>
      <c r="AX35" s="443">
        <v>441710579.0370025</v>
      </c>
      <c r="AY35" s="443">
        <v>30200722.585079163</v>
      </c>
      <c r="AZ35" s="443">
        <v>41286834.435008876</v>
      </c>
      <c r="BA35" s="443">
        <v>42331835.592553146</v>
      </c>
      <c r="BB35" s="443">
        <v>43403286.523595728</v>
      </c>
      <c r="BC35" s="443">
        <v>44501856.692005694</v>
      </c>
      <c r="BD35" s="443">
        <v>45628232.506291442</v>
      </c>
      <c r="BE35" s="443">
        <v>46783117.748482376</v>
      </c>
      <c r="BF35" s="443">
        <v>47967234.013865955</v>
      </c>
      <c r="BG35" s="443">
        <v>49181321.161854751</v>
      </c>
      <c r="BH35" s="443">
        <v>50426137.778265394</v>
      </c>
      <c r="BI35" s="443">
        <v>0</v>
      </c>
      <c r="BJ35" s="531">
        <v>0</v>
      </c>
      <c r="BK35" s="531">
        <v>0</v>
      </c>
      <c r="BL35" s="531">
        <v>0</v>
      </c>
      <c r="BM35" s="442">
        <v>3355635.8427865743</v>
      </c>
      <c r="BN35" s="443">
        <v>3355635.8427865743</v>
      </c>
      <c r="BO35" s="443">
        <v>3355635.8427865743</v>
      </c>
      <c r="BP35" s="443">
        <v>3355635.8427865743</v>
      </c>
      <c r="BQ35" s="443">
        <v>3355635.8427865743</v>
      </c>
      <c r="BR35" s="443">
        <v>3355635.8427865743</v>
      </c>
      <c r="BS35" s="443">
        <v>3355635.8427865743</v>
      </c>
      <c r="BT35" s="443">
        <v>3355635.8427865743</v>
      </c>
      <c r="BU35" s="443">
        <v>3355635.8427865743</v>
      </c>
      <c r="BV35" s="443">
        <v>3440569.5362507398</v>
      </c>
      <c r="BW35" s="443">
        <v>3440569.5362507398</v>
      </c>
      <c r="BX35" s="443">
        <v>3440569.5362507398</v>
      </c>
      <c r="BY35" s="443">
        <v>3440569.5362507398</v>
      </c>
      <c r="BZ35" s="443">
        <v>3440569.5362507398</v>
      </c>
      <c r="CA35" s="443">
        <v>3440569.5362507398</v>
      </c>
      <c r="CB35" s="443">
        <v>3440569.5362507398</v>
      </c>
      <c r="CC35" s="443">
        <v>3440569.5362507398</v>
      </c>
      <c r="CD35" s="443">
        <v>3440569.5362507398</v>
      </c>
      <c r="CE35" s="443">
        <v>3440569.5362507398</v>
      </c>
      <c r="CF35" s="443">
        <v>3440569.5362507398</v>
      </c>
      <c r="CG35" s="443">
        <v>3440569.5362507398</v>
      </c>
      <c r="CH35" s="443">
        <v>3527652.9660460958</v>
      </c>
      <c r="CI35" s="443">
        <v>3527652.9660460958</v>
      </c>
      <c r="CJ35" s="443">
        <v>3527652.9660460958</v>
      </c>
      <c r="CK35" s="443">
        <v>3527652.9660460958</v>
      </c>
      <c r="CL35" s="443">
        <v>3527652.9660460958</v>
      </c>
      <c r="CM35" s="443">
        <v>3527652.9660460958</v>
      </c>
      <c r="CN35" s="443">
        <v>3527652.9660460958</v>
      </c>
      <c r="CO35" s="443">
        <v>3527652.9660460958</v>
      </c>
      <c r="CP35" s="443">
        <v>3527652.9660460958</v>
      </c>
      <c r="CQ35" s="443">
        <v>3527652.9660460958</v>
      </c>
      <c r="CR35" s="443">
        <v>3527652.9660460958</v>
      </c>
      <c r="CS35" s="443">
        <v>3527652.9660460958</v>
      </c>
      <c r="CT35" s="443">
        <v>3616940.5436329772</v>
      </c>
      <c r="CU35" s="443">
        <v>3616940.5436329772</v>
      </c>
      <c r="CV35" s="443">
        <v>3616940.5436329772</v>
      </c>
      <c r="CW35" s="443">
        <v>3616940.5436329772</v>
      </c>
      <c r="CX35" s="443">
        <v>3616940.5436329772</v>
      </c>
      <c r="CY35" s="443">
        <v>3616940.5436329772</v>
      </c>
      <c r="CZ35" s="443">
        <v>3616940.5436329772</v>
      </c>
      <c r="DA35" s="443">
        <v>3616940.5436329772</v>
      </c>
      <c r="DB35" s="443">
        <v>3616940.5436329772</v>
      </c>
      <c r="DC35" s="443">
        <v>3616940.5436329772</v>
      </c>
      <c r="DD35" s="443">
        <v>3616940.5436329772</v>
      </c>
      <c r="DE35" s="443">
        <v>3616940.5436329772</v>
      </c>
      <c r="DF35" s="443">
        <v>3708488.0576671408</v>
      </c>
      <c r="DG35" s="443">
        <v>3708488.0576671408</v>
      </c>
      <c r="DH35" s="443">
        <v>3708488.0576671408</v>
      </c>
      <c r="DI35" s="443">
        <v>3708488.0576671408</v>
      </c>
      <c r="DJ35" s="443">
        <v>3708488.0576671408</v>
      </c>
      <c r="DK35" s="443">
        <v>3708488.0576671408</v>
      </c>
      <c r="DL35" s="443">
        <v>3708488.0576671408</v>
      </c>
      <c r="DM35" s="443">
        <v>3708488.0576671408</v>
      </c>
      <c r="DN35" s="443">
        <v>3708488.0576671408</v>
      </c>
      <c r="DO35" s="443">
        <v>3708488.0576671408</v>
      </c>
      <c r="DP35" s="443">
        <v>3708488.0576671408</v>
      </c>
      <c r="DQ35" s="443">
        <v>3708488.0576671408</v>
      </c>
      <c r="DR35" s="443">
        <v>3802352.7088576206</v>
      </c>
      <c r="DS35" s="443">
        <v>3802352.7088576206</v>
      </c>
      <c r="DT35" s="443">
        <v>3802352.7088576206</v>
      </c>
      <c r="DU35" s="443">
        <v>3802352.7088576206</v>
      </c>
      <c r="DV35" s="443">
        <v>3802352.7088576206</v>
      </c>
      <c r="DW35" s="443">
        <v>3802352.7088576206</v>
      </c>
      <c r="DX35" s="443">
        <v>3802352.7088576206</v>
      </c>
      <c r="DY35" s="443">
        <v>3802352.7088576206</v>
      </c>
      <c r="DZ35" s="443">
        <v>3802352.7088576206</v>
      </c>
      <c r="EA35" s="443">
        <v>3802352.7088576206</v>
      </c>
      <c r="EB35" s="443">
        <v>3802352.7088576206</v>
      </c>
      <c r="EC35" s="443">
        <v>3802352.7088576206</v>
      </c>
      <c r="ED35" s="443">
        <v>3898593.1457068655</v>
      </c>
      <c r="EE35" s="443">
        <v>3898593.1457068655</v>
      </c>
      <c r="EF35" s="443">
        <v>3898593.1457068655</v>
      </c>
      <c r="EG35" s="443">
        <v>3898593.1457068655</v>
      </c>
      <c r="EH35" s="443">
        <v>3898593.1457068655</v>
      </c>
      <c r="EI35" s="443">
        <v>3898593.1457068655</v>
      </c>
      <c r="EJ35" s="443">
        <v>3898593.1457068655</v>
      </c>
      <c r="EK35" s="443">
        <v>3898593.1457068655</v>
      </c>
      <c r="EL35" s="443">
        <v>3898593.1457068655</v>
      </c>
      <c r="EM35" s="443">
        <v>3898593.1457068655</v>
      </c>
      <c r="EN35" s="443">
        <v>3898593.1457068655</v>
      </c>
      <c r="EO35" s="443">
        <v>3898593.1457068655</v>
      </c>
      <c r="EP35" s="443">
        <v>3997269.5011554961</v>
      </c>
      <c r="EQ35" s="443">
        <v>3997269.5011554961</v>
      </c>
      <c r="ER35" s="443">
        <v>3997269.5011554961</v>
      </c>
      <c r="ES35" s="443">
        <v>3997269.5011554961</v>
      </c>
      <c r="ET35" s="443">
        <v>3997269.5011554961</v>
      </c>
      <c r="EU35" s="443">
        <v>3997269.5011554961</v>
      </c>
      <c r="EV35" s="443">
        <v>3997269.5011554961</v>
      </c>
      <c r="EW35" s="443">
        <v>3997269.5011554961</v>
      </c>
      <c r="EX35" s="443">
        <v>3997269.5011554961</v>
      </c>
      <c r="EY35" s="443">
        <v>3997269.5011554961</v>
      </c>
      <c r="EZ35" s="443">
        <v>3997269.5011554961</v>
      </c>
      <c r="FA35" s="443">
        <v>3997269.5011554961</v>
      </c>
      <c r="FB35" s="443">
        <v>4098443.4301545634</v>
      </c>
      <c r="FC35" s="443">
        <v>4098443.4301545634</v>
      </c>
      <c r="FD35" s="443">
        <v>4098443.4301545634</v>
      </c>
      <c r="FE35" s="443">
        <v>4098443.4301545634</v>
      </c>
      <c r="FF35" s="443">
        <v>4098443.4301545634</v>
      </c>
      <c r="FG35" s="443">
        <v>4098443.4301545634</v>
      </c>
      <c r="FH35" s="443">
        <v>4098443.4301545634</v>
      </c>
      <c r="FI35" s="443">
        <v>4098443.4301545634</v>
      </c>
      <c r="FJ35" s="443">
        <v>4098443.4301545634</v>
      </c>
      <c r="FK35" s="443">
        <v>4098443.4301545634</v>
      </c>
      <c r="FL35" s="443">
        <v>4098443.4301545634</v>
      </c>
      <c r="FM35" s="443">
        <v>4098443.4301545634</v>
      </c>
      <c r="FN35" s="443">
        <v>4202178.1481887819</v>
      </c>
      <c r="FO35" s="443">
        <v>4202178.1481887819</v>
      </c>
      <c r="FP35" s="443">
        <v>4202178.1481887819</v>
      </c>
      <c r="FQ35" s="443">
        <v>4202178.1481887819</v>
      </c>
      <c r="FR35" s="443">
        <v>4202178.1481887819</v>
      </c>
      <c r="FS35" s="443">
        <v>4202178.1481887819</v>
      </c>
      <c r="FT35" s="443">
        <v>4202178.1481887819</v>
      </c>
      <c r="FU35" s="443">
        <v>4202178.1481887819</v>
      </c>
      <c r="FV35" s="443">
        <v>4202178.1481887819</v>
      </c>
      <c r="FW35" s="443">
        <v>4202178.1481887819</v>
      </c>
      <c r="FX35" s="443">
        <v>4202178.1481887819</v>
      </c>
      <c r="FY35" s="443">
        <v>4202178.1481887819</v>
      </c>
      <c r="FZ35" s="443">
        <v>0</v>
      </c>
      <c r="GA35" s="443">
        <v>0</v>
      </c>
      <c r="GB35" s="443">
        <v>0</v>
      </c>
      <c r="GC35" s="443">
        <v>0</v>
      </c>
      <c r="GD35" s="443">
        <v>0</v>
      </c>
      <c r="GE35" s="443">
        <v>0</v>
      </c>
      <c r="GF35" s="443">
        <v>0</v>
      </c>
      <c r="GG35" s="443">
        <v>0</v>
      </c>
      <c r="GH35" s="443">
        <v>0</v>
      </c>
      <c r="GI35" s="443">
        <v>0</v>
      </c>
      <c r="GJ35" s="443">
        <v>0</v>
      </c>
      <c r="GK35" s="33">
        <v>0</v>
      </c>
      <c r="GL35" s="27"/>
    </row>
    <row r="36" spans="1:194">
      <c r="A36" s="459" t="s">
        <v>1230</v>
      </c>
      <c r="B36" s="456" t="s">
        <v>1184</v>
      </c>
      <c r="C36" s="541" t="s">
        <v>176</v>
      </c>
      <c r="D36" s="456" t="s">
        <v>1207</v>
      </c>
      <c r="E36" s="463" t="s">
        <v>1223</v>
      </c>
      <c r="F36" s="456"/>
      <c r="G36" s="456"/>
      <c r="H36" s="464">
        <v>0</v>
      </c>
      <c r="I36" s="456">
        <v>0</v>
      </c>
      <c r="J36" s="456" t="s">
        <v>1237</v>
      </c>
      <c r="K36" s="456">
        <v>0</v>
      </c>
      <c r="L36" s="456" t="s">
        <v>183</v>
      </c>
      <c r="M36" s="470">
        <v>1.1297709923664132</v>
      </c>
      <c r="N36" s="470">
        <v>1.1297709923664132</v>
      </c>
      <c r="O36" s="470">
        <v>1.1297709923664141</v>
      </c>
      <c r="P36" s="470">
        <v>1.1297709923664141</v>
      </c>
      <c r="Q36" s="470">
        <v>1.1297709923664141</v>
      </c>
      <c r="R36" s="470">
        <v>1.1297709923664141</v>
      </c>
      <c r="S36" s="470">
        <v>1.1297709923664141</v>
      </c>
      <c r="T36" s="470">
        <v>1.1297709923664141</v>
      </c>
      <c r="U36" s="470">
        <v>1.1297709923664141</v>
      </c>
      <c r="V36" s="470">
        <v>1.1297709923664141</v>
      </c>
      <c r="W36" s="470">
        <v>0</v>
      </c>
      <c r="X36" s="457">
        <v>3</v>
      </c>
      <c r="Y36" s="472">
        <v>2970191.1851691948</v>
      </c>
      <c r="Z36" s="472">
        <v>3045368.981411125</v>
      </c>
      <c r="AA36" s="472">
        <v>3122449.5848110663</v>
      </c>
      <c r="AB36" s="472">
        <v>3201481.156864319</v>
      </c>
      <c r="AC36" s="472">
        <v>3282513.078070234</v>
      </c>
      <c r="AD36" s="472">
        <v>3365595.9787861314</v>
      </c>
      <c r="AE36" s="472">
        <v>3450781.7708621523</v>
      </c>
      <c r="AF36" s="472">
        <v>3538123.6800768184</v>
      </c>
      <c r="AG36" s="472">
        <v>3627676.2793935603</v>
      </c>
      <c r="AH36" s="472">
        <v>3719495.5230589835</v>
      </c>
      <c r="AI36" s="472">
        <v>0</v>
      </c>
      <c r="AJ36" s="457">
        <v>9</v>
      </c>
      <c r="AK36" s="457">
        <v>12</v>
      </c>
      <c r="AL36" s="457">
        <v>12</v>
      </c>
      <c r="AM36" s="457">
        <v>12</v>
      </c>
      <c r="AN36" s="457">
        <v>12</v>
      </c>
      <c r="AO36" s="457">
        <v>12</v>
      </c>
      <c r="AP36" s="457">
        <v>12</v>
      </c>
      <c r="AQ36" s="457">
        <v>12</v>
      </c>
      <c r="AR36" s="457">
        <v>12</v>
      </c>
      <c r="AS36" s="457">
        <v>12</v>
      </c>
      <c r="AT36" s="457">
        <v>12</v>
      </c>
      <c r="AU36" s="458">
        <v>1</v>
      </c>
      <c r="AV36" s="510">
        <v>1.02531076</v>
      </c>
      <c r="AW36" s="456">
        <v>0</v>
      </c>
      <c r="AX36" s="443">
        <v>441710579.0370025</v>
      </c>
      <c r="AY36" s="443">
        <v>30200722.585079163</v>
      </c>
      <c r="AZ36" s="443">
        <v>41286834.435008876</v>
      </c>
      <c r="BA36" s="443">
        <v>42331835.592553146</v>
      </c>
      <c r="BB36" s="443">
        <v>43403286.523595728</v>
      </c>
      <c r="BC36" s="443">
        <v>44501856.692005694</v>
      </c>
      <c r="BD36" s="443">
        <v>45628232.506291442</v>
      </c>
      <c r="BE36" s="443">
        <v>46783117.748482376</v>
      </c>
      <c r="BF36" s="443">
        <v>47967234.013865955</v>
      </c>
      <c r="BG36" s="443">
        <v>49181321.161854751</v>
      </c>
      <c r="BH36" s="443">
        <v>50426137.778265394</v>
      </c>
      <c r="BI36" s="443">
        <v>0</v>
      </c>
      <c r="BJ36" s="531">
        <v>0</v>
      </c>
      <c r="BK36" s="531">
        <v>0</v>
      </c>
      <c r="BL36" s="531">
        <v>0</v>
      </c>
      <c r="BM36" s="442">
        <v>3355635.8427865743</v>
      </c>
      <c r="BN36" s="443">
        <v>3355635.8427865743</v>
      </c>
      <c r="BO36" s="443">
        <v>3355635.8427865743</v>
      </c>
      <c r="BP36" s="443">
        <v>3355635.8427865743</v>
      </c>
      <c r="BQ36" s="443">
        <v>3355635.8427865743</v>
      </c>
      <c r="BR36" s="443">
        <v>3355635.8427865743</v>
      </c>
      <c r="BS36" s="443">
        <v>3355635.8427865743</v>
      </c>
      <c r="BT36" s="443">
        <v>3355635.8427865743</v>
      </c>
      <c r="BU36" s="443">
        <v>3355635.8427865743</v>
      </c>
      <c r="BV36" s="443">
        <v>3440569.5362507398</v>
      </c>
      <c r="BW36" s="443">
        <v>3440569.5362507398</v>
      </c>
      <c r="BX36" s="443">
        <v>3440569.5362507398</v>
      </c>
      <c r="BY36" s="443">
        <v>3440569.5362507398</v>
      </c>
      <c r="BZ36" s="443">
        <v>3440569.5362507398</v>
      </c>
      <c r="CA36" s="443">
        <v>3440569.5362507398</v>
      </c>
      <c r="CB36" s="443">
        <v>3440569.5362507398</v>
      </c>
      <c r="CC36" s="443">
        <v>3440569.5362507398</v>
      </c>
      <c r="CD36" s="443">
        <v>3440569.5362507398</v>
      </c>
      <c r="CE36" s="443">
        <v>3440569.5362507398</v>
      </c>
      <c r="CF36" s="443">
        <v>3440569.5362507398</v>
      </c>
      <c r="CG36" s="443">
        <v>3440569.5362507398</v>
      </c>
      <c r="CH36" s="443">
        <v>3527652.9660460958</v>
      </c>
      <c r="CI36" s="443">
        <v>3527652.9660460958</v>
      </c>
      <c r="CJ36" s="443">
        <v>3527652.9660460958</v>
      </c>
      <c r="CK36" s="443">
        <v>3527652.9660460958</v>
      </c>
      <c r="CL36" s="443">
        <v>3527652.9660460958</v>
      </c>
      <c r="CM36" s="443">
        <v>3527652.9660460958</v>
      </c>
      <c r="CN36" s="443">
        <v>3527652.9660460958</v>
      </c>
      <c r="CO36" s="443">
        <v>3527652.9660460958</v>
      </c>
      <c r="CP36" s="443">
        <v>3527652.9660460958</v>
      </c>
      <c r="CQ36" s="443">
        <v>3527652.9660460958</v>
      </c>
      <c r="CR36" s="443">
        <v>3527652.9660460958</v>
      </c>
      <c r="CS36" s="443">
        <v>3527652.9660460958</v>
      </c>
      <c r="CT36" s="443">
        <v>3616940.5436329772</v>
      </c>
      <c r="CU36" s="443">
        <v>3616940.5436329772</v>
      </c>
      <c r="CV36" s="443">
        <v>3616940.5436329772</v>
      </c>
      <c r="CW36" s="443">
        <v>3616940.5436329772</v>
      </c>
      <c r="CX36" s="443">
        <v>3616940.5436329772</v>
      </c>
      <c r="CY36" s="443">
        <v>3616940.5436329772</v>
      </c>
      <c r="CZ36" s="443">
        <v>3616940.5436329772</v>
      </c>
      <c r="DA36" s="443">
        <v>3616940.5436329772</v>
      </c>
      <c r="DB36" s="443">
        <v>3616940.5436329772</v>
      </c>
      <c r="DC36" s="443">
        <v>3616940.5436329772</v>
      </c>
      <c r="DD36" s="443">
        <v>3616940.5436329772</v>
      </c>
      <c r="DE36" s="443">
        <v>3616940.5436329772</v>
      </c>
      <c r="DF36" s="443">
        <v>3708488.0576671408</v>
      </c>
      <c r="DG36" s="443">
        <v>3708488.0576671408</v>
      </c>
      <c r="DH36" s="443">
        <v>3708488.0576671408</v>
      </c>
      <c r="DI36" s="443">
        <v>3708488.0576671408</v>
      </c>
      <c r="DJ36" s="443">
        <v>3708488.0576671408</v>
      </c>
      <c r="DK36" s="443">
        <v>3708488.0576671408</v>
      </c>
      <c r="DL36" s="443">
        <v>3708488.0576671408</v>
      </c>
      <c r="DM36" s="443">
        <v>3708488.0576671408</v>
      </c>
      <c r="DN36" s="443">
        <v>3708488.0576671408</v>
      </c>
      <c r="DO36" s="443">
        <v>3708488.0576671408</v>
      </c>
      <c r="DP36" s="443">
        <v>3708488.0576671408</v>
      </c>
      <c r="DQ36" s="443">
        <v>3708488.0576671408</v>
      </c>
      <c r="DR36" s="443">
        <v>3802352.7088576206</v>
      </c>
      <c r="DS36" s="443">
        <v>3802352.7088576206</v>
      </c>
      <c r="DT36" s="443">
        <v>3802352.7088576206</v>
      </c>
      <c r="DU36" s="443">
        <v>3802352.7088576206</v>
      </c>
      <c r="DV36" s="443">
        <v>3802352.7088576206</v>
      </c>
      <c r="DW36" s="443">
        <v>3802352.7088576206</v>
      </c>
      <c r="DX36" s="443">
        <v>3802352.7088576206</v>
      </c>
      <c r="DY36" s="443">
        <v>3802352.7088576206</v>
      </c>
      <c r="DZ36" s="443">
        <v>3802352.7088576206</v>
      </c>
      <c r="EA36" s="443">
        <v>3802352.7088576206</v>
      </c>
      <c r="EB36" s="443">
        <v>3802352.7088576206</v>
      </c>
      <c r="EC36" s="443">
        <v>3802352.7088576206</v>
      </c>
      <c r="ED36" s="443">
        <v>3898593.1457068655</v>
      </c>
      <c r="EE36" s="443">
        <v>3898593.1457068655</v>
      </c>
      <c r="EF36" s="443">
        <v>3898593.1457068655</v>
      </c>
      <c r="EG36" s="443">
        <v>3898593.1457068655</v>
      </c>
      <c r="EH36" s="443">
        <v>3898593.1457068655</v>
      </c>
      <c r="EI36" s="443">
        <v>3898593.1457068655</v>
      </c>
      <c r="EJ36" s="443">
        <v>3898593.1457068655</v>
      </c>
      <c r="EK36" s="443">
        <v>3898593.1457068655</v>
      </c>
      <c r="EL36" s="443">
        <v>3898593.1457068655</v>
      </c>
      <c r="EM36" s="443">
        <v>3898593.1457068655</v>
      </c>
      <c r="EN36" s="443">
        <v>3898593.1457068655</v>
      </c>
      <c r="EO36" s="443">
        <v>3898593.1457068655</v>
      </c>
      <c r="EP36" s="443">
        <v>3997269.5011554961</v>
      </c>
      <c r="EQ36" s="443">
        <v>3997269.5011554961</v>
      </c>
      <c r="ER36" s="443">
        <v>3997269.5011554961</v>
      </c>
      <c r="ES36" s="443">
        <v>3997269.5011554961</v>
      </c>
      <c r="ET36" s="443">
        <v>3997269.5011554961</v>
      </c>
      <c r="EU36" s="443">
        <v>3997269.5011554961</v>
      </c>
      <c r="EV36" s="443">
        <v>3997269.5011554961</v>
      </c>
      <c r="EW36" s="443">
        <v>3997269.5011554961</v>
      </c>
      <c r="EX36" s="443">
        <v>3997269.5011554961</v>
      </c>
      <c r="EY36" s="443">
        <v>3997269.5011554961</v>
      </c>
      <c r="EZ36" s="443">
        <v>3997269.5011554961</v>
      </c>
      <c r="FA36" s="443">
        <v>3997269.5011554961</v>
      </c>
      <c r="FB36" s="443">
        <v>4098443.4301545634</v>
      </c>
      <c r="FC36" s="443">
        <v>4098443.4301545634</v>
      </c>
      <c r="FD36" s="443">
        <v>4098443.4301545634</v>
      </c>
      <c r="FE36" s="443">
        <v>4098443.4301545634</v>
      </c>
      <c r="FF36" s="443">
        <v>4098443.4301545634</v>
      </c>
      <c r="FG36" s="443">
        <v>4098443.4301545634</v>
      </c>
      <c r="FH36" s="443">
        <v>4098443.4301545634</v>
      </c>
      <c r="FI36" s="443">
        <v>4098443.4301545634</v>
      </c>
      <c r="FJ36" s="443">
        <v>4098443.4301545634</v>
      </c>
      <c r="FK36" s="443">
        <v>4098443.4301545634</v>
      </c>
      <c r="FL36" s="443">
        <v>4098443.4301545634</v>
      </c>
      <c r="FM36" s="443">
        <v>4098443.4301545634</v>
      </c>
      <c r="FN36" s="443">
        <v>4202178.1481887819</v>
      </c>
      <c r="FO36" s="443">
        <v>4202178.1481887819</v>
      </c>
      <c r="FP36" s="443">
        <v>4202178.1481887819</v>
      </c>
      <c r="FQ36" s="443">
        <v>4202178.1481887819</v>
      </c>
      <c r="FR36" s="443">
        <v>4202178.1481887819</v>
      </c>
      <c r="FS36" s="443">
        <v>4202178.1481887819</v>
      </c>
      <c r="FT36" s="443">
        <v>4202178.1481887819</v>
      </c>
      <c r="FU36" s="443">
        <v>4202178.1481887819</v>
      </c>
      <c r="FV36" s="443">
        <v>4202178.1481887819</v>
      </c>
      <c r="FW36" s="443">
        <v>4202178.1481887819</v>
      </c>
      <c r="FX36" s="443">
        <v>4202178.1481887819</v>
      </c>
      <c r="FY36" s="443">
        <v>4202178.1481887819</v>
      </c>
      <c r="FZ36" s="443">
        <v>0</v>
      </c>
      <c r="GA36" s="443">
        <v>0</v>
      </c>
      <c r="GB36" s="443">
        <v>0</v>
      </c>
      <c r="GC36" s="443">
        <v>0</v>
      </c>
      <c r="GD36" s="443">
        <v>0</v>
      </c>
      <c r="GE36" s="443">
        <v>0</v>
      </c>
      <c r="GF36" s="443">
        <v>0</v>
      </c>
      <c r="GG36" s="443">
        <v>0</v>
      </c>
      <c r="GH36" s="443">
        <v>0</v>
      </c>
      <c r="GI36" s="443">
        <v>0</v>
      </c>
      <c r="GJ36" s="443">
        <v>0</v>
      </c>
      <c r="GK36" s="33">
        <v>0</v>
      </c>
      <c r="GL36" s="27"/>
    </row>
    <row r="37" spans="1:194">
      <c r="A37" s="459" t="s">
        <v>1231</v>
      </c>
      <c r="B37" s="456" t="s">
        <v>1184</v>
      </c>
      <c r="C37" s="541" t="s">
        <v>176</v>
      </c>
      <c r="D37" s="456" t="s">
        <v>1212</v>
      </c>
      <c r="E37" s="463" t="s">
        <v>1224</v>
      </c>
      <c r="F37" s="456"/>
      <c r="G37" s="456"/>
      <c r="H37" s="464">
        <v>0</v>
      </c>
      <c r="I37" s="456">
        <v>0</v>
      </c>
      <c r="J37" s="456" t="s">
        <v>1237</v>
      </c>
      <c r="K37" s="456">
        <v>0</v>
      </c>
      <c r="L37" s="456" t="s">
        <v>183</v>
      </c>
      <c r="M37" s="470">
        <v>2.2595419847328264</v>
      </c>
      <c r="N37" s="470">
        <v>2.2595419847328264</v>
      </c>
      <c r="O37" s="470">
        <v>2.2595419847328282</v>
      </c>
      <c r="P37" s="470">
        <v>2.2595419847328282</v>
      </c>
      <c r="Q37" s="470">
        <v>2.2595419847328282</v>
      </c>
      <c r="R37" s="470">
        <v>2.2595419847328282</v>
      </c>
      <c r="S37" s="470">
        <v>2.2595419847328282</v>
      </c>
      <c r="T37" s="470">
        <v>2.2595419847328282</v>
      </c>
      <c r="U37" s="470">
        <v>2.2595419847328282</v>
      </c>
      <c r="V37" s="470">
        <v>2.2595419847328282</v>
      </c>
      <c r="W37" s="470">
        <v>0</v>
      </c>
      <c r="X37" s="457">
        <v>3</v>
      </c>
      <c r="Y37" s="472">
        <v>2970191.1851691948</v>
      </c>
      <c r="Z37" s="472">
        <v>3045368.981411125</v>
      </c>
      <c r="AA37" s="472">
        <v>3122449.5848110663</v>
      </c>
      <c r="AB37" s="472">
        <v>3201481.156864319</v>
      </c>
      <c r="AC37" s="472">
        <v>3282513.078070234</v>
      </c>
      <c r="AD37" s="472">
        <v>3365595.9787861314</v>
      </c>
      <c r="AE37" s="472">
        <v>3450781.7708621523</v>
      </c>
      <c r="AF37" s="472">
        <v>3538123.6800768184</v>
      </c>
      <c r="AG37" s="472">
        <v>3627676.2793935603</v>
      </c>
      <c r="AH37" s="472">
        <v>3719495.5230589835</v>
      </c>
      <c r="AI37" s="472">
        <v>0</v>
      </c>
      <c r="AJ37" s="457">
        <v>9</v>
      </c>
      <c r="AK37" s="457">
        <v>12</v>
      </c>
      <c r="AL37" s="457">
        <v>12</v>
      </c>
      <c r="AM37" s="457">
        <v>12</v>
      </c>
      <c r="AN37" s="457">
        <v>12</v>
      </c>
      <c r="AO37" s="457">
        <v>12</v>
      </c>
      <c r="AP37" s="457">
        <v>12</v>
      </c>
      <c r="AQ37" s="457">
        <v>12</v>
      </c>
      <c r="AR37" s="457">
        <v>12</v>
      </c>
      <c r="AS37" s="457">
        <v>12</v>
      </c>
      <c r="AT37" s="457">
        <v>12</v>
      </c>
      <c r="AU37" s="458">
        <v>1</v>
      </c>
      <c r="AV37" s="510">
        <v>1.02531076</v>
      </c>
      <c r="AW37" s="456">
        <v>0</v>
      </c>
      <c r="AX37" s="443">
        <v>883421158.07400501</v>
      </c>
      <c r="AY37" s="443">
        <v>60401445.170158327</v>
      </c>
      <c r="AZ37" s="443">
        <v>82573668.870017752</v>
      </c>
      <c r="BA37" s="443">
        <v>84663671.185106292</v>
      </c>
      <c r="BB37" s="443">
        <v>86806573.047191456</v>
      </c>
      <c r="BC37" s="443">
        <v>89003713.384011388</v>
      </c>
      <c r="BD37" s="443">
        <v>91256465.012582883</v>
      </c>
      <c r="BE37" s="443">
        <v>93566235.496964753</v>
      </c>
      <c r="BF37" s="443">
        <v>95934468.02773191</v>
      </c>
      <c r="BG37" s="443">
        <v>98362642.323709503</v>
      </c>
      <c r="BH37" s="443">
        <v>100852275.55653079</v>
      </c>
      <c r="BI37" s="443">
        <v>0</v>
      </c>
      <c r="BJ37" s="531">
        <v>0</v>
      </c>
      <c r="BK37" s="531">
        <v>0</v>
      </c>
      <c r="BL37" s="531">
        <v>0</v>
      </c>
      <c r="BM37" s="442">
        <v>6711271.6855731485</v>
      </c>
      <c r="BN37" s="443">
        <v>6711271.6855731485</v>
      </c>
      <c r="BO37" s="443">
        <v>6711271.6855731485</v>
      </c>
      <c r="BP37" s="443">
        <v>6711271.6855731485</v>
      </c>
      <c r="BQ37" s="443">
        <v>6711271.6855731485</v>
      </c>
      <c r="BR37" s="443">
        <v>6711271.6855731485</v>
      </c>
      <c r="BS37" s="443">
        <v>6711271.6855731485</v>
      </c>
      <c r="BT37" s="443">
        <v>6711271.6855731485</v>
      </c>
      <c r="BU37" s="443">
        <v>6711271.6855731485</v>
      </c>
      <c r="BV37" s="443">
        <v>6881139.0725014796</v>
      </c>
      <c r="BW37" s="443">
        <v>6881139.0725014796</v>
      </c>
      <c r="BX37" s="443">
        <v>6881139.0725014796</v>
      </c>
      <c r="BY37" s="443">
        <v>6881139.0725014796</v>
      </c>
      <c r="BZ37" s="443">
        <v>6881139.0725014796</v>
      </c>
      <c r="CA37" s="443">
        <v>6881139.0725014796</v>
      </c>
      <c r="CB37" s="443">
        <v>6881139.0725014796</v>
      </c>
      <c r="CC37" s="443">
        <v>6881139.0725014796</v>
      </c>
      <c r="CD37" s="443">
        <v>6881139.0725014796</v>
      </c>
      <c r="CE37" s="443">
        <v>6881139.0725014796</v>
      </c>
      <c r="CF37" s="443">
        <v>6881139.0725014796</v>
      </c>
      <c r="CG37" s="443">
        <v>6881139.0725014796</v>
      </c>
      <c r="CH37" s="443">
        <v>7055305.9320921917</v>
      </c>
      <c r="CI37" s="443">
        <v>7055305.9320921917</v>
      </c>
      <c r="CJ37" s="443">
        <v>7055305.9320921917</v>
      </c>
      <c r="CK37" s="443">
        <v>7055305.9320921917</v>
      </c>
      <c r="CL37" s="443">
        <v>7055305.9320921917</v>
      </c>
      <c r="CM37" s="443">
        <v>7055305.9320921917</v>
      </c>
      <c r="CN37" s="443">
        <v>7055305.9320921917</v>
      </c>
      <c r="CO37" s="443">
        <v>7055305.9320921917</v>
      </c>
      <c r="CP37" s="443">
        <v>7055305.9320921917</v>
      </c>
      <c r="CQ37" s="443">
        <v>7055305.9320921917</v>
      </c>
      <c r="CR37" s="443">
        <v>7055305.9320921917</v>
      </c>
      <c r="CS37" s="443">
        <v>7055305.9320921917</v>
      </c>
      <c r="CT37" s="443">
        <v>7233881.0872659544</v>
      </c>
      <c r="CU37" s="443">
        <v>7233881.0872659544</v>
      </c>
      <c r="CV37" s="443">
        <v>7233881.0872659544</v>
      </c>
      <c r="CW37" s="443">
        <v>7233881.0872659544</v>
      </c>
      <c r="CX37" s="443">
        <v>7233881.0872659544</v>
      </c>
      <c r="CY37" s="443">
        <v>7233881.0872659544</v>
      </c>
      <c r="CZ37" s="443">
        <v>7233881.0872659544</v>
      </c>
      <c r="DA37" s="443">
        <v>7233881.0872659544</v>
      </c>
      <c r="DB37" s="443">
        <v>7233881.0872659544</v>
      </c>
      <c r="DC37" s="443">
        <v>7233881.0872659544</v>
      </c>
      <c r="DD37" s="443">
        <v>7233881.0872659544</v>
      </c>
      <c r="DE37" s="443">
        <v>7233881.0872659544</v>
      </c>
      <c r="DF37" s="443">
        <v>7416976.1153342817</v>
      </c>
      <c r="DG37" s="443">
        <v>7416976.1153342817</v>
      </c>
      <c r="DH37" s="443">
        <v>7416976.1153342817</v>
      </c>
      <c r="DI37" s="443">
        <v>7416976.1153342817</v>
      </c>
      <c r="DJ37" s="443">
        <v>7416976.1153342817</v>
      </c>
      <c r="DK37" s="443">
        <v>7416976.1153342817</v>
      </c>
      <c r="DL37" s="443">
        <v>7416976.1153342817</v>
      </c>
      <c r="DM37" s="443">
        <v>7416976.1153342817</v>
      </c>
      <c r="DN37" s="443">
        <v>7416976.1153342817</v>
      </c>
      <c r="DO37" s="443">
        <v>7416976.1153342817</v>
      </c>
      <c r="DP37" s="443">
        <v>7416976.1153342817</v>
      </c>
      <c r="DQ37" s="443">
        <v>7416976.1153342817</v>
      </c>
      <c r="DR37" s="443">
        <v>7604705.4177152412</v>
      </c>
      <c r="DS37" s="443">
        <v>7604705.4177152412</v>
      </c>
      <c r="DT37" s="443">
        <v>7604705.4177152412</v>
      </c>
      <c r="DU37" s="443">
        <v>7604705.4177152412</v>
      </c>
      <c r="DV37" s="443">
        <v>7604705.4177152412</v>
      </c>
      <c r="DW37" s="443">
        <v>7604705.4177152412</v>
      </c>
      <c r="DX37" s="443">
        <v>7604705.4177152412</v>
      </c>
      <c r="DY37" s="443">
        <v>7604705.4177152412</v>
      </c>
      <c r="DZ37" s="443">
        <v>7604705.4177152412</v>
      </c>
      <c r="EA37" s="443">
        <v>7604705.4177152412</v>
      </c>
      <c r="EB37" s="443">
        <v>7604705.4177152412</v>
      </c>
      <c r="EC37" s="443">
        <v>7604705.4177152412</v>
      </c>
      <c r="ED37" s="443">
        <v>7797186.2914137309</v>
      </c>
      <c r="EE37" s="443">
        <v>7797186.2914137309</v>
      </c>
      <c r="EF37" s="443">
        <v>7797186.2914137309</v>
      </c>
      <c r="EG37" s="443">
        <v>7797186.2914137309</v>
      </c>
      <c r="EH37" s="443">
        <v>7797186.2914137309</v>
      </c>
      <c r="EI37" s="443">
        <v>7797186.2914137309</v>
      </c>
      <c r="EJ37" s="443">
        <v>7797186.2914137309</v>
      </c>
      <c r="EK37" s="443">
        <v>7797186.2914137309</v>
      </c>
      <c r="EL37" s="443">
        <v>7797186.2914137309</v>
      </c>
      <c r="EM37" s="443">
        <v>7797186.2914137309</v>
      </c>
      <c r="EN37" s="443">
        <v>7797186.2914137309</v>
      </c>
      <c r="EO37" s="443">
        <v>7797186.2914137309</v>
      </c>
      <c r="EP37" s="443">
        <v>7994539.0023109922</v>
      </c>
      <c r="EQ37" s="443">
        <v>7994539.0023109922</v>
      </c>
      <c r="ER37" s="443">
        <v>7994539.0023109922</v>
      </c>
      <c r="ES37" s="443">
        <v>7994539.0023109922</v>
      </c>
      <c r="ET37" s="443">
        <v>7994539.0023109922</v>
      </c>
      <c r="EU37" s="443">
        <v>7994539.0023109922</v>
      </c>
      <c r="EV37" s="443">
        <v>7994539.0023109922</v>
      </c>
      <c r="EW37" s="443">
        <v>7994539.0023109922</v>
      </c>
      <c r="EX37" s="443">
        <v>7994539.0023109922</v>
      </c>
      <c r="EY37" s="443">
        <v>7994539.0023109922</v>
      </c>
      <c r="EZ37" s="443">
        <v>7994539.0023109922</v>
      </c>
      <c r="FA37" s="443">
        <v>7994539.0023109922</v>
      </c>
      <c r="FB37" s="443">
        <v>8196886.8603091268</v>
      </c>
      <c r="FC37" s="443">
        <v>8196886.8603091268</v>
      </c>
      <c r="FD37" s="443">
        <v>8196886.8603091268</v>
      </c>
      <c r="FE37" s="443">
        <v>8196886.8603091268</v>
      </c>
      <c r="FF37" s="443">
        <v>8196886.8603091268</v>
      </c>
      <c r="FG37" s="443">
        <v>8196886.8603091268</v>
      </c>
      <c r="FH37" s="443">
        <v>8196886.8603091268</v>
      </c>
      <c r="FI37" s="443">
        <v>8196886.8603091268</v>
      </c>
      <c r="FJ37" s="443">
        <v>8196886.8603091268</v>
      </c>
      <c r="FK37" s="443">
        <v>8196886.8603091268</v>
      </c>
      <c r="FL37" s="443">
        <v>8196886.8603091268</v>
      </c>
      <c r="FM37" s="443">
        <v>8196886.8603091268</v>
      </c>
      <c r="FN37" s="443">
        <v>8404356.2963775638</v>
      </c>
      <c r="FO37" s="443">
        <v>8404356.2963775638</v>
      </c>
      <c r="FP37" s="443">
        <v>8404356.2963775638</v>
      </c>
      <c r="FQ37" s="443">
        <v>8404356.2963775638</v>
      </c>
      <c r="FR37" s="443">
        <v>8404356.2963775638</v>
      </c>
      <c r="FS37" s="443">
        <v>8404356.2963775638</v>
      </c>
      <c r="FT37" s="443">
        <v>8404356.2963775638</v>
      </c>
      <c r="FU37" s="443">
        <v>8404356.2963775638</v>
      </c>
      <c r="FV37" s="443">
        <v>8404356.2963775638</v>
      </c>
      <c r="FW37" s="443">
        <v>8404356.2963775638</v>
      </c>
      <c r="FX37" s="443">
        <v>8404356.2963775638</v>
      </c>
      <c r="FY37" s="443">
        <v>8404356.2963775638</v>
      </c>
      <c r="FZ37" s="443">
        <v>0</v>
      </c>
      <c r="GA37" s="443">
        <v>0</v>
      </c>
      <c r="GB37" s="443">
        <v>0</v>
      </c>
      <c r="GC37" s="443">
        <v>0</v>
      </c>
      <c r="GD37" s="443">
        <v>0</v>
      </c>
      <c r="GE37" s="443">
        <v>0</v>
      </c>
      <c r="GF37" s="443">
        <v>0</v>
      </c>
      <c r="GG37" s="443">
        <v>0</v>
      </c>
      <c r="GH37" s="443">
        <v>0</v>
      </c>
      <c r="GI37" s="443">
        <v>0</v>
      </c>
      <c r="GJ37" s="443">
        <v>0</v>
      </c>
      <c r="GK37" s="33">
        <v>0</v>
      </c>
      <c r="GL37" s="27"/>
    </row>
    <row r="38" spans="1:194">
      <c r="A38" s="459" t="s">
        <v>1232</v>
      </c>
      <c r="B38" s="456" t="s">
        <v>1184</v>
      </c>
      <c r="C38" s="541" t="s">
        <v>176</v>
      </c>
      <c r="D38" s="456" t="s">
        <v>1214</v>
      </c>
      <c r="E38" s="463" t="s">
        <v>1225</v>
      </c>
      <c r="F38" s="456"/>
      <c r="G38" s="456"/>
      <c r="H38" s="464">
        <v>0</v>
      </c>
      <c r="I38" s="456">
        <v>0</v>
      </c>
      <c r="J38" s="456" t="s">
        <v>1237</v>
      </c>
      <c r="K38" s="456">
        <v>0</v>
      </c>
      <c r="L38" s="456" t="s">
        <v>183</v>
      </c>
      <c r="M38" s="470">
        <v>3.3893129770992396</v>
      </c>
      <c r="N38" s="470">
        <v>3.3893129770992396</v>
      </c>
      <c r="O38" s="470">
        <v>3.3893129770992423</v>
      </c>
      <c r="P38" s="470">
        <v>3.3893129770992423</v>
      </c>
      <c r="Q38" s="470">
        <v>3.3893129770992423</v>
      </c>
      <c r="R38" s="470">
        <v>3.3893129770992423</v>
      </c>
      <c r="S38" s="470">
        <v>3.3893129770992423</v>
      </c>
      <c r="T38" s="470">
        <v>3.3893129770992423</v>
      </c>
      <c r="U38" s="470">
        <v>3.3893129770992423</v>
      </c>
      <c r="V38" s="470">
        <v>3.3893129770992423</v>
      </c>
      <c r="W38" s="470">
        <v>0</v>
      </c>
      <c r="X38" s="457">
        <v>3</v>
      </c>
      <c r="Y38" s="472">
        <v>2970191.1851691948</v>
      </c>
      <c r="Z38" s="472">
        <v>3045368.981411125</v>
      </c>
      <c r="AA38" s="472">
        <v>3122449.5848110663</v>
      </c>
      <c r="AB38" s="472">
        <v>3201481.156864319</v>
      </c>
      <c r="AC38" s="472">
        <v>3282513.078070234</v>
      </c>
      <c r="AD38" s="472">
        <v>3365595.9787861314</v>
      </c>
      <c r="AE38" s="472">
        <v>3450781.7708621523</v>
      </c>
      <c r="AF38" s="472">
        <v>3538123.6800768184</v>
      </c>
      <c r="AG38" s="472">
        <v>3627676.2793935603</v>
      </c>
      <c r="AH38" s="472">
        <v>3719495.5230589835</v>
      </c>
      <c r="AI38" s="472">
        <v>0</v>
      </c>
      <c r="AJ38" s="457">
        <v>9</v>
      </c>
      <c r="AK38" s="457">
        <v>12</v>
      </c>
      <c r="AL38" s="457">
        <v>12</v>
      </c>
      <c r="AM38" s="457">
        <v>12</v>
      </c>
      <c r="AN38" s="457">
        <v>12</v>
      </c>
      <c r="AO38" s="457">
        <v>12</v>
      </c>
      <c r="AP38" s="457">
        <v>12</v>
      </c>
      <c r="AQ38" s="457">
        <v>12</v>
      </c>
      <c r="AR38" s="457">
        <v>12</v>
      </c>
      <c r="AS38" s="457">
        <v>12</v>
      </c>
      <c r="AT38" s="457">
        <v>12</v>
      </c>
      <c r="AU38" s="458">
        <v>1</v>
      </c>
      <c r="AV38" s="510">
        <v>1.02531076</v>
      </c>
      <c r="AW38" s="456">
        <v>0</v>
      </c>
      <c r="AX38" s="443">
        <v>1325131737.1110077</v>
      </c>
      <c r="AY38" s="443">
        <v>90602167.75523752</v>
      </c>
      <c r="AZ38" s="443">
        <v>123860503.30502664</v>
      </c>
      <c r="BA38" s="443">
        <v>126995506.77765943</v>
      </c>
      <c r="BB38" s="443">
        <v>130209859.57078721</v>
      </c>
      <c r="BC38" s="443">
        <v>133505570.07601707</v>
      </c>
      <c r="BD38" s="443">
        <v>136884697.51887432</v>
      </c>
      <c r="BE38" s="443">
        <v>140349353.24544719</v>
      </c>
      <c r="BF38" s="443">
        <v>143901702.04159787</v>
      </c>
      <c r="BG38" s="443">
        <v>147543963.48556426</v>
      </c>
      <c r="BH38" s="443">
        <v>151278413.33479613</v>
      </c>
      <c r="BI38" s="443">
        <v>0</v>
      </c>
      <c r="BJ38" s="531">
        <v>0</v>
      </c>
      <c r="BK38" s="531">
        <v>0</v>
      </c>
      <c r="BL38" s="531">
        <v>0</v>
      </c>
      <c r="BM38" s="442">
        <v>10066907.528359722</v>
      </c>
      <c r="BN38" s="443">
        <v>10066907.528359722</v>
      </c>
      <c r="BO38" s="443">
        <v>10066907.528359722</v>
      </c>
      <c r="BP38" s="443">
        <v>10066907.528359722</v>
      </c>
      <c r="BQ38" s="443">
        <v>10066907.528359722</v>
      </c>
      <c r="BR38" s="443">
        <v>10066907.528359722</v>
      </c>
      <c r="BS38" s="443">
        <v>10066907.528359722</v>
      </c>
      <c r="BT38" s="443">
        <v>10066907.528359722</v>
      </c>
      <c r="BU38" s="443">
        <v>10066907.528359722</v>
      </c>
      <c r="BV38" s="443">
        <v>10321708.608752219</v>
      </c>
      <c r="BW38" s="443">
        <v>10321708.608752219</v>
      </c>
      <c r="BX38" s="443">
        <v>10321708.608752219</v>
      </c>
      <c r="BY38" s="443">
        <v>10321708.608752219</v>
      </c>
      <c r="BZ38" s="443">
        <v>10321708.608752219</v>
      </c>
      <c r="CA38" s="443">
        <v>10321708.608752219</v>
      </c>
      <c r="CB38" s="443">
        <v>10321708.608752219</v>
      </c>
      <c r="CC38" s="443">
        <v>10321708.608752219</v>
      </c>
      <c r="CD38" s="443">
        <v>10321708.608752219</v>
      </c>
      <c r="CE38" s="443">
        <v>10321708.608752219</v>
      </c>
      <c r="CF38" s="443">
        <v>10321708.608752219</v>
      </c>
      <c r="CG38" s="443">
        <v>10321708.608752219</v>
      </c>
      <c r="CH38" s="443">
        <v>10582958.898138288</v>
      </c>
      <c r="CI38" s="443">
        <v>10582958.898138288</v>
      </c>
      <c r="CJ38" s="443">
        <v>10582958.898138288</v>
      </c>
      <c r="CK38" s="443">
        <v>10582958.898138288</v>
      </c>
      <c r="CL38" s="443">
        <v>10582958.898138288</v>
      </c>
      <c r="CM38" s="443">
        <v>10582958.898138288</v>
      </c>
      <c r="CN38" s="443">
        <v>10582958.898138288</v>
      </c>
      <c r="CO38" s="443">
        <v>10582958.898138288</v>
      </c>
      <c r="CP38" s="443">
        <v>10582958.898138288</v>
      </c>
      <c r="CQ38" s="443">
        <v>10582958.898138288</v>
      </c>
      <c r="CR38" s="443">
        <v>10582958.898138288</v>
      </c>
      <c r="CS38" s="443">
        <v>10582958.898138288</v>
      </c>
      <c r="CT38" s="443">
        <v>10850821.630898932</v>
      </c>
      <c r="CU38" s="443">
        <v>10850821.630898932</v>
      </c>
      <c r="CV38" s="443">
        <v>10850821.630898932</v>
      </c>
      <c r="CW38" s="443">
        <v>10850821.630898932</v>
      </c>
      <c r="CX38" s="443">
        <v>10850821.630898932</v>
      </c>
      <c r="CY38" s="443">
        <v>10850821.630898932</v>
      </c>
      <c r="CZ38" s="443">
        <v>10850821.630898932</v>
      </c>
      <c r="DA38" s="443">
        <v>10850821.630898932</v>
      </c>
      <c r="DB38" s="443">
        <v>10850821.630898932</v>
      </c>
      <c r="DC38" s="443">
        <v>10850821.630898932</v>
      </c>
      <c r="DD38" s="443">
        <v>10850821.630898932</v>
      </c>
      <c r="DE38" s="443">
        <v>10850821.630898932</v>
      </c>
      <c r="DF38" s="443">
        <v>11125464.173001422</v>
      </c>
      <c r="DG38" s="443">
        <v>11125464.173001422</v>
      </c>
      <c r="DH38" s="443">
        <v>11125464.173001422</v>
      </c>
      <c r="DI38" s="443">
        <v>11125464.173001422</v>
      </c>
      <c r="DJ38" s="443">
        <v>11125464.173001422</v>
      </c>
      <c r="DK38" s="443">
        <v>11125464.173001422</v>
      </c>
      <c r="DL38" s="443">
        <v>11125464.173001422</v>
      </c>
      <c r="DM38" s="443">
        <v>11125464.173001422</v>
      </c>
      <c r="DN38" s="443">
        <v>11125464.173001422</v>
      </c>
      <c r="DO38" s="443">
        <v>11125464.173001422</v>
      </c>
      <c r="DP38" s="443">
        <v>11125464.173001422</v>
      </c>
      <c r="DQ38" s="443">
        <v>11125464.173001422</v>
      </c>
      <c r="DR38" s="443">
        <v>11407058.12657286</v>
      </c>
      <c r="DS38" s="443">
        <v>11407058.12657286</v>
      </c>
      <c r="DT38" s="443">
        <v>11407058.12657286</v>
      </c>
      <c r="DU38" s="443">
        <v>11407058.12657286</v>
      </c>
      <c r="DV38" s="443">
        <v>11407058.12657286</v>
      </c>
      <c r="DW38" s="443">
        <v>11407058.12657286</v>
      </c>
      <c r="DX38" s="443">
        <v>11407058.12657286</v>
      </c>
      <c r="DY38" s="443">
        <v>11407058.12657286</v>
      </c>
      <c r="DZ38" s="443">
        <v>11407058.12657286</v>
      </c>
      <c r="EA38" s="443">
        <v>11407058.12657286</v>
      </c>
      <c r="EB38" s="443">
        <v>11407058.12657286</v>
      </c>
      <c r="EC38" s="443">
        <v>11407058.12657286</v>
      </c>
      <c r="ED38" s="443">
        <v>11695779.437120596</v>
      </c>
      <c r="EE38" s="443">
        <v>11695779.437120596</v>
      </c>
      <c r="EF38" s="443">
        <v>11695779.437120596</v>
      </c>
      <c r="EG38" s="443">
        <v>11695779.437120596</v>
      </c>
      <c r="EH38" s="443">
        <v>11695779.437120596</v>
      </c>
      <c r="EI38" s="443">
        <v>11695779.437120596</v>
      </c>
      <c r="EJ38" s="443">
        <v>11695779.437120596</v>
      </c>
      <c r="EK38" s="443">
        <v>11695779.437120596</v>
      </c>
      <c r="EL38" s="443">
        <v>11695779.437120596</v>
      </c>
      <c r="EM38" s="443">
        <v>11695779.437120596</v>
      </c>
      <c r="EN38" s="443">
        <v>11695779.437120596</v>
      </c>
      <c r="EO38" s="443">
        <v>11695779.437120596</v>
      </c>
      <c r="EP38" s="443">
        <v>11991808.503466489</v>
      </c>
      <c r="EQ38" s="443">
        <v>11991808.503466489</v>
      </c>
      <c r="ER38" s="443">
        <v>11991808.503466489</v>
      </c>
      <c r="ES38" s="443">
        <v>11991808.503466489</v>
      </c>
      <c r="ET38" s="443">
        <v>11991808.503466489</v>
      </c>
      <c r="EU38" s="443">
        <v>11991808.503466489</v>
      </c>
      <c r="EV38" s="443">
        <v>11991808.503466489</v>
      </c>
      <c r="EW38" s="443">
        <v>11991808.503466489</v>
      </c>
      <c r="EX38" s="443">
        <v>11991808.503466489</v>
      </c>
      <c r="EY38" s="443">
        <v>11991808.503466489</v>
      </c>
      <c r="EZ38" s="443">
        <v>11991808.503466489</v>
      </c>
      <c r="FA38" s="443">
        <v>11991808.503466489</v>
      </c>
      <c r="FB38" s="443">
        <v>12295330.29046369</v>
      </c>
      <c r="FC38" s="443">
        <v>12295330.29046369</v>
      </c>
      <c r="FD38" s="443">
        <v>12295330.29046369</v>
      </c>
      <c r="FE38" s="443">
        <v>12295330.29046369</v>
      </c>
      <c r="FF38" s="443">
        <v>12295330.29046369</v>
      </c>
      <c r="FG38" s="443">
        <v>12295330.29046369</v>
      </c>
      <c r="FH38" s="443">
        <v>12295330.29046369</v>
      </c>
      <c r="FI38" s="443">
        <v>12295330.29046369</v>
      </c>
      <c r="FJ38" s="443">
        <v>12295330.29046369</v>
      </c>
      <c r="FK38" s="443">
        <v>12295330.29046369</v>
      </c>
      <c r="FL38" s="443">
        <v>12295330.29046369</v>
      </c>
      <c r="FM38" s="443">
        <v>12295330.29046369</v>
      </c>
      <c r="FN38" s="443">
        <v>12606534.444566347</v>
      </c>
      <c r="FO38" s="443">
        <v>12606534.444566347</v>
      </c>
      <c r="FP38" s="443">
        <v>12606534.444566347</v>
      </c>
      <c r="FQ38" s="443">
        <v>12606534.444566347</v>
      </c>
      <c r="FR38" s="443">
        <v>12606534.444566347</v>
      </c>
      <c r="FS38" s="443">
        <v>12606534.444566347</v>
      </c>
      <c r="FT38" s="443">
        <v>12606534.444566347</v>
      </c>
      <c r="FU38" s="443">
        <v>12606534.444566347</v>
      </c>
      <c r="FV38" s="443">
        <v>12606534.444566347</v>
      </c>
      <c r="FW38" s="443">
        <v>12606534.444566347</v>
      </c>
      <c r="FX38" s="443">
        <v>12606534.444566347</v>
      </c>
      <c r="FY38" s="443">
        <v>12606534.444566347</v>
      </c>
      <c r="FZ38" s="443">
        <v>0</v>
      </c>
      <c r="GA38" s="443">
        <v>0</v>
      </c>
      <c r="GB38" s="443">
        <v>0</v>
      </c>
      <c r="GC38" s="443">
        <v>0</v>
      </c>
      <c r="GD38" s="443">
        <v>0</v>
      </c>
      <c r="GE38" s="443">
        <v>0</v>
      </c>
      <c r="GF38" s="443">
        <v>0</v>
      </c>
      <c r="GG38" s="443">
        <v>0</v>
      </c>
      <c r="GH38" s="443">
        <v>0</v>
      </c>
      <c r="GI38" s="443">
        <v>0</v>
      </c>
      <c r="GJ38" s="443">
        <v>0</v>
      </c>
      <c r="GK38" s="33">
        <v>0</v>
      </c>
      <c r="GL38" s="27"/>
    </row>
    <row r="39" spans="1:194">
      <c r="A39" s="459" t="s">
        <v>1233</v>
      </c>
      <c r="B39" s="456" t="s">
        <v>1184</v>
      </c>
      <c r="C39" s="541" t="s">
        <v>176</v>
      </c>
      <c r="D39" s="456" t="s">
        <v>1226</v>
      </c>
      <c r="E39" s="463" t="s">
        <v>1227</v>
      </c>
      <c r="F39" s="456"/>
      <c r="G39" s="456"/>
      <c r="H39" s="464">
        <v>0</v>
      </c>
      <c r="I39" s="456">
        <v>0</v>
      </c>
      <c r="J39" s="456" t="s">
        <v>1237</v>
      </c>
      <c r="K39" s="456">
        <v>0</v>
      </c>
      <c r="L39" s="456" t="s">
        <v>183</v>
      </c>
      <c r="M39" s="470">
        <v>0.65903307888040785</v>
      </c>
      <c r="N39" s="470">
        <v>0.65903307888040785</v>
      </c>
      <c r="O39" s="470">
        <v>0.65903307888040774</v>
      </c>
      <c r="P39" s="470">
        <v>0.65903307888040774</v>
      </c>
      <c r="Q39" s="470">
        <v>0.65903307888040774</v>
      </c>
      <c r="R39" s="470">
        <v>0.65903307888040774</v>
      </c>
      <c r="S39" s="470">
        <v>0.65903307888040774</v>
      </c>
      <c r="T39" s="470">
        <v>0.65903307888040774</v>
      </c>
      <c r="U39" s="470">
        <v>0.65903307888040774</v>
      </c>
      <c r="V39" s="470">
        <v>0.65903307888040774</v>
      </c>
      <c r="W39" s="470">
        <v>0</v>
      </c>
      <c r="X39" s="457">
        <v>3</v>
      </c>
      <c r="Y39" s="472">
        <v>2970191.1851691948</v>
      </c>
      <c r="Z39" s="472">
        <v>3045368.981411125</v>
      </c>
      <c r="AA39" s="472">
        <v>3122449.5848110663</v>
      </c>
      <c r="AB39" s="472">
        <v>3201481.156864319</v>
      </c>
      <c r="AC39" s="472">
        <v>3282513.078070234</v>
      </c>
      <c r="AD39" s="472">
        <v>3365595.9787861314</v>
      </c>
      <c r="AE39" s="472">
        <v>3450781.7708621523</v>
      </c>
      <c r="AF39" s="472">
        <v>3538123.6800768184</v>
      </c>
      <c r="AG39" s="472">
        <v>3627676.2793935603</v>
      </c>
      <c r="AH39" s="472">
        <v>3719495.5230589835</v>
      </c>
      <c r="AI39" s="472">
        <v>0</v>
      </c>
      <c r="AJ39" s="457">
        <v>9</v>
      </c>
      <c r="AK39" s="457">
        <v>12</v>
      </c>
      <c r="AL39" s="457">
        <v>12</v>
      </c>
      <c r="AM39" s="457">
        <v>12</v>
      </c>
      <c r="AN39" s="457">
        <v>12</v>
      </c>
      <c r="AO39" s="457">
        <v>12</v>
      </c>
      <c r="AP39" s="457">
        <v>12</v>
      </c>
      <c r="AQ39" s="457">
        <v>12</v>
      </c>
      <c r="AR39" s="457">
        <v>12</v>
      </c>
      <c r="AS39" s="457">
        <v>12</v>
      </c>
      <c r="AT39" s="457">
        <v>12</v>
      </c>
      <c r="AU39" s="458">
        <v>1</v>
      </c>
      <c r="AV39" s="510">
        <v>1.02531076</v>
      </c>
      <c r="AW39" s="456">
        <v>0</v>
      </c>
      <c r="AX39" s="443">
        <v>257664504.43825132</v>
      </c>
      <c r="AY39" s="443">
        <v>17617088.174629521</v>
      </c>
      <c r="AZ39" s="443">
        <v>24083986.753755182</v>
      </c>
      <c r="BA39" s="443">
        <v>24693570.762322653</v>
      </c>
      <c r="BB39" s="443">
        <v>25318583.805430818</v>
      </c>
      <c r="BC39" s="443">
        <v>25959416.403669968</v>
      </c>
      <c r="BD39" s="443">
        <v>26616468.962003324</v>
      </c>
      <c r="BE39" s="443">
        <v>27290152.019948032</v>
      </c>
      <c r="BF39" s="443">
        <v>27980886.508088443</v>
      </c>
      <c r="BG39" s="443">
        <v>28689104.011081923</v>
      </c>
      <c r="BH39" s="443">
        <v>29415247.037321452</v>
      </c>
      <c r="BI39" s="443">
        <v>0</v>
      </c>
      <c r="BJ39" s="531">
        <v>0</v>
      </c>
      <c r="BK39" s="531">
        <v>0</v>
      </c>
      <c r="BL39" s="531">
        <v>0</v>
      </c>
      <c r="BM39" s="442">
        <v>1957454.241625502</v>
      </c>
      <c r="BN39" s="443">
        <v>1957454.241625502</v>
      </c>
      <c r="BO39" s="443">
        <v>1957454.241625502</v>
      </c>
      <c r="BP39" s="443">
        <v>1957454.241625502</v>
      </c>
      <c r="BQ39" s="443">
        <v>1957454.241625502</v>
      </c>
      <c r="BR39" s="443">
        <v>1957454.241625502</v>
      </c>
      <c r="BS39" s="443">
        <v>1957454.241625502</v>
      </c>
      <c r="BT39" s="443">
        <v>1957454.241625502</v>
      </c>
      <c r="BU39" s="443">
        <v>1957454.241625502</v>
      </c>
      <c r="BV39" s="443">
        <v>2006998.8961462653</v>
      </c>
      <c r="BW39" s="443">
        <v>2006998.8961462653</v>
      </c>
      <c r="BX39" s="443">
        <v>2006998.8961462653</v>
      </c>
      <c r="BY39" s="443">
        <v>2006998.8961462653</v>
      </c>
      <c r="BZ39" s="443">
        <v>2006998.8961462653</v>
      </c>
      <c r="CA39" s="443">
        <v>2006998.8961462653</v>
      </c>
      <c r="CB39" s="443">
        <v>2006998.8961462653</v>
      </c>
      <c r="CC39" s="443">
        <v>2006998.8961462653</v>
      </c>
      <c r="CD39" s="443">
        <v>2006998.8961462653</v>
      </c>
      <c r="CE39" s="443">
        <v>2006998.8961462653</v>
      </c>
      <c r="CF39" s="443">
        <v>2006998.8961462653</v>
      </c>
      <c r="CG39" s="443">
        <v>2006998.8961462653</v>
      </c>
      <c r="CH39" s="443">
        <v>2057797.5635268879</v>
      </c>
      <c r="CI39" s="443">
        <v>2057797.5635268879</v>
      </c>
      <c r="CJ39" s="443">
        <v>2057797.5635268879</v>
      </c>
      <c r="CK39" s="443">
        <v>2057797.5635268879</v>
      </c>
      <c r="CL39" s="443">
        <v>2057797.5635268879</v>
      </c>
      <c r="CM39" s="443">
        <v>2057797.5635268879</v>
      </c>
      <c r="CN39" s="443">
        <v>2057797.5635268879</v>
      </c>
      <c r="CO39" s="443">
        <v>2057797.5635268879</v>
      </c>
      <c r="CP39" s="443">
        <v>2057797.5635268879</v>
      </c>
      <c r="CQ39" s="443">
        <v>2057797.5635268879</v>
      </c>
      <c r="CR39" s="443">
        <v>2057797.5635268879</v>
      </c>
      <c r="CS39" s="443">
        <v>2057797.5635268879</v>
      </c>
      <c r="CT39" s="443">
        <v>2109881.9837859017</v>
      </c>
      <c r="CU39" s="443">
        <v>2109881.9837859017</v>
      </c>
      <c r="CV39" s="443">
        <v>2109881.9837859017</v>
      </c>
      <c r="CW39" s="443">
        <v>2109881.9837859017</v>
      </c>
      <c r="CX39" s="443">
        <v>2109881.9837859017</v>
      </c>
      <c r="CY39" s="443">
        <v>2109881.9837859017</v>
      </c>
      <c r="CZ39" s="443">
        <v>2109881.9837859017</v>
      </c>
      <c r="DA39" s="443">
        <v>2109881.9837859017</v>
      </c>
      <c r="DB39" s="443">
        <v>2109881.9837859017</v>
      </c>
      <c r="DC39" s="443">
        <v>2109881.9837859017</v>
      </c>
      <c r="DD39" s="443">
        <v>2109881.9837859017</v>
      </c>
      <c r="DE39" s="443">
        <v>2109881.9837859017</v>
      </c>
      <c r="DF39" s="443">
        <v>2163284.7003058307</v>
      </c>
      <c r="DG39" s="443">
        <v>2163284.7003058307</v>
      </c>
      <c r="DH39" s="443">
        <v>2163284.7003058307</v>
      </c>
      <c r="DI39" s="443">
        <v>2163284.7003058307</v>
      </c>
      <c r="DJ39" s="443">
        <v>2163284.7003058307</v>
      </c>
      <c r="DK39" s="443">
        <v>2163284.7003058307</v>
      </c>
      <c r="DL39" s="443">
        <v>2163284.7003058307</v>
      </c>
      <c r="DM39" s="443">
        <v>2163284.7003058307</v>
      </c>
      <c r="DN39" s="443">
        <v>2163284.7003058307</v>
      </c>
      <c r="DO39" s="443">
        <v>2163284.7003058307</v>
      </c>
      <c r="DP39" s="443">
        <v>2163284.7003058307</v>
      </c>
      <c r="DQ39" s="443">
        <v>2163284.7003058307</v>
      </c>
      <c r="DR39" s="443">
        <v>2218039.0801669438</v>
      </c>
      <c r="DS39" s="443">
        <v>2218039.0801669438</v>
      </c>
      <c r="DT39" s="443">
        <v>2218039.0801669438</v>
      </c>
      <c r="DU39" s="443">
        <v>2218039.0801669438</v>
      </c>
      <c r="DV39" s="443">
        <v>2218039.0801669438</v>
      </c>
      <c r="DW39" s="443">
        <v>2218039.0801669438</v>
      </c>
      <c r="DX39" s="443">
        <v>2218039.0801669438</v>
      </c>
      <c r="DY39" s="443">
        <v>2218039.0801669438</v>
      </c>
      <c r="DZ39" s="443">
        <v>2218039.0801669438</v>
      </c>
      <c r="EA39" s="443">
        <v>2218039.0801669438</v>
      </c>
      <c r="EB39" s="443">
        <v>2218039.0801669438</v>
      </c>
      <c r="EC39" s="443">
        <v>2218039.0801669438</v>
      </c>
      <c r="ED39" s="443">
        <v>2274179.3349956698</v>
      </c>
      <c r="EE39" s="443">
        <v>2274179.3349956698</v>
      </c>
      <c r="EF39" s="443">
        <v>2274179.3349956698</v>
      </c>
      <c r="EG39" s="443">
        <v>2274179.3349956698</v>
      </c>
      <c r="EH39" s="443">
        <v>2274179.3349956698</v>
      </c>
      <c r="EI39" s="443">
        <v>2274179.3349956698</v>
      </c>
      <c r="EJ39" s="443">
        <v>2274179.3349956698</v>
      </c>
      <c r="EK39" s="443">
        <v>2274179.3349956698</v>
      </c>
      <c r="EL39" s="443">
        <v>2274179.3349956698</v>
      </c>
      <c r="EM39" s="443">
        <v>2274179.3349956698</v>
      </c>
      <c r="EN39" s="443">
        <v>2274179.3349956698</v>
      </c>
      <c r="EO39" s="443">
        <v>2274179.3349956698</v>
      </c>
      <c r="EP39" s="443">
        <v>2331740.5423407042</v>
      </c>
      <c r="EQ39" s="443">
        <v>2331740.5423407042</v>
      </c>
      <c r="ER39" s="443">
        <v>2331740.5423407042</v>
      </c>
      <c r="ES39" s="443">
        <v>2331740.5423407042</v>
      </c>
      <c r="ET39" s="443">
        <v>2331740.5423407042</v>
      </c>
      <c r="EU39" s="443">
        <v>2331740.5423407042</v>
      </c>
      <c r="EV39" s="443">
        <v>2331740.5423407042</v>
      </c>
      <c r="EW39" s="443">
        <v>2331740.5423407042</v>
      </c>
      <c r="EX39" s="443">
        <v>2331740.5423407042</v>
      </c>
      <c r="EY39" s="443">
        <v>2331740.5423407042</v>
      </c>
      <c r="EZ39" s="443">
        <v>2331740.5423407042</v>
      </c>
      <c r="FA39" s="443">
        <v>2331740.5423407042</v>
      </c>
      <c r="FB39" s="443">
        <v>2390758.6675901604</v>
      </c>
      <c r="FC39" s="443">
        <v>2390758.6675901604</v>
      </c>
      <c r="FD39" s="443">
        <v>2390758.6675901604</v>
      </c>
      <c r="FE39" s="443">
        <v>2390758.6675901604</v>
      </c>
      <c r="FF39" s="443">
        <v>2390758.6675901604</v>
      </c>
      <c r="FG39" s="443">
        <v>2390758.6675901604</v>
      </c>
      <c r="FH39" s="443">
        <v>2390758.6675901604</v>
      </c>
      <c r="FI39" s="443">
        <v>2390758.6675901604</v>
      </c>
      <c r="FJ39" s="443">
        <v>2390758.6675901604</v>
      </c>
      <c r="FK39" s="443">
        <v>2390758.6675901604</v>
      </c>
      <c r="FL39" s="443">
        <v>2390758.6675901604</v>
      </c>
      <c r="FM39" s="443">
        <v>2390758.6675901604</v>
      </c>
      <c r="FN39" s="443">
        <v>2451270.5864434545</v>
      </c>
      <c r="FO39" s="443">
        <v>2451270.5864434545</v>
      </c>
      <c r="FP39" s="443">
        <v>2451270.5864434545</v>
      </c>
      <c r="FQ39" s="443">
        <v>2451270.5864434545</v>
      </c>
      <c r="FR39" s="443">
        <v>2451270.5864434545</v>
      </c>
      <c r="FS39" s="443">
        <v>2451270.5864434545</v>
      </c>
      <c r="FT39" s="443">
        <v>2451270.5864434545</v>
      </c>
      <c r="FU39" s="443">
        <v>2451270.5864434545</v>
      </c>
      <c r="FV39" s="443">
        <v>2451270.5864434545</v>
      </c>
      <c r="FW39" s="443">
        <v>2451270.5864434545</v>
      </c>
      <c r="FX39" s="443">
        <v>2451270.5864434545</v>
      </c>
      <c r="FY39" s="443">
        <v>2451270.5864434545</v>
      </c>
      <c r="FZ39" s="443">
        <v>0</v>
      </c>
      <c r="GA39" s="443">
        <v>0</v>
      </c>
      <c r="GB39" s="443">
        <v>0</v>
      </c>
      <c r="GC39" s="443">
        <v>0</v>
      </c>
      <c r="GD39" s="443">
        <v>0</v>
      </c>
      <c r="GE39" s="443">
        <v>0</v>
      </c>
      <c r="GF39" s="443">
        <v>0</v>
      </c>
      <c r="GG39" s="443">
        <v>0</v>
      </c>
      <c r="GH39" s="443">
        <v>0</v>
      </c>
      <c r="GI39" s="443">
        <v>0</v>
      </c>
      <c r="GJ39" s="443">
        <v>0</v>
      </c>
      <c r="GK39" s="33">
        <v>0</v>
      </c>
      <c r="GL39" s="27"/>
    </row>
    <row r="40" spans="1:194">
      <c r="A40" s="459" t="s">
        <v>1234</v>
      </c>
      <c r="B40" s="456" t="s">
        <v>1184</v>
      </c>
      <c r="C40" s="541" t="s">
        <v>159</v>
      </c>
      <c r="D40" s="456" t="s">
        <v>1226</v>
      </c>
      <c r="E40" s="463" t="s">
        <v>1228</v>
      </c>
      <c r="F40" s="456"/>
      <c r="G40" s="456"/>
      <c r="H40" s="464">
        <v>0</v>
      </c>
      <c r="I40" s="456">
        <v>0</v>
      </c>
      <c r="J40" s="456" t="s">
        <v>1237</v>
      </c>
      <c r="K40" s="456">
        <v>0</v>
      </c>
      <c r="L40" s="456" t="s">
        <v>183</v>
      </c>
      <c r="M40" s="470">
        <v>3.2951653944020385</v>
      </c>
      <c r="N40" s="470">
        <v>3.2951653944020385</v>
      </c>
      <c r="O40" s="470">
        <v>3.2951653944020385</v>
      </c>
      <c r="P40" s="470">
        <v>3.2951653944020385</v>
      </c>
      <c r="Q40" s="470">
        <v>3.2951653944020385</v>
      </c>
      <c r="R40" s="470">
        <v>3.2951653944020385</v>
      </c>
      <c r="S40" s="470">
        <v>3.2951653944020385</v>
      </c>
      <c r="T40" s="470">
        <v>3.2951653944020385</v>
      </c>
      <c r="U40" s="470">
        <v>3.2951653944020385</v>
      </c>
      <c r="V40" s="470">
        <v>3.2951653944020385</v>
      </c>
      <c r="W40" s="470">
        <v>0</v>
      </c>
      <c r="X40" s="457">
        <v>3</v>
      </c>
      <c r="Y40" s="472">
        <v>2387498.5637485301</v>
      </c>
      <c r="Z40" s="472">
        <v>2447927.9668959118</v>
      </c>
      <c r="AA40" s="472">
        <v>2509886.8841633014</v>
      </c>
      <c r="AB40" s="472">
        <v>2573414.0287155071</v>
      </c>
      <c r="AC40" s="472">
        <v>2638549.093576957</v>
      </c>
      <c r="AD40" s="472">
        <v>2705332.7764327019</v>
      </c>
      <c r="AE40" s="472">
        <v>2773806.8050571242</v>
      </c>
      <c r="AF40" s="472">
        <v>2844013.9633862916</v>
      </c>
      <c r="AG40" s="472">
        <v>2915998.1182502108</v>
      </c>
      <c r="AH40" s="472">
        <v>2989804.2467816933</v>
      </c>
      <c r="AI40" s="472">
        <v>0</v>
      </c>
      <c r="AJ40" s="457">
        <v>9</v>
      </c>
      <c r="AK40" s="457">
        <v>12</v>
      </c>
      <c r="AL40" s="457">
        <v>12</v>
      </c>
      <c r="AM40" s="457">
        <v>12</v>
      </c>
      <c r="AN40" s="457">
        <v>12</v>
      </c>
      <c r="AO40" s="457">
        <v>12</v>
      </c>
      <c r="AP40" s="457">
        <v>12</v>
      </c>
      <c r="AQ40" s="457">
        <v>12</v>
      </c>
      <c r="AR40" s="457">
        <v>12</v>
      </c>
      <c r="AS40" s="457">
        <v>12</v>
      </c>
      <c r="AT40" s="457">
        <v>12</v>
      </c>
      <c r="AU40" s="458">
        <v>1</v>
      </c>
      <c r="AV40" s="510">
        <v>1.02531076</v>
      </c>
      <c r="AW40" s="456">
        <v>0</v>
      </c>
      <c r="AX40" s="443">
        <v>1035579186.5301404</v>
      </c>
      <c r="AY40" s="443">
        <v>70804823.818038523</v>
      </c>
      <c r="AZ40" s="443">
        <v>96795930.294052169</v>
      </c>
      <c r="BA40" s="443">
        <v>99245908.854701594</v>
      </c>
      <c r="BB40" s="443">
        <v>101757898.23470487</v>
      </c>
      <c r="BC40" s="443">
        <v>104333467.97502784</v>
      </c>
      <c r="BD40" s="443">
        <v>106974227.34291153</v>
      </c>
      <c r="BE40" s="443">
        <v>109681826.33737344</v>
      </c>
      <c r="BF40" s="443">
        <v>112457956.72016035</v>
      </c>
      <c r="BG40" s="443">
        <v>115304353.07279472</v>
      </c>
      <c r="BH40" s="443">
        <v>118222793.88037546</v>
      </c>
      <c r="BI40" s="443">
        <v>0</v>
      </c>
      <c r="BJ40" s="531">
        <v>0</v>
      </c>
      <c r="BK40" s="531">
        <v>0</v>
      </c>
      <c r="BL40" s="531">
        <v>0</v>
      </c>
      <c r="BM40" s="442">
        <v>7867202.6464487258</v>
      </c>
      <c r="BN40" s="443">
        <v>7867202.6464487258</v>
      </c>
      <c r="BO40" s="443">
        <v>7867202.6464487258</v>
      </c>
      <c r="BP40" s="443">
        <v>7867202.6464487258</v>
      </c>
      <c r="BQ40" s="443">
        <v>7867202.6464487258</v>
      </c>
      <c r="BR40" s="443">
        <v>7867202.6464487258</v>
      </c>
      <c r="BS40" s="443">
        <v>7867202.6464487258</v>
      </c>
      <c r="BT40" s="443">
        <v>7867202.6464487258</v>
      </c>
      <c r="BU40" s="443">
        <v>7867202.6464487258</v>
      </c>
      <c r="BV40" s="443">
        <v>8066327.5245043477</v>
      </c>
      <c r="BW40" s="443">
        <v>8066327.5245043477</v>
      </c>
      <c r="BX40" s="443">
        <v>8066327.5245043477</v>
      </c>
      <c r="BY40" s="443">
        <v>8066327.5245043477</v>
      </c>
      <c r="BZ40" s="443">
        <v>8066327.5245043477</v>
      </c>
      <c r="CA40" s="443">
        <v>8066327.5245043477</v>
      </c>
      <c r="CB40" s="443">
        <v>8066327.5245043477</v>
      </c>
      <c r="CC40" s="443">
        <v>8066327.5245043477</v>
      </c>
      <c r="CD40" s="443">
        <v>8066327.5245043477</v>
      </c>
      <c r="CE40" s="443">
        <v>8066327.5245043477</v>
      </c>
      <c r="CF40" s="443">
        <v>8066327.5245043477</v>
      </c>
      <c r="CG40" s="443">
        <v>8066327.5245043477</v>
      </c>
      <c r="CH40" s="443">
        <v>8270492.4045584686</v>
      </c>
      <c r="CI40" s="443">
        <v>8270492.4045584686</v>
      </c>
      <c r="CJ40" s="443">
        <v>8270492.4045584686</v>
      </c>
      <c r="CK40" s="443">
        <v>8270492.4045584686</v>
      </c>
      <c r="CL40" s="443">
        <v>8270492.4045584686</v>
      </c>
      <c r="CM40" s="443">
        <v>8270492.4045584686</v>
      </c>
      <c r="CN40" s="443">
        <v>8270492.4045584686</v>
      </c>
      <c r="CO40" s="443">
        <v>8270492.4045584686</v>
      </c>
      <c r="CP40" s="443">
        <v>8270492.4045584686</v>
      </c>
      <c r="CQ40" s="443">
        <v>8270492.4045584686</v>
      </c>
      <c r="CR40" s="443">
        <v>8270492.4045584686</v>
      </c>
      <c r="CS40" s="443">
        <v>8270492.4045584686</v>
      </c>
      <c r="CT40" s="443">
        <v>8479824.8528920729</v>
      </c>
      <c r="CU40" s="443">
        <v>8479824.8528920729</v>
      </c>
      <c r="CV40" s="443">
        <v>8479824.8528920729</v>
      </c>
      <c r="CW40" s="443">
        <v>8479824.8528920729</v>
      </c>
      <c r="CX40" s="443">
        <v>8479824.8528920729</v>
      </c>
      <c r="CY40" s="443">
        <v>8479824.8528920729</v>
      </c>
      <c r="CZ40" s="443">
        <v>8479824.8528920729</v>
      </c>
      <c r="DA40" s="443">
        <v>8479824.8528920729</v>
      </c>
      <c r="DB40" s="443">
        <v>8479824.8528920729</v>
      </c>
      <c r="DC40" s="443">
        <v>8479824.8528920729</v>
      </c>
      <c r="DD40" s="443">
        <v>8479824.8528920729</v>
      </c>
      <c r="DE40" s="443">
        <v>8479824.8528920729</v>
      </c>
      <c r="DF40" s="443">
        <v>8694455.6645856556</v>
      </c>
      <c r="DG40" s="443">
        <v>8694455.6645856556</v>
      </c>
      <c r="DH40" s="443">
        <v>8694455.6645856556</v>
      </c>
      <c r="DI40" s="443">
        <v>8694455.6645856556</v>
      </c>
      <c r="DJ40" s="443">
        <v>8694455.6645856556</v>
      </c>
      <c r="DK40" s="443">
        <v>8694455.6645856556</v>
      </c>
      <c r="DL40" s="443">
        <v>8694455.6645856556</v>
      </c>
      <c r="DM40" s="443">
        <v>8694455.6645856556</v>
      </c>
      <c r="DN40" s="443">
        <v>8694455.6645856556</v>
      </c>
      <c r="DO40" s="443">
        <v>8694455.6645856556</v>
      </c>
      <c r="DP40" s="443">
        <v>8694455.6645856556</v>
      </c>
      <c r="DQ40" s="443">
        <v>8694455.6645856556</v>
      </c>
      <c r="DR40" s="443">
        <v>8914518.9452426266</v>
      </c>
      <c r="DS40" s="443">
        <v>8914518.9452426266</v>
      </c>
      <c r="DT40" s="443">
        <v>8914518.9452426266</v>
      </c>
      <c r="DU40" s="443">
        <v>8914518.9452426266</v>
      </c>
      <c r="DV40" s="443">
        <v>8914518.9452426266</v>
      </c>
      <c r="DW40" s="443">
        <v>8914518.9452426266</v>
      </c>
      <c r="DX40" s="443">
        <v>8914518.9452426266</v>
      </c>
      <c r="DY40" s="443">
        <v>8914518.9452426266</v>
      </c>
      <c r="DZ40" s="443">
        <v>8914518.9452426266</v>
      </c>
      <c r="EA40" s="443">
        <v>8914518.9452426266</v>
      </c>
      <c r="EB40" s="443">
        <v>8914518.9452426266</v>
      </c>
      <c r="EC40" s="443">
        <v>8914518.9452426266</v>
      </c>
      <c r="ED40" s="443">
        <v>9140152.1947811171</v>
      </c>
      <c r="EE40" s="443">
        <v>9140152.1947811171</v>
      </c>
      <c r="EF40" s="443">
        <v>9140152.1947811171</v>
      </c>
      <c r="EG40" s="443">
        <v>9140152.1947811171</v>
      </c>
      <c r="EH40" s="443">
        <v>9140152.1947811171</v>
      </c>
      <c r="EI40" s="443">
        <v>9140152.1947811171</v>
      </c>
      <c r="EJ40" s="443">
        <v>9140152.1947811171</v>
      </c>
      <c r="EK40" s="443">
        <v>9140152.1947811171</v>
      </c>
      <c r="EL40" s="443">
        <v>9140152.1947811171</v>
      </c>
      <c r="EM40" s="443">
        <v>9140152.1947811171</v>
      </c>
      <c r="EN40" s="443">
        <v>9140152.1947811171</v>
      </c>
      <c r="EO40" s="443">
        <v>9140152.1947811171</v>
      </c>
      <c r="EP40" s="443">
        <v>9371496.3933466952</v>
      </c>
      <c r="EQ40" s="443">
        <v>9371496.3933466952</v>
      </c>
      <c r="ER40" s="443">
        <v>9371496.3933466952</v>
      </c>
      <c r="ES40" s="443">
        <v>9371496.3933466952</v>
      </c>
      <c r="ET40" s="443">
        <v>9371496.3933466952</v>
      </c>
      <c r="EU40" s="443">
        <v>9371496.3933466952</v>
      </c>
      <c r="EV40" s="443">
        <v>9371496.3933466952</v>
      </c>
      <c r="EW40" s="443">
        <v>9371496.3933466952</v>
      </c>
      <c r="EX40" s="443">
        <v>9371496.3933466952</v>
      </c>
      <c r="EY40" s="443">
        <v>9371496.3933466952</v>
      </c>
      <c r="EZ40" s="443">
        <v>9371496.3933466952</v>
      </c>
      <c r="FA40" s="443">
        <v>9371496.3933466952</v>
      </c>
      <c r="FB40" s="443">
        <v>9608696.0893995576</v>
      </c>
      <c r="FC40" s="443">
        <v>9608696.0893995576</v>
      </c>
      <c r="FD40" s="443">
        <v>9608696.0893995576</v>
      </c>
      <c r="FE40" s="443">
        <v>9608696.0893995576</v>
      </c>
      <c r="FF40" s="443">
        <v>9608696.0893995576</v>
      </c>
      <c r="FG40" s="443">
        <v>9608696.0893995576</v>
      </c>
      <c r="FH40" s="443">
        <v>9608696.0893995576</v>
      </c>
      <c r="FI40" s="443">
        <v>9608696.0893995576</v>
      </c>
      <c r="FJ40" s="443">
        <v>9608696.0893995576</v>
      </c>
      <c r="FK40" s="443">
        <v>9608696.0893995576</v>
      </c>
      <c r="FL40" s="443">
        <v>9608696.0893995576</v>
      </c>
      <c r="FM40" s="443">
        <v>9608696.0893995576</v>
      </c>
      <c r="FN40" s="443">
        <v>9851899.4900312889</v>
      </c>
      <c r="FO40" s="443">
        <v>9851899.4900312889</v>
      </c>
      <c r="FP40" s="443">
        <v>9851899.4900312889</v>
      </c>
      <c r="FQ40" s="443">
        <v>9851899.4900312889</v>
      </c>
      <c r="FR40" s="443">
        <v>9851899.4900312889</v>
      </c>
      <c r="FS40" s="443">
        <v>9851899.4900312889</v>
      </c>
      <c r="FT40" s="443">
        <v>9851899.4900312889</v>
      </c>
      <c r="FU40" s="443">
        <v>9851899.4900312889</v>
      </c>
      <c r="FV40" s="443">
        <v>9851899.4900312889</v>
      </c>
      <c r="FW40" s="443">
        <v>9851899.4900312889</v>
      </c>
      <c r="FX40" s="443">
        <v>9851899.4900312889</v>
      </c>
      <c r="FY40" s="443">
        <v>9851899.4900312889</v>
      </c>
      <c r="FZ40" s="443">
        <v>0</v>
      </c>
      <c r="GA40" s="443">
        <v>0</v>
      </c>
      <c r="GB40" s="443">
        <v>0</v>
      </c>
      <c r="GC40" s="443">
        <v>0</v>
      </c>
      <c r="GD40" s="443">
        <v>0</v>
      </c>
      <c r="GE40" s="443">
        <v>0</v>
      </c>
      <c r="GF40" s="443">
        <v>0</v>
      </c>
      <c r="GG40" s="443">
        <v>0</v>
      </c>
      <c r="GH40" s="443">
        <v>0</v>
      </c>
      <c r="GI40" s="443">
        <v>0</v>
      </c>
      <c r="GJ40" s="443">
        <v>0</v>
      </c>
      <c r="GK40" s="33">
        <v>0</v>
      </c>
      <c r="GL40" s="27"/>
    </row>
    <row r="41" spans="1:194">
      <c r="A41" s="459" t="s">
        <v>1235</v>
      </c>
      <c r="B41" s="456" t="s">
        <v>1184</v>
      </c>
      <c r="C41" s="541" t="s">
        <v>176</v>
      </c>
      <c r="D41" s="456" t="s">
        <v>1207</v>
      </c>
      <c r="E41" s="463" t="s">
        <v>978</v>
      </c>
      <c r="F41" s="456"/>
      <c r="G41" s="456"/>
      <c r="H41" s="464">
        <v>0</v>
      </c>
      <c r="I41" s="456">
        <v>0</v>
      </c>
      <c r="J41" s="456" t="s">
        <v>1237</v>
      </c>
      <c r="K41" s="456">
        <v>0</v>
      </c>
      <c r="L41" s="456" t="s">
        <v>183</v>
      </c>
      <c r="M41" s="470">
        <v>1.1297709923664132</v>
      </c>
      <c r="N41" s="470">
        <v>1.1297709923664132</v>
      </c>
      <c r="O41" s="470">
        <v>1.1297709923664141</v>
      </c>
      <c r="P41" s="470">
        <v>1.1297709923664141</v>
      </c>
      <c r="Q41" s="470">
        <v>1.1297709923664141</v>
      </c>
      <c r="R41" s="470">
        <v>1.1297709923664141</v>
      </c>
      <c r="S41" s="470">
        <v>1.1297709923664141</v>
      </c>
      <c r="T41" s="470">
        <v>1.1297709923664141</v>
      </c>
      <c r="U41" s="470">
        <v>1.1297709923664141</v>
      </c>
      <c r="V41" s="470">
        <v>1.1297709923664141</v>
      </c>
      <c r="W41" s="470">
        <v>0</v>
      </c>
      <c r="X41" s="457">
        <v>3</v>
      </c>
      <c r="Y41" s="472">
        <v>2970191.1851691948</v>
      </c>
      <c r="Z41" s="472">
        <v>3045368.981411125</v>
      </c>
      <c r="AA41" s="472">
        <v>3122449.5848110663</v>
      </c>
      <c r="AB41" s="472">
        <v>3201481.156864319</v>
      </c>
      <c r="AC41" s="472">
        <v>3282513.078070234</v>
      </c>
      <c r="AD41" s="472">
        <v>3365595.9787861314</v>
      </c>
      <c r="AE41" s="472">
        <v>3450781.7708621523</v>
      </c>
      <c r="AF41" s="472">
        <v>3538123.6800768184</v>
      </c>
      <c r="AG41" s="472">
        <v>3627676.2793935603</v>
      </c>
      <c r="AH41" s="472">
        <v>3719495.5230589835</v>
      </c>
      <c r="AI41" s="472">
        <v>0</v>
      </c>
      <c r="AJ41" s="457">
        <v>9</v>
      </c>
      <c r="AK41" s="457">
        <v>12</v>
      </c>
      <c r="AL41" s="457">
        <v>12</v>
      </c>
      <c r="AM41" s="457">
        <v>12</v>
      </c>
      <c r="AN41" s="457">
        <v>12</v>
      </c>
      <c r="AO41" s="457">
        <v>12</v>
      </c>
      <c r="AP41" s="457">
        <v>12</v>
      </c>
      <c r="AQ41" s="457">
        <v>12</v>
      </c>
      <c r="AR41" s="457">
        <v>12</v>
      </c>
      <c r="AS41" s="457">
        <v>12</v>
      </c>
      <c r="AT41" s="457">
        <v>12</v>
      </c>
      <c r="AU41" s="458">
        <v>1</v>
      </c>
      <c r="AV41" s="510">
        <v>1.02531076</v>
      </c>
      <c r="AW41" s="456">
        <v>0</v>
      </c>
      <c r="AX41" s="443">
        <v>441710579.0370025</v>
      </c>
      <c r="AY41" s="443">
        <v>30200722.585079163</v>
      </c>
      <c r="AZ41" s="443">
        <v>41286834.435008876</v>
      </c>
      <c r="BA41" s="443">
        <v>42331835.592553146</v>
      </c>
      <c r="BB41" s="443">
        <v>43403286.523595728</v>
      </c>
      <c r="BC41" s="443">
        <v>44501856.692005694</v>
      </c>
      <c r="BD41" s="443">
        <v>45628232.506291442</v>
      </c>
      <c r="BE41" s="443">
        <v>46783117.748482376</v>
      </c>
      <c r="BF41" s="443">
        <v>47967234.013865955</v>
      </c>
      <c r="BG41" s="443">
        <v>49181321.161854751</v>
      </c>
      <c r="BH41" s="443">
        <v>50426137.778265394</v>
      </c>
      <c r="BI41" s="443">
        <v>0</v>
      </c>
      <c r="BJ41" s="531">
        <v>0</v>
      </c>
      <c r="BK41" s="531">
        <v>0</v>
      </c>
      <c r="BL41" s="531">
        <v>0</v>
      </c>
      <c r="BM41" s="442">
        <v>3355635.8427865743</v>
      </c>
      <c r="BN41" s="443">
        <v>3355635.8427865743</v>
      </c>
      <c r="BO41" s="443">
        <v>3355635.8427865743</v>
      </c>
      <c r="BP41" s="443">
        <v>3355635.8427865743</v>
      </c>
      <c r="BQ41" s="443">
        <v>3355635.8427865743</v>
      </c>
      <c r="BR41" s="443">
        <v>3355635.8427865743</v>
      </c>
      <c r="BS41" s="443">
        <v>3355635.8427865743</v>
      </c>
      <c r="BT41" s="443">
        <v>3355635.8427865743</v>
      </c>
      <c r="BU41" s="443">
        <v>3355635.8427865743</v>
      </c>
      <c r="BV41" s="443">
        <v>3440569.5362507398</v>
      </c>
      <c r="BW41" s="443">
        <v>3440569.5362507398</v>
      </c>
      <c r="BX41" s="443">
        <v>3440569.5362507398</v>
      </c>
      <c r="BY41" s="443">
        <v>3440569.5362507398</v>
      </c>
      <c r="BZ41" s="443">
        <v>3440569.5362507398</v>
      </c>
      <c r="CA41" s="443">
        <v>3440569.5362507398</v>
      </c>
      <c r="CB41" s="443">
        <v>3440569.5362507398</v>
      </c>
      <c r="CC41" s="443">
        <v>3440569.5362507398</v>
      </c>
      <c r="CD41" s="443">
        <v>3440569.5362507398</v>
      </c>
      <c r="CE41" s="443">
        <v>3440569.5362507398</v>
      </c>
      <c r="CF41" s="443">
        <v>3440569.5362507398</v>
      </c>
      <c r="CG41" s="443">
        <v>3440569.5362507398</v>
      </c>
      <c r="CH41" s="443">
        <v>3527652.9660460958</v>
      </c>
      <c r="CI41" s="443">
        <v>3527652.9660460958</v>
      </c>
      <c r="CJ41" s="443">
        <v>3527652.9660460958</v>
      </c>
      <c r="CK41" s="443">
        <v>3527652.9660460958</v>
      </c>
      <c r="CL41" s="443">
        <v>3527652.9660460958</v>
      </c>
      <c r="CM41" s="443">
        <v>3527652.9660460958</v>
      </c>
      <c r="CN41" s="443">
        <v>3527652.9660460958</v>
      </c>
      <c r="CO41" s="443">
        <v>3527652.9660460958</v>
      </c>
      <c r="CP41" s="443">
        <v>3527652.9660460958</v>
      </c>
      <c r="CQ41" s="443">
        <v>3527652.9660460958</v>
      </c>
      <c r="CR41" s="443">
        <v>3527652.9660460958</v>
      </c>
      <c r="CS41" s="443">
        <v>3527652.9660460958</v>
      </c>
      <c r="CT41" s="443">
        <v>3616940.5436329772</v>
      </c>
      <c r="CU41" s="443">
        <v>3616940.5436329772</v>
      </c>
      <c r="CV41" s="443">
        <v>3616940.5436329772</v>
      </c>
      <c r="CW41" s="443">
        <v>3616940.5436329772</v>
      </c>
      <c r="CX41" s="443">
        <v>3616940.5436329772</v>
      </c>
      <c r="CY41" s="443">
        <v>3616940.5436329772</v>
      </c>
      <c r="CZ41" s="443">
        <v>3616940.5436329772</v>
      </c>
      <c r="DA41" s="443">
        <v>3616940.5436329772</v>
      </c>
      <c r="DB41" s="443">
        <v>3616940.5436329772</v>
      </c>
      <c r="DC41" s="443">
        <v>3616940.5436329772</v>
      </c>
      <c r="DD41" s="443">
        <v>3616940.5436329772</v>
      </c>
      <c r="DE41" s="443">
        <v>3616940.5436329772</v>
      </c>
      <c r="DF41" s="443">
        <v>3708488.0576671408</v>
      </c>
      <c r="DG41" s="443">
        <v>3708488.0576671408</v>
      </c>
      <c r="DH41" s="443">
        <v>3708488.0576671408</v>
      </c>
      <c r="DI41" s="443">
        <v>3708488.0576671408</v>
      </c>
      <c r="DJ41" s="443">
        <v>3708488.0576671408</v>
      </c>
      <c r="DK41" s="443">
        <v>3708488.0576671408</v>
      </c>
      <c r="DL41" s="443">
        <v>3708488.0576671408</v>
      </c>
      <c r="DM41" s="443">
        <v>3708488.0576671408</v>
      </c>
      <c r="DN41" s="443">
        <v>3708488.0576671408</v>
      </c>
      <c r="DO41" s="443">
        <v>3708488.0576671408</v>
      </c>
      <c r="DP41" s="443">
        <v>3708488.0576671408</v>
      </c>
      <c r="DQ41" s="443">
        <v>3708488.0576671408</v>
      </c>
      <c r="DR41" s="443">
        <v>3802352.7088576206</v>
      </c>
      <c r="DS41" s="443">
        <v>3802352.7088576206</v>
      </c>
      <c r="DT41" s="443">
        <v>3802352.7088576206</v>
      </c>
      <c r="DU41" s="443">
        <v>3802352.7088576206</v>
      </c>
      <c r="DV41" s="443">
        <v>3802352.7088576206</v>
      </c>
      <c r="DW41" s="443">
        <v>3802352.7088576206</v>
      </c>
      <c r="DX41" s="443">
        <v>3802352.7088576206</v>
      </c>
      <c r="DY41" s="443">
        <v>3802352.7088576206</v>
      </c>
      <c r="DZ41" s="443">
        <v>3802352.7088576206</v>
      </c>
      <c r="EA41" s="443">
        <v>3802352.7088576206</v>
      </c>
      <c r="EB41" s="443">
        <v>3802352.7088576206</v>
      </c>
      <c r="EC41" s="443">
        <v>3802352.7088576206</v>
      </c>
      <c r="ED41" s="443">
        <v>3898593.1457068655</v>
      </c>
      <c r="EE41" s="443">
        <v>3898593.1457068655</v>
      </c>
      <c r="EF41" s="443">
        <v>3898593.1457068655</v>
      </c>
      <c r="EG41" s="443">
        <v>3898593.1457068655</v>
      </c>
      <c r="EH41" s="443">
        <v>3898593.1457068655</v>
      </c>
      <c r="EI41" s="443">
        <v>3898593.1457068655</v>
      </c>
      <c r="EJ41" s="443">
        <v>3898593.1457068655</v>
      </c>
      <c r="EK41" s="443">
        <v>3898593.1457068655</v>
      </c>
      <c r="EL41" s="443">
        <v>3898593.1457068655</v>
      </c>
      <c r="EM41" s="443">
        <v>3898593.1457068655</v>
      </c>
      <c r="EN41" s="443">
        <v>3898593.1457068655</v>
      </c>
      <c r="EO41" s="443">
        <v>3898593.1457068655</v>
      </c>
      <c r="EP41" s="443">
        <v>3997269.5011554961</v>
      </c>
      <c r="EQ41" s="443">
        <v>3997269.5011554961</v>
      </c>
      <c r="ER41" s="443">
        <v>3997269.5011554961</v>
      </c>
      <c r="ES41" s="443">
        <v>3997269.5011554961</v>
      </c>
      <c r="ET41" s="443">
        <v>3997269.5011554961</v>
      </c>
      <c r="EU41" s="443">
        <v>3997269.5011554961</v>
      </c>
      <c r="EV41" s="443">
        <v>3997269.5011554961</v>
      </c>
      <c r="EW41" s="443">
        <v>3997269.5011554961</v>
      </c>
      <c r="EX41" s="443">
        <v>3997269.5011554961</v>
      </c>
      <c r="EY41" s="443">
        <v>3997269.5011554961</v>
      </c>
      <c r="EZ41" s="443">
        <v>3997269.5011554961</v>
      </c>
      <c r="FA41" s="443">
        <v>3997269.5011554961</v>
      </c>
      <c r="FB41" s="443">
        <v>4098443.4301545634</v>
      </c>
      <c r="FC41" s="443">
        <v>4098443.4301545634</v>
      </c>
      <c r="FD41" s="443">
        <v>4098443.4301545634</v>
      </c>
      <c r="FE41" s="443">
        <v>4098443.4301545634</v>
      </c>
      <c r="FF41" s="443">
        <v>4098443.4301545634</v>
      </c>
      <c r="FG41" s="443">
        <v>4098443.4301545634</v>
      </c>
      <c r="FH41" s="443">
        <v>4098443.4301545634</v>
      </c>
      <c r="FI41" s="443">
        <v>4098443.4301545634</v>
      </c>
      <c r="FJ41" s="443">
        <v>4098443.4301545634</v>
      </c>
      <c r="FK41" s="443">
        <v>4098443.4301545634</v>
      </c>
      <c r="FL41" s="443">
        <v>4098443.4301545634</v>
      </c>
      <c r="FM41" s="443">
        <v>4098443.4301545634</v>
      </c>
      <c r="FN41" s="443">
        <v>4202178.1481887819</v>
      </c>
      <c r="FO41" s="443">
        <v>4202178.1481887819</v>
      </c>
      <c r="FP41" s="443">
        <v>4202178.1481887819</v>
      </c>
      <c r="FQ41" s="443">
        <v>4202178.1481887819</v>
      </c>
      <c r="FR41" s="443">
        <v>4202178.1481887819</v>
      </c>
      <c r="FS41" s="443">
        <v>4202178.1481887819</v>
      </c>
      <c r="FT41" s="443">
        <v>4202178.1481887819</v>
      </c>
      <c r="FU41" s="443">
        <v>4202178.1481887819</v>
      </c>
      <c r="FV41" s="443">
        <v>4202178.1481887819</v>
      </c>
      <c r="FW41" s="443">
        <v>4202178.1481887819</v>
      </c>
      <c r="FX41" s="443">
        <v>4202178.1481887819</v>
      </c>
      <c r="FY41" s="443">
        <v>4202178.1481887819</v>
      </c>
      <c r="FZ41" s="443">
        <v>0</v>
      </c>
      <c r="GA41" s="443">
        <v>0</v>
      </c>
      <c r="GB41" s="443">
        <v>0</v>
      </c>
      <c r="GC41" s="443">
        <v>0</v>
      </c>
      <c r="GD41" s="443">
        <v>0</v>
      </c>
      <c r="GE41" s="443">
        <v>0</v>
      </c>
      <c r="GF41" s="443">
        <v>0</v>
      </c>
      <c r="GG41" s="443">
        <v>0</v>
      </c>
      <c r="GH41" s="443">
        <v>0</v>
      </c>
      <c r="GI41" s="443">
        <v>0</v>
      </c>
      <c r="GJ41" s="443">
        <v>0</v>
      </c>
      <c r="GK41" s="33">
        <v>0</v>
      </c>
      <c r="GL41" s="27"/>
    </row>
    <row r="42" spans="1:194">
      <c r="A42" s="459" t="s">
        <v>1236</v>
      </c>
      <c r="B42" s="456" t="s">
        <v>1184</v>
      </c>
      <c r="C42" s="541" t="s">
        <v>176</v>
      </c>
      <c r="D42" s="456" t="s">
        <v>1207</v>
      </c>
      <c r="E42" s="463" t="s">
        <v>194</v>
      </c>
      <c r="F42" s="456"/>
      <c r="G42" s="456"/>
      <c r="H42" s="464">
        <v>0</v>
      </c>
      <c r="I42" s="456">
        <v>0</v>
      </c>
      <c r="J42" s="456" t="s">
        <v>1237</v>
      </c>
      <c r="K42" s="456">
        <v>0</v>
      </c>
      <c r="L42" s="456" t="s">
        <v>183</v>
      </c>
      <c r="M42" s="470">
        <v>1.1297709923664132</v>
      </c>
      <c r="N42" s="470">
        <v>1.1297709923664132</v>
      </c>
      <c r="O42" s="470">
        <v>1.1297709923664141</v>
      </c>
      <c r="P42" s="470">
        <v>1.1297709923664141</v>
      </c>
      <c r="Q42" s="470">
        <v>1.1297709923664141</v>
      </c>
      <c r="R42" s="470">
        <v>1.1297709923664141</v>
      </c>
      <c r="S42" s="470">
        <v>1.1297709923664141</v>
      </c>
      <c r="T42" s="470">
        <v>1.1297709923664141</v>
      </c>
      <c r="U42" s="470">
        <v>1.1297709923664141</v>
      </c>
      <c r="V42" s="470">
        <v>1.1297709923664141</v>
      </c>
      <c r="W42" s="470">
        <v>0</v>
      </c>
      <c r="X42" s="457">
        <v>3</v>
      </c>
      <c r="Y42" s="472">
        <v>2970191.1851691948</v>
      </c>
      <c r="Z42" s="472">
        <v>3045368.981411125</v>
      </c>
      <c r="AA42" s="472">
        <v>3122449.5848110663</v>
      </c>
      <c r="AB42" s="472">
        <v>3201481.156864319</v>
      </c>
      <c r="AC42" s="472">
        <v>3282513.078070234</v>
      </c>
      <c r="AD42" s="472">
        <v>3365595.9787861314</v>
      </c>
      <c r="AE42" s="472">
        <v>3450781.7708621523</v>
      </c>
      <c r="AF42" s="472">
        <v>3538123.6800768184</v>
      </c>
      <c r="AG42" s="472">
        <v>3627676.2793935603</v>
      </c>
      <c r="AH42" s="472">
        <v>3719495.5230589835</v>
      </c>
      <c r="AI42" s="472">
        <v>0</v>
      </c>
      <c r="AJ42" s="457">
        <v>9</v>
      </c>
      <c r="AK42" s="457">
        <v>12</v>
      </c>
      <c r="AL42" s="457">
        <v>12</v>
      </c>
      <c r="AM42" s="457">
        <v>12</v>
      </c>
      <c r="AN42" s="457">
        <v>12</v>
      </c>
      <c r="AO42" s="457">
        <v>12</v>
      </c>
      <c r="AP42" s="457">
        <v>12</v>
      </c>
      <c r="AQ42" s="457">
        <v>12</v>
      </c>
      <c r="AR42" s="457">
        <v>12</v>
      </c>
      <c r="AS42" s="457">
        <v>12</v>
      </c>
      <c r="AT42" s="457">
        <v>12</v>
      </c>
      <c r="AU42" s="458">
        <v>1</v>
      </c>
      <c r="AV42" s="510">
        <v>1.02531076</v>
      </c>
      <c r="AW42" s="456">
        <v>0</v>
      </c>
      <c r="AX42" s="443">
        <v>441710579.0370025</v>
      </c>
      <c r="AY42" s="443">
        <v>30200722.585079163</v>
      </c>
      <c r="AZ42" s="443">
        <v>41286834.435008876</v>
      </c>
      <c r="BA42" s="443">
        <v>42331835.592553146</v>
      </c>
      <c r="BB42" s="443">
        <v>43403286.523595728</v>
      </c>
      <c r="BC42" s="443">
        <v>44501856.692005694</v>
      </c>
      <c r="BD42" s="443">
        <v>45628232.506291442</v>
      </c>
      <c r="BE42" s="443">
        <v>46783117.748482376</v>
      </c>
      <c r="BF42" s="443">
        <v>47967234.013865955</v>
      </c>
      <c r="BG42" s="443">
        <v>49181321.161854751</v>
      </c>
      <c r="BH42" s="443">
        <v>50426137.778265394</v>
      </c>
      <c r="BI42" s="443">
        <v>0</v>
      </c>
      <c r="BJ42" s="531">
        <v>0</v>
      </c>
      <c r="BK42" s="531">
        <v>0</v>
      </c>
      <c r="BL42" s="531">
        <v>0</v>
      </c>
      <c r="BM42" s="442">
        <v>3355635.8427865743</v>
      </c>
      <c r="BN42" s="443">
        <v>3355635.8427865743</v>
      </c>
      <c r="BO42" s="443">
        <v>3355635.8427865743</v>
      </c>
      <c r="BP42" s="443">
        <v>3355635.8427865743</v>
      </c>
      <c r="BQ42" s="443">
        <v>3355635.8427865743</v>
      </c>
      <c r="BR42" s="443">
        <v>3355635.8427865743</v>
      </c>
      <c r="BS42" s="443">
        <v>3355635.8427865743</v>
      </c>
      <c r="BT42" s="443">
        <v>3355635.8427865743</v>
      </c>
      <c r="BU42" s="443">
        <v>3355635.8427865743</v>
      </c>
      <c r="BV42" s="443">
        <v>3440569.5362507398</v>
      </c>
      <c r="BW42" s="443">
        <v>3440569.5362507398</v>
      </c>
      <c r="BX42" s="443">
        <v>3440569.5362507398</v>
      </c>
      <c r="BY42" s="443">
        <v>3440569.5362507398</v>
      </c>
      <c r="BZ42" s="443">
        <v>3440569.5362507398</v>
      </c>
      <c r="CA42" s="443">
        <v>3440569.5362507398</v>
      </c>
      <c r="CB42" s="443">
        <v>3440569.5362507398</v>
      </c>
      <c r="CC42" s="443">
        <v>3440569.5362507398</v>
      </c>
      <c r="CD42" s="443">
        <v>3440569.5362507398</v>
      </c>
      <c r="CE42" s="443">
        <v>3440569.5362507398</v>
      </c>
      <c r="CF42" s="443">
        <v>3440569.5362507398</v>
      </c>
      <c r="CG42" s="443">
        <v>3440569.5362507398</v>
      </c>
      <c r="CH42" s="443">
        <v>3527652.9660460958</v>
      </c>
      <c r="CI42" s="443">
        <v>3527652.9660460958</v>
      </c>
      <c r="CJ42" s="443">
        <v>3527652.9660460958</v>
      </c>
      <c r="CK42" s="443">
        <v>3527652.9660460958</v>
      </c>
      <c r="CL42" s="443">
        <v>3527652.9660460958</v>
      </c>
      <c r="CM42" s="443">
        <v>3527652.9660460958</v>
      </c>
      <c r="CN42" s="443">
        <v>3527652.9660460958</v>
      </c>
      <c r="CO42" s="443">
        <v>3527652.9660460958</v>
      </c>
      <c r="CP42" s="443">
        <v>3527652.9660460958</v>
      </c>
      <c r="CQ42" s="443">
        <v>3527652.9660460958</v>
      </c>
      <c r="CR42" s="443">
        <v>3527652.9660460958</v>
      </c>
      <c r="CS42" s="443">
        <v>3527652.9660460958</v>
      </c>
      <c r="CT42" s="443">
        <v>3616940.5436329772</v>
      </c>
      <c r="CU42" s="443">
        <v>3616940.5436329772</v>
      </c>
      <c r="CV42" s="443">
        <v>3616940.5436329772</v>
      </c>
      <c r="CW42" s="443">
        <v>3616940.5436329772</v>
      </c>
      <c r="CX42" s="443">
        <v>3616940.5436329772</v>
      </c>
      <c r="CY42" s="443">
        <v>3616940.5436329772</v>
      </c>
      <c r="CZ42" s="443">
        <v>3616940.5436329772</v>
      </c>
      <c r="DA42" s="443">
        <v>3616940.5436329772</v>
      </c>
      <c r="DB42" s="443">
        <v>3616940.5436329772</v>
      </c>
      <c r="DC42" s="443">
        <v>3616940.5436329772</v>
      </c>
      <c r="DD42" s="443">
        <v>3616940.5436329772</v>
      </c>
      <c r="DE42" s="443">
        <v>3616940.5436329772</v>
      </c>
      <c r="DF42" s="443">
        <v>3708488.0576671408</v>
      </c>
      <c r="DG42" s="443">
        <v>3708488.0576671408</v>
      </c>
      <c r="DH42" s="443">
        <v>3708488.0576671408</v>
      </c>
      <c r="DI42" s="443">
        <v>3708488.0576671408</v>
      </c>
      <c r="DJ42" s="443">
        <v>3708488.0576671408</v>
      </c>
      <c r="DK42" s="443">
        <v>3708488.0576671408</v>
      </c>
      <c r="DL42" s="443">
        <v>3708488.0576671408</v>
      </c>
      <c r="DM42" s="443">
        <v>3708488.0576671408</v>
      </c>
      <c r="DN42" s="443">
        <v>3708488.0576671408</v>
      </c>
      <c r="DO42" s="443">
        <v>3708488.0576671408</v>
      </c>
      <c r="DP42" s="443">
        <v>3708488.0576671408</v>
      </c>
      <c r="DQ42" s="443">
        <v>3708488.0576671408</v>
      </c>
      <c r="DR42" s="443">
        <v>3802352.7088576206</v>
      </c>
      <c r="DS42" s="443">
        <v>3802352.7088576206</v>
      </c>
      <c r="DT42" s="443">
        <v>3802352.7088576206</v>
      </c>
      <c r="DU42" s="443">
        <v>3802352.7088576206</v>
      </c>
      <c r="DV42" s="443">
        <v>3802352.7088576206</v>
      </c>
      <c r="DW42" s="443">
        <v>3802352.7088576206</v>
      </c>
      <c r="DX42" s="443">
        <v>3802352.7088576206</v>
      </c>
      <c r="DY42" s="443">
        <v>3802352.7088576206</v>
      </c>
      <c r="DZ42" s="443">
        <v>3802352.7088576206</v>
      </c>
      <c r="EA42" s="443">
        <v>3802352.7088576206</v>
      </c>
      <c r="EB42" s="443">
        <v>3802352.7088576206</v>
      </c>
      <c r="EC42" s="443">
        <v>3802352.7088576206</v>
      </c>
      <c r="ED42" s="443">
        <v>3898593.1457068655</v>
      </c>
      <c r="EE42" s="443">
        <v>3898593.1457068655</v>
      </c>
      <c r="EF42" s="443">
        <v>3898593.1457068655</v>
      </c>
      <c r="EG42" s="443">
        <v>3898593.1457068655</v>
      </c>
      <c r="EH42" s="443">
        <v>3898593.1457068655</v>
      </c>
      <c r="EI42" s="443">
        <v>3898593.1457068655</v>
      </c>
      <c r="EJ42" s="443">
        <v>3898593.1457068655</v>
      </c>
      <c r="EK42" s="443">
        <v>3898593.1457068655</v>
      </c>
      <c r="EL42" s="443">
        <v>3898593.1457068655</v>
      </c>
      <c r="EM42" s="443">
        <v>3898593.1457068655</v>
      </c>
      <c r="EN42" s="443">
        <v>3898593.1457068655</v>
      </c>
      <c r="EO42" s="443">
        <v>3898593.1457068655</v>
      </c>
      <c r="EP42" s="443">
        <v>3997269.5011554961</v>
      </c>
      <c r="EQ42" s="443">
        <v>3997269.5011554961</v>
      </c>
      <c r="ER42" s="443">
        <v>3997269.5011554961</v>
      </c>
      <c r="ES42" s="443">
        <v>3997269.5011554961</v>
      </c>
      <c r="ET42" s="443">
        <v>3997269.5011554961</v>
      </c>
      <c r="EU42" s="443">
        <v>3997269.5011554961</v>
      </c>
      <c r="EV42" s="443">
        <v>3997269.5011554961</v>
      </c>
      <c r="EW42" s="443">
        <v>3997269.5011554961</v>
      </c>
      <c r="EX42" s="443">
        <v>3997269.5011554961</v>
      </c>
      <c r="EY42" s="443">
        <v>3997269.5011554961</v>
      </c>
      <c r="EZ42" s="443">
        <v>3997269.5011554961</v>
      </c>
      <c r="FA42" s="443">
        <v>3997269.5011554961</v>
      </c>
      <c r="FB42" s="443">
        <v>4098443.4301545634</v>
      </c>
      <c r="FC42" s="443">
        <v>4098443.4301545634</v>
      </c>
      <c r="FD42" s="443">
        <v>4098443.4301545634</v>
      </c>
      <c r="FE42" s="443">
        <v>4098443.4301545634</v>
      </c>
      <c r="FF42" s="443">
        <v>4098443.4301545634</v>
      </c>
      <c r="FG42" s="443">
        <v>4098443.4301545634</v>
      </c>
      <c r="FH42" s="443">
        <v>4098443.4301545634</v>
      </c>
      <c r="FI42" s="443">
        <v>4098443.4301545634</v>
      </c>
      <c r="FJ42" s="443">
        <v>4098443.4301545634</v>
      </c>
      <c r="FK42" s="443">
        <v>4098443.4301545634</v>
      </c>
      <c r="FL42" s="443">
        <v>4098443.4301545634</v>
      </c>
      <c r="FM42" s="443">
        <v>4098443.4301545634</v>
      </c>
      <c r="FN42" s="443">
        <v>4202178.1481887819</v>
      </c>
      <c r="FO42" s="443">
        <v>4202178.1481887819</v>
      </c>
      <c r="FP42" s="443">
        <v>4202178.1481887819</v>
      </c>
      <c r="FQ42" s="443">
        <v>4202178.1481887819</v>
      </c>
      <c r="FR42" s="443">
        <v>4202178.1481887819</v>
      </c>
      <c r="FS42" s="443">
        <v>4202178.1481887819</v>
      </c>
      <c r="FT42" s="443">
        <v>4202178.1481887819</v>
      </c>
      <c r="FU42" s="443">
        <v>4202178.1481887819</v>
      </c>
      <c r="FV42" s="443">
        <v>4202178.1481887819</v>
      </c>
      <c r="FW42" s="443">
        <v>4202178.1481887819</v>
      </c>
      <c r="FX42" s="443">
        <v>4202178.1481887819</v>
      </c>
      <c r="FY42" s="443">
        <v>4202178.1481887819</v>
      </c>
      <c r="FZ42" s="443">
        <v>0</v>
      </c>
      <c r="GA42" s="443">
        <v>0</v>
      </c>
      <c r="GB42" s="443">
        <v>0</v>
      </c>
      <c r="GC42" s="443">
        <v>0</v>
      </c>
      <c r="GD42" s="443">
        <v>0</v>
      </c>
      <c r="GE42" s="443">
        <v>0</v>
      </c>
      <c r="GF42" s="443">
        <v>0</v>
      </c>
      <c r="GG42" s="443">
        <v>0</v>
      </c>
      <c r="GH42" s="443">
        <v>0</v>
      </c>
      <c r="GI42" s="443">
        <v>0</v>
      </c>
      <c r="GJ42" s="443">
        <v>0</v>
      </c>
      <c r="GK42" s="33">
        <v>0</v>
      </c>
      <c r="GL42" s="27"/>
    </row>
    <row r="43" spans="1:194">
      <c r="A43" s="450" t="s">
        <v>1502</v>
      </c>
      <c r="B43" s="442" t="s">
        <v>1199</v>
      </c>
      <c r="C43" s="517" t="s">
        <v>1490</v>
      </c>
      <c r="D43" s="442" t="s">
        <v>1497</v>
      </c>
      <c r="E43" s="442"/>
      <c r="F43" s="442"/>
      <c r="G43" s="442"/>
      <c r="H43" s="464">
        <v>0</v>
      </c>
      <c r="I43" s="456">
        <v>0</v>
      </c>
      <c r="J43" s="456" t="s">
        <v>1237</v>
      </c>
      <c r="K43" s="456">
        <v>0</v>
      </c>
      <c r="L43" s="456" t="s">
        <v>183</v>
      </c>
      <c r="M43" s="442">
        <v>1</v>
      </c>
      <c r="N43" s="442">
        <v>1</v>
      </c>
      <c r="O43" s="442">
        <v>1</v>
      </c>
      <c r="P43" s="442">
        <v>1</v>
      </c>
      <c r="Q43" s="442">
        <v>1</v>
      </c>
      <c r="R43" s="442">
        <v>1</v>
      </c>
      <c r="S43" s="442">
        <v>1</v>
      </c>
      <c r="T43" s="442">
        <v>1</v>
      </c>
      <c r="U43" s="442">
        <v>1</v>
      </c>
      <c r="V43" s="442">
        <v>1</v>
      </c>
      <c r="W43" s="442">
        <v>0</v>
      </c>
      <c r="X43" s="457">
        <v>0</v>
      </c>
      <c r="Y43" s="442">
        <v>9887500</v>
      </c>
      <c r="Z43" s="442">
        <v>14350000</v>
      </c>
      <c r="AA43" s="442">
        <v>14350000</v>
      </c>
      <c r="AB43" s="442">
        <v>14350000</v>
      </c>
      <c r="AC43" s="442">
        <v>14350000</v>
      </c>
      <c r="AD43" s="442">
        <v>14350000</v>
      </c>
      <c r="AE43" s="442">
        <v>14350000</v>
      </c>
      <c r="AF43" s="442">
        <v>14350000</v>
      </c>
      <c r="AG43" s="442">
        <v>14350000</v>
      </c>
      <c r="AH43" s="442">
        <v>14350000</v>
      </c>
      <c r="AI43" s="442">
        <v>0</v>
      </c>
      <c r="AJ43" s="457">
        <v>12</v>
      </c>
      <c r="AK43" s="457">
        <v>12</v>
      </c>
      <c r="AL43" s="457">
        <v>12</v>
      </c>
      <c r="AM43" s="457">
        <v>12</v>
      </c>
      <c r="AN43" s="457">
        <v>12</v>
      </c>
      <c r="AO43" s="457">
        <v>12</v>
      </c>
      <c r="AP43" s="457">
        <v>12</v>
      </c>
      <c r="AQ43" s="457">
        <v>12</v>
      </c>
      <c r="AR43" s="457">
        <v>12</v>
      </c>
      <c r="AS43" s="457">
        <v>12</v>
      </c>
      <c r="AT43" s="457">
        <v>12</v>
      </c>
      <c r="AU43" s="458">
        <v>1</v>
      </c>
      <c r="AV43" s="510">
        <v>1.02531076</v>
      </c>
      <c r="AW43" s="456">
        <v>0</v>
      </c>
      <c r="AX43" s="443">
        <v>1668450000</v>
      </c>
      <c r="AY43" s="443">
        <v>118650000</v>
      </c>
      <c r="AZ43" s="443">
        <v>172200000</v>
      </c>
      <c r="BA43" s="443">
        <v>172200000</v>
      </c>
      <c r="BB43" s="443">
        <v>172200000</v>
      </c>
      <c r="BC43" s="443">
        <v>172200000</v>
      </c>
      <c r="BD43" s="443">
        <v>172200000</v>
      </c>
      <c r="BE43" s="443">
        <v>172200000</v>
      </c>
      <c r="BF43" s="443">
        <v>172200000</v>
      </c>
      <c r="BG43" s="443">
        <v>172200000</v>
      </c>
      <c r="BH43" s="443">
        <v>172200000</v>
      </c>
      <c r="BI43" s="443">
        <v>0</v>
      </c>
      <c r="BJ43" s="442">
        <v>9887500</v>
      </c>
      <c r="BK43" s="443">
        <v>9887500</v>
      </c>
      <c r="BL43" s="443">
        <v>9887500</v>
      </c>
      <c r="BM43" s="443">
        <v>9887500</v>
      </c>
      <c r="BN43" s="443">
        <v>9887500</v>
      </c>
      <c r="BO43" s="443">
        <v>9887500</v>
      </c>
      <c r="BP43" s="443">
        <v>9887500</v>
      </c>
      <c r="BQ43" s="443">
        <v>9887500</v>
      </c>
      <c r="BR43" s="443">
        <v>9887500</v>
      </c>
      <c r="BS43" s="443">
        <v>9887500</v>
      </c>
      <c r="BT43" s="443">
        <v>9887500</v>
      </c>
      <c r="BU43" s="443">
        <v>9887500</v>
      </c>
      <c r="BV43" s="443">
        <v>14350000</v>
      </c>
      <c r="BW43" s="443">
        <v>14350000</v>
      </c>
      <c r="BX43" s="443">
        <v>14350000</v>
      </c>
      <c r="BY43" s="443">
        <v>14350000</v>
      </c>
      <c r="BZ43" s="443">
        <v>14350000</v>
      </c>
      <c r="CA43" s="443">
        <v>14350000</v>
      </c>
      <c r="CB43" s="443">
        <v>14350000</v>
      </c>
      <c r="CC43" s="443">
        <v>14350000</v>
      </c>
      <c r="CD43" s="443">
        <v>14350000</v>
      </c>
      <c r="CE43" s="443">
        <v>14350000</v>
      </c>
      <c r="CF43" s="443">
        <v>14350000</v>
      </c>
      <c r="CG43" s="443">
        <v>14350000</v>
      </c>
      <c r="CH43" s="443">
        <v>14350000</v>
      </c>
      <c r="CI43" s="443">
        <v>14350000</v>
      </c>
      <c r="CJ43" s="443">
        <v>14350000</v>
      </c>
      <c r="CK43" s="443">
        <v>14350000</v>
      </c>
      <c r="CL43" s="443">
        <v>14350000</v>
      </c>
      <c r="CM43" s="443">
        <v>14350000</v>
      </c>
      <c r="CN43" s="443">
        <v>14350000</v>
      </c>
      <c r="CO43" s="443">
        <v>14350000</v>
      </c>
      <c r="CP43" s="443">
        <v>14350000</v>
      </c>
      <c r="CQ43" s="443">
        <v>14350000</v>
      </c>
      <c r="CR43" s="443">
        <v>14350000</v>
      </c>
      <c r="CS43" s="443">
        <v>14350000</v>
      </c>
      <c r="CT43" s="443">
        <v>14350000</v>
      </c>
      <c r="CU43" s="443">
        <v>14350000</v>
      </c>
      <c r="CV43" s="443">
        <v>14350000</v>
      </c>
      <c r="CW43" s="443">
        <v>14350000</v>
      </c>
      <c r="CX43" s="443">
        <v>14350000</v>
      </c>
      <c r="CY43" s="443">
        <v>14350000</v>
      </c>
      <c r="CZ43" s="443">
        <v>14350000</v>
      </c>
      <c r="DA43" s="443">
        <v>14350000</v>
      </c>
      <c r="DB43" s="443">
        <v>14350000</v>
      </c>
      <c r="DC43" s="443">
        <v>14350000</v>
      </c>
      <c r="DD43" s="443">
        <v>14350000</v>
      </c>
      <c r="DE43" s="443">
        <v>14350000</v>
      </c>
      <c r="DF43" s="443">
        <v>14350000</v>
      </c>
      <c r="DG43" s="443">
        <v>14350000</v>
      </c>
      <c r="DH43" s="443">
        <v>14350000</v>
      </c>
      <c r="DI43" s="443">
        <v>14350000</v>
      </c>
      <c r="DJ43" s="443">
        <v>14350000</v>
      </c>
      <c r="DK43" s="443">
        <v>14350000</v>
      </c>
      <c r="DL43" s="443">
        <v>14350000</v>
      </c>
      <c r="DM43" s="443">
        <v>14350000</v>
      </c>
      <c r="DN43" s="443">
        <v>14350000</v>
      </c>
      <c r="DO43" s="443">
        <v>14350000</v>
      </c>
      <c r="DP43" s="443">
        <v>14350000</v>
      </c>
      <c r="DQ43" s="443">
        <v>14350000</v>
      </c>
      <c r="DR43" s="443">
        <v>14350000</v>
      </c>
      <c r="DS43" s="443">
        <v>14350000</v>
      </c>
      <c r="DT43" s="443">
        <v>14350000</v>
      </c>
      <c r="DU43" s="443">
        <v>14350000</v>
      </c>
      <c r="DV43" s="443">
        <v>14350000</v>
      </c>
      <c r="DW43" s="443">
        <v>14350000</v>
      </c>
      <c r="DX43" s="443">
        <v>14350000</v>
      </c>
      <c r="DY43" s="443">
        <v>14350000</v>
      </c>
      <c r="DZ43" s="443">
        <v>14350000</v>
      </c>
      <c r="EA43" s="443">
        <v>14350000</v>
      </c>
      <c r="EB43" s="443">
        <v>14350000</v>
      </c>
      <c r="EC43" s="443">
        <v>14350000</v>
      </c>
      <c r="ED43" s="443">
        <v>14350000</v>
      </c>
      <c r="EE43" s="443">
        <v>14350000</v>
      </c>
      <c r="EF43" s="443">
        <v>14350000</v>
      </c>
      <c r="EG43" s="443">
        <v>14350000</v>
      </c>
      <c r="EH43" s="443">
        <v>14350000</v>
      </c>
      <c r="EI43" s="443">
        <v>14350000</v>
      </c>
      <c r="EJ43" s="443">
        <v>14350000</v>
      </c>
      <c r="EK43" s="443">
        <v>14350000</v>
      </c>
      <c r="EL43" s="443">
        <v>14350000</v>
      </c>
      <c r="EM43" s="443">
        <v>14350000</v>
      </c>
      <c r="EN43" s="443">
        <v>14350000</v>
      </c>
      <c r="EO43" s="443">
        <v>14350000</v>
      </c>
      <c r="EP43" s="443">
        <v>14350000</v>
      </c>
      <c r="EQ43" s="443">
        <v>14350000</v>
      </c>
      <c r="ER43" s="443">
        <v>14350000</v>
      </c>
      <c r="ES43" s="443">
        <v>14350000</v>
      </c>
      <c r="ET43" s="443">
        <v>14350000</v>
      </c>
      <c r="EU43" s="443">
        <v>14350000</v>
      </c>
      <c r="EV43" s="443">
        <v>14350000</v>
      </c>
      <c r="EW43" s="443">
        <v>14350000</v>
      </c>
      <c r="EX43" s="443">
        <v>14350000</v>
      </c>
      <c r="EY43" s="443">
        <v>14350000</v>
      </c>
      <c r="EZ43" s="443">
        <v>14350000</v>
      </c>
      <c r="FA43" s="443">
        <v>14350000</v>
      </c>
      <c r="FB43" s="443">
        <v>14350000</v>
      </c>
      <c r="FC43" s="443">
        <v>14350000</v>
      </c>
      <c r="FD43" s="443">
        <v>14350000</v>
      </c>
      <c r="FE43" s="443">
        <v>14350000</v>
      </c>
      <c r="FF43" s="443">
        <v>14350000</v>
      </c>
      <c r="FG43" s="443">
        <v>14350000</v>
      </c>
      <c r="FH43" s="443">
        <v>14350000</v>
      </c>
      <c r="FI43" s="443">
        <v>14350000</v>
      </c>
      <c r="FJ43" s="443">
        <v>14350000</v>
      </c>
      <c r="FK43" s="443">
        <v>14350000</v>
      </c>
      <c r="FL43" s="443">
        <v>14350000</v>
      </c>
      <c r="FM43" s="443">
        <v>14350000</v>
      </c>
      <c r="FN43" s="443">
        <v>14350000</v>
      </c>
      <c r="FO43" s="443">
        <v>14350000</v>
      </c>
      <c r="FP43" s="443">
        <v>14350000</v>
      </c>
      <c r="FQ43" s="443">
        <v>14350000</v>
      </c>
      <c r="FR43" s="443">
        <v>14350000</v>
      </c>
      <c r="FS43" s="443">
        <v>14350000</v>
      </c>
      <c r="FT43" s="443">
        <v>14350000</v>
      </c>
      <c r="FU43" s="443">
        <v>14350000</v>
      </c>
      <c r="FV43" s="443">
        <v>14350000</v>
      </c>
      <c r="FW43" s="443">
        <v>14350000</v>
      </c>
      <c r="FX43" s="443">
        <v>14350000</v>
      </c>
      <c r="FY43" s="443">
        <v>14350000</v>
      </c>
      <c r="FZ43" s="443">
        <v>0</v>
      </c>
      <c r="GA43" s="443">
        <v>0</v>
      </c>
      <c r="GB43" s="443">
        <v>0</v>
      </c>
      <c r="GC43" s="443">
        <v>0</v>
      </c>
      <c r="GD43" s="443">
        <v>0</v>
      </c>
      <c r="GE43" s="443">
        <v>0</v>
      </c>
      <c r="GF43" s="443">
        <v>0</v>
      </c>
      <c r="GG43" s="443">
        <v>0</v>
      </c>
      <c r="GH43" s="443">
        <v>0</v>
      </c>
      <c r="GI43" s="443">
        <v>0</v>
      </c>
      <c r="GJ43" s="443">
        <v>0</v>
      </c>
      <c r="GK43" s="33">
        <v>0</v>
      </c>
      <c r="GL43" s="27"/>
    </row>
    <row r="44" spans="1:194" ht="18" thickBot="1">
      <c r="A44" s="536" t="s">
        <v>1499</v>
      </c>
      <c r="B44" s="451" t="s">
        <v>1184</v>
      </c>
      <c r="C44" s="518" t="s">
        <v>1490</v>
      </c>
      <c r="D44" s="451" t="s">
        <v>1497</v>
      </c>
      <c r="E44" s="451"/>
      <c r="F44" s="451"/>
      <c r="G44" s="451"/>
      <c r="H44" s="465">
        <v>0</v>
      </c>
      <c r="I44" s="460">
        <v>0</v>
      </c>
      <c r="J44" s="460" t="s">
        <v>1237</v>
      </c>
      <c r="K44" s="460">
        <v>0</v>
      </c>
      <c r="L44" s="460" t="s">
        <v>183</v>
      </c>
      <c r="M44" s="451">
        <v>1</v>
      </c>
      <c r="N44" s="451">
        <v>1</v>
      </c>
      <c r="O44" s="451">
        <v>1</v>
      </c>
      <c r="P44" s="451">
        <v>1</v>
      </c>
      <c r="Q44" s="451">
        <v>1</v>
      </c>
      <c r="R44" s="451">
        <v>1</v>
      </c>
      <c r="S44" s="451">
        <v>1</v>
      </c>
      <c r="T44" s="451">
        <v>1</v>
      </c>
      <c r="U44" s="451">
        <v>1</v>
      </c>
      <c r="V44" s="451">
        <v>1</v>
      </c>
      <c r="W44" s="451">
        <v>0</v>
      </c>
      <c r="X44" s="461">
        <v>3</v>
      </c>
      <c r="Y44" s="451">
        <v>17850000</v>
      </c>
      <c r="Z44" s="451">
        <v>17850000</v>
      </c>
      <c r="AA44" s="451">
        <v>17850000</v>
      </c>
      <c r="AB44" s="451">
        <v>17850000</v>
      </c>
      <c r="AC44" s="451">
        <v>17850000</v>
      </c>
      <c r="AD44" s="451">
        <v>17850000</v>
      </c>
      <c r="AE44" s="451">
        <v>17850000</v>
      </c>
      <c r="AF44" s="451">
        <v>17850000</v>
      </c>
      <c r="AG44" s="451">
        <v>17850000</v>
      </c>
      <c r="AH44" s="451">
        <v>17850000</v>
      </c>
      <c r="AI44" s="451">
        <v>0</v>
      </c>
      <c r="AJ44" s="461">
        <v>9</v>
      </c>
      <c r="AK44" s="461">
        <v>12</v>
      </c>
      <c r="AL44" s="461">
        <v>12</v>
      </c>
      <c r="AM44" s="461">
        <v>12</v>
      </c>
      <c r="AN44" s="461">
        <v>12</v>
      </c>
      <c r="AO44" s="461">
        <v>12</v>
      </c>
      <c r="AP44" s="461">
        <v>12</v>
      </c>
      <c r="AQ44" s="461">
        <v>12</v>
      </c>
      <c r="AR44" s="461">
        <v>12</v>
      </c>
      <c r="AS44" s="461">
        <v>12</v>
      </c>
      <c r="AT44" s="461">
        <v>12</v>
      </c>
      <c r="AU44" s="462">
        <v>1</v>
      </c>
      <c r="AV44" s="524">
        <v>1.02531076</v>
      </c>
      <c r="AW44" s="460">
        <v>0</v>
      </c>
      <c r="AX44" s="452">
        <v>2088450000</v>
      </c>
      <c r="AY44" s="452">
        <v>160650000</v>
      </c>
      <c r="AZ44" s="452">
        <v>214200000</v>
      </c>
      <c r="BA44" s="452">
        <v>214200000</v>
      </c>
      <c r="BB44" s="452">
        <v>214200000</v>
      </c>
      <c r="BC44" s="452">
        <v>214200000</v>
      </c>
      <c r="BD44" s="452">
        <v>214200000</v>
      </c>
      <c r="BE44" s="452">
        <v>214200000</v>
      </c>
      <c r="BF44" s="452">
        <v>214200000</v>
      </c>
      <c r="BG44" s="452">
        <v>214200000</v>
      </c>
      <c r="BH44" s="452">
        <v>214200000</v>
      </c>
      <c r="BI44" s="452">
        <v>0</v>
      </c>
      <c r="BJ44" s="533">
        <v>0</v>
      </c>
      <c r="BK44" s="533">
        <v>0</v>
      </c>
      <c r="BL44" s="533">
        <v>0</v>
      </c>
      <c r="BM44" s="451">
        <v>17850000</v>
      </c>
      <c r="BN44" s="452">
        <v>17850000</v>
      </c>
      <c r="BO44" s="452">
        <v>17850000</v>
      </c>
      <c r="BP44" s="452">
        <v>17850000</v>
      </c>
      <c r="BQ44" s="452">
        <v>17850000</v>
      </c>
      <c r="BR44" s="452">
        <v>17850000</v>
      </c>
      <c r="BS44" s="452">
        <v>17850000</v>
      </c>
      <c r="BT44" s="452">
        <v>17850000</v>
      </c>
      <c r="BU44" s="452">
        <v>17850000</v>
      </c>
      <c r="BV44" s="452">
        <v>17850000</v>
      </c>
      <c r="BW44" s="452">
        <v>17850000</v>
      </c>
      <c r="BX44" s="452">
        <v>17850000</v>
      </c>
      <c r="BY44" s="452">
        <v>17850000</v>
      </c>
      <c r="BZ44" s="452">
        <v>17850000</v>
      </c>
      <c r="CA44" s="452">
        <v>17850000</v>
      </c>
      <c r="CB44" s="452">
        <v>17850000</v>
      </c>
      <c r="CC44" s="452">
        <v>17850000</v>
      </c>
      <c r="CD44" s="452">
        <v>17850000</v>
      </c>
      <c r="CE44" s="452">
        <v>17850000</v>
      </c>
      <c r="CF44" s="452">
        <v>17850000</v>
      </c>
      <c r="CG44" s="452">
        <v>17850000</v>
      </c>
      <c r="CH44" s="452">
        <v>17850000</v>
      </c>
      <c r="CI44" s="452">
        <v>17850000</v>
      </c>
      <c r="CJ44" s="452">
        <v>17850000</v>
      </c>
      <c r="CK44" s="452">
        <v>17850000</v>
      </c>
      <c r="CL44" s="452">
        <v>17850000</v>
      </c>
      <c r="CM44" s="452">
        <v>17850000</v>
      </c>
      <c r="CN44" s="452">
        <v>17850000</v>
      </c>
      <c r="CO44" s="452">
        <v>17850000</v>
      </c>
      <c r="CP44" s="452">
        <v>17850000</v>
      </c>
      <c r="CQ44" s="452">
        <v>17850000</v>
      </c>
      <c r="CR44" s="452">
        <v>17850000</v>
      </c>
      <c r="CS44" s="452">
        <v>17850000</v>
      </c>
      <c r="CT44" s="452">
        <v>17850000</v>
      </c>
      <c r="CU44" s="452">
        <v>17850000</v>
      </c>
      <c r="CV44" s="452">
        <v>17850000</v>
      </c>
      <c r="CW44" s="452">
        <v>17850000</v>
      </c>
      <c r="CX44" s="452">
        <v>17850000</v>
      </c>
      <c r="CY44" s="452">
        <v>17850000</v>
      </c>
      <c r="CZ44" s="452">
        <v>17850000</v>
      </c>
      <c r="DA44" s="452">
        <v>17850000</v>
      </c>
      <c r="DB44" s="452">
        <v>17850000</v>
      </c>
      <c r="DC44" s="452">
        <v>17850000</v>
      </c>
      <c r="DD44" s="452">
        <v>17850000</v>
      </c>
      <c r="DE44" s="452">
        <v>17850000</v>
      </c>
      <c r="DF44" s="452">
        <v>17850000</v>
      </c>
      <c r="DG44" s="452">
        <v>17850000</v>
      </c>
      <c r="DH44" s="452">
        <v>17850000</v>
      </c>
      <c r="DI44" s="452">
        <v>17850000</v>
      </c>
      <c r="DJ44" s="452">
        <v>17850000</v>
      </c>
      <c r="DK44" s="452">
        <v>17850000</v>
      </c>
      <c r="DL44" s="452">
        <v>17850000</v>
      </c>
      <c r="DM44" s="452">
        <v>17850000</v>
      </c>
      <c r="DN44" s="452">
        <v>17850000</v>
      </c>
      <c r="DO44" s="452">
        <v>17850000</v>
      </c>
      <c r="DP44" s="452">
        <v>17850000</v>
      </c>
      <c r="DQ44" s="452">
        <v>17850000</v>
      </c>
      <c r="DR44" s="452">
        <v>17850000</v>
      </c>
      <c r="DS44" s="452">
        <v>17850000</v>
      </c>
      <c r="DT44" s="452">
        <v>17850000</v>
      </c>
      <c r="DU44" s="452">
        <v>17850000</v>
      </c>
      <c r="DV44" s="452">
        <v>17850000</v>
      </c>
      <c r="DW44" s="452">
        <v>17850000</v>
      </c>
      <c r="DX44" s="452">
        <v>17850000</v>
      </c>
      <c r="DY44" s="452">
        <v>17850000</v>
      </c>
      <c r="DZ44" s="452">
        <v>17850000</v>
      </c>
      <c r="EA44" s="452">
        <v>17850000</v>
      </c>
      <c r="EB44" s="452">
        <v>17850000</v>
      </c>
      <c r="EC44" s="452">
        <v>17850000</v>
      </c>
      <c r="ED44" s="452">
        <v>17850000</v>
      </c>
      <c r="EE44" s="452">
        <v>17850000</v>
      </c>
      <c r="EF44" s="452">
        <v>17850000</v>
      </c>
      <c r="EG44" s="452">
        <v>17850000</v>
      </c>
      <c r="EH44" s="452">
        <v>17850000</v>
      </c>
      <c r="EI44" s="452">
        <v>17850000</v>
      </c>
      <c r="EJ44" s="452">
        <v>17850000</v>
      </c>
      <c r="EK44" s="452">
        <v>17850000</v>
      </c>
      <c r="EL44" s="452">
        <v>17850000</v>
      </c>
      <c r="EM44" s="452">
        <v>17850000</v>
      </c>
      <c r="EN44" s="452">
        <v>17850000</v>
      </c>
      <c r="EO44" s="452">
        <v>17850000</v>
      </c>
      <c r="EP44" s="452">
        <v>17850000</v>
      </c>
      <c r="EQ44" s="452">
        <v>17850000</v>
      </c>
      <c r="ER44" s="452">
        <v>17850000</v>
      </c>
      <c r="ES44" s="452">
        <v>17850000</v>
      </c>
      <c r="ET44" s="452">
        <v>17850000</v>
      </c>
      <c r="EU44" s="452">
        <v>17850000</v>
      </c>
      <c r="EV44" s="452">
        <v>17850000</v>
      </c>
      <c r="EW44" s="452">
        <v>17850000</v>
      </c>
      <c r="EX44" s="452">
        <v>17850000</v>
      </c>
      <c r="EY44" s="452">
        <v>17850000</v>
      </c>
      <c r="EZ44" s="452">
        <v>17850000</v>
      </c>
      <c r="FA44" s="452">
        <v>17850000</v>
      </c>
      <c r="FB44" s="452">
        <v>17850000</v>
      </c>
      <c r="FC44" s="452">
        <v>17850000</v>
      </c>
      <c r="FD44" s="452">
        <v>17850000</v>
      </c>
      <c r="FE44" s="452">
        <v>17850000</v>
      </c>
      <c r="FF44" s="452">
        <v>17850000</v>
      </c>
      <c r="FG44" s="452">
        <v>17850000</v>
      </c>
      <c r="FH44" s="452">
        <v>17850000</v>
      </c>
      <c r="FI44" s="452">
        <v>17850000</v>
      </c>
      <c r="FJ44" s="452">
        <v>17850000</v>
      </c>
      <c r="FK44" s="452">
        <v>17850000</v>
      </c>
      <c r="FL44" s="452">
        <v>17850000</v>
      </c>
      <c r="FM44" s="452">
        <v>17850000</v>
      </c>
      <c r="FN44" s="452">
        <v>17850000</v>
      </c>
      <c r="FO44" s="452">
        <v>17850000</v>
      </c>
      <c r="FP44" s="452">
        <v>17850000</v>
      </c>
      <c r="FQ44" s="452">
        <v>17850000</v>
      </c>
      <c r="FR44" s="452">
        <v>17850000</v>
      </c>
      <c r="FS44" s="452">
        <v>17850000</v>
      </c>
      <c r="FT44" s="452">
        <v>17850000</v>
      </c>
      <c r="FU44" s="452">
        <v>17850000</v>
      </c>
      <c r="FV44" s="452">
        <v>17850000</v>
      </c>
      <c r="FW44" s="452">
        <v>17850000</v>
      </c>
      <c r="FX44" s="452">
        <v>17850000</v>
      </c>
      <c r="FY44" s="452">
        <v>17850000</v>
      </c>
      <c r="FZ44" s="452">
        <v>0</v>
      </c>
      <c r="GA44" s="452">
        <v>0</v>
      </c>
      <c r="GB44" s="452">
        <v>0</v>
      </c>
      <c r="GC44" s="452">
        <v>0</v>
      </c>
      <c r="GD44" s="452">
        <v>0</v>
      </c>
      <c r="GE44" s="452">
        <v>0</v>
      </c>
      <c r="GF44" s="452">
        <v>0</v>
      </c>
      <c r="GG44" s="452">
        <v>0</v>
      </c>
      <c r="GH44" s="452">
        <v>0</v>
      </c>
      <c r="GI44" s="452">
        <v>0</v>
      </c>
      <c r="GJ44" s="452">
        <v>0</v>
      </c>
      <c r="GK44" s="31">
        <v>0</v>
      </c>
      <c r="GL44" s="27"/>
    </row>
  </sheetData>
  <autoFilter ref="A4:GL42"/>
  <phoneticPr fontId="1" type="noConversion"/>
  <conditionalFormatting sqref="B31:B34 D31:I32 D33:D34 F33:I34 G6:I30 J6:W34 A35:W42 G5:X5 H43:L44 X6:X44">
    <cfRule type="expression" dxfId="82" priority="17">
      <formula>OR($D5="MA",$D5="운영")</formula>
    </cfRule>
  </conditionalFormatting>
  <conditionalFormatting sqref="A5:B5 A6:A34 B5:B30">
    <cfRule type="expression" dxfId="81" priority="14">
      <formula>OR($D5="MA",$D5="운영")</formula>
    </cfRule>
  </conditionalFormatting>
  <conditionalFormatting sqref="Y5:AI28 Y29:AH42">
    <cfRule type="expression" dxfId="80" priority="15">
      <formula>OR($D5="MA",$D5="운영")</formula>
    </cfRule>
  </conditionalFormatting>
  <conditionalFormatting sqref="F5:F30">
    <cfRule type="expression" dxfId="79" priority="13">
      <formula>OR($D5="MA",$D5="운영")</formula>
    </cfRule>
  </conditionalFormatting>
  <conditionalFormatting sqref="D5:E30">
    <cfRule type="expression" dxfId="78" priority="12">
      <formula>OR($D5="MA",$D5="운영")</formula>
    </cfRule>
  </conditionalFormatting>
  <conditionalFormatting sqref="C31:C32">
    <cfRule type="expression" dxfId="77" priority="11">
      <formula>OR($D31="MA",$D31="운영")</formula>
    </cfRule>
  </conditionalFormatting>
  <conditionalFormatting sqref="C5:C30">
    <cfRule type="expression" dxfId="76" priority="10">
      <formula>OR($D5="MA",$D5="운영")</formula>
    </cfRule>
  </conditionalFormatting>
  <conditionalFormatting sqref="C33:C34">
    <cfRule type="expression" dxfId="75" priority="9">
      <formula>OR($D33="MA",$D33="운영")</formula>
    </cfRule>
  </conditionalFormatting>
  <conditionalFormatting sqref="E33:E34">
    <cfRule type="expression" dxfId="74" priority="7">
      <formula>OR($D33="MA",$D33="운영")</formula>
    </cfRule>
  </conditionalFormatting>
  <conditionalFormatting sqref="AK43:AT43">
    <cfRule type="expression" dxfId="73" priority="3">
      <formula>OR($D43="MA",$D43="운영")</formula>
    </cfRule>
  </conditionalFormatting>
  <conditionalFormatting sqref="AI29:AI41 AV44:AW44">
    <cfRule type="expression" dxfId="72" priority="6">
      <formula>OR($D29="MA",$D29="운영")</formula>
    </cfRule>
  </conditionalFormatting>
  <conditionalFormatting sqref="AK44:AT44">
    <cfRule type="expression" dxfId="71" priority="5">
      <formula>OR($D44="MA",$D44="운영")</formula>
    </cfRule>
  </conditionalFormatting>
  <conditionalFormatting sqref="AJ5:AT27 AV5:AW43 AK28:AT41 AJ28:AJ44">
    <cfRule type="expression" dxfId="70" priority="4">
      <formula>OR($D5="MA",$D5="운영")</formula>
    </cfRule>
  </conditionalFormatting>
  <conditionalFormatting sqref="AI42">
    <cfRule type="expression" dxfId="69" priority="2">
      <formula>OR($D42="MA",$D42="운영")</formula>
    </cfRule>
  </conditionalFormatting>
  <conditionalFormatting sqref="AK42:AT42">
    <cfRule type="expression" dxfId="68" priority="1">
      <formula>OR($D42="MA",$D42="운영")</formula>
    </cfRule>
  </conditionalFormatting>
  <hyperlinks>
    <hyperlink ref="A1" location="HOME!A1" display="HOME"/>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989" r:id="rId4" name="OptionButton2">
          <controlPr defaultSize="0" autoFill="0" autoLine="0" r:id="rId5">
            <anchor moveWithCells="1">
              <from>
                <xdr:col>195</xdr:col>
                <xdr:colOff>571500</xdr:colOff>
                <xdr:row>0</xdr:row>
                <xdr:rowOff>198120</xdr:rowOff>
              </from>
              <to>
                <xdr:col>197</xdr:col>
                <xdr:colOff>342900</xdr:colOff>
                <xdr:row>1</xdr:row>
                <xdr:rowOff>144780</xdr:rowOff>
              </to>
            </anchor>
          </controlPr>
        </control>
      </mc:Choice>
      <mc:Fallback>
        <control shapeId="41989" r:id="rId4" name="OptionButton2"/>
      </mc:Fallback>
    </mc:AlternateContent>
    <mc:AlternateContent xmlns:mc="http://schemas.openxmlformats.org/markup-compatibility/2006">
      <mc:Choice Requires="x14">
        <control shapeId="41988" r:id="rId6" name="OptionButton1">
          <controlPr defaultSize="0" disabled="1" autoFill="0" autoLine="0" r:id="rId7">
            <anchor moveWithCells="1">
              <from>
                <xdr:col>193</xdr:col>
                <xdr:colOff>541020</xdr:colOff>
                <xdr:row>0</xdr:row>
                <xdr:rowOff>220980</xdr:rowOff>
              </from>
              <to>
                <xdr:col>195</xdr:col>
                <xdr:colOff>358140</xdr:colOff>
                <xdr:row>1</xdr:row>
                <xdr:rowOff>121920</xdr:rowOff>
              </to>
            </anchor>
          </controlPr>
        </control>
      </mc:Choice>
      <mc:Fallback>
        <control shapeId="41988" r:id="rId6" name="OptionButton1"/>
      </mc:Fallback>
    </mc:AlternateContent>
    <mc:AlternateContent xmlns:mc="http://schemas.openxmlformats.org/markup-compatibility/2006">
      <mc:Choice Requires="x14">
        <control shapeId="41985" r:id="rId8" name="cmd_CS인건비">
          <controlPr defaultSize="0" autoFill="0" autoLine="0" r:id="rId9">
            <anchor moveWithCells="1">
              <from>
                <xdr:col>3</xdr:col>
                <xdr:colOff>22860</xdr:colOff>
                <xdr:row>0</xdr:row>
                <xdr:rowOff>7620</xdr:rowOff>
              </from>
              <to>
                <xdr:col>3</xdr:col>
                <xdr:colOff>937260</xdr:colOff>
                <xdr:row>0</xdr:row>
                <xdr:rowOff>320040</xdr:rowOff>
              </to>
            </anchor>
          </controlPr>
        </control>
      </mc:Choice>
      <mc:Fallback>
        <control shapeId="41985" r:id="rId8" name="cmd_CS인건비"/>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1_Sheet">
    <tabColor theme="9" tint="0.39997558519241921"/>
  </sheetPr>
  <dimension ref="A1:FJ37"/>
  <sheetViews>
    <sheetView showGridLines="0" topLeftCell="C16" zoomScale="70" zoomScaleNormal="70" workbookViewId="0">
      <selection activeCell="J5" sqref="J5:J37"/>
    </sheetView>
  </sheetViews>
  <sheetFormatPr defaultRowHeight="17.399999999999999"/>
  <cols>
    <col min="1" max="1" width="14.69921875" bestFit="1" customWidth="1"/>
    <col min="2" max="2" width="10.8984375" bestFit="1" customWidth="1"/>
    <col min="3" max="5" width="7.59765625" customWidth="1"/>
    <col min="6" max="6" width="23.8984375" bestFit="1" customWidth="1"/>
    <col min="7" max="7" width="35" bestFit="1" customWidth="1"/>
    <col min="8" max="8" width="35.69921875" style="42" customWidth="1"/>
    <col min="9" max="9" width="18.5" bestFit="1" customWidth="1"/>
    <col min="10" max="10" width="13" bestFit="1" customWidth="1"/>
    <col min="11" max="11" width="11.296875" bestFit="1" customWidth="1"/>
    <col min="12" max="12" width="11" bestFit="1" customWidth="1"/>
    <col min="13" max="13" width="11.296875" bestFit="1" customWidth="1"/>
    <col min="14" max="14" width="16.19921875" bestFit="1" customWidth="1"/>
    <col min="15" max="15" width="11.69921875" bestFit="1" customWidth="1"/>
    <col min="16" max="16" width="15" bestFit="1" customWidth="1"/>
    <col min="17" max="17" width="10" customWidth="1"/>
    <col min="18" max="18" width="9.59765625" customWidth="1"/>
    <col min="19" max="19" width="14" bestFit="1" customWidth="1"/>
    <col min="20" max="20" width="15.5" customWidth="1"/>
    <col min="21" max="21" width="9.09765625" bestFit="1" customWidth="1"/>
    <col min="22" max="22" width="11.69921875" bestFit="1" customWidth="1"/>
    <col min="23" max="23" width="14.59765625" bestFit="1" customWidth="1"/>
    <col min="24" max="34" width="13.296875" bestFit="1" customWidth="1"/>
    <col min="35" max="39" width="11.69921875" bestFit="1" customWidth="1"/>
    <col min="40" max="44" width="11.796875" bestFit="1" customWidth="1"/>
    <col min="45" max="46" width="11.69921875" bestFit="1" customWidth="1"/>
    <col min="47" max="142" width="11.796875" bestFit="1" customWidth="1"/>
    <col min="143" max="166" width="11.8984375" bestFit="1" customWidth="1"/>
  </cols>
  <sheetData>
    <row r="1" spans="1:166" ht="30" customHeight="1" thickBot="1"/>
    <row r="2" spans="1:166" s="4" customFormat="1" ht="30" customHeight="1" thickBot="1">
      <c r="A2" s="71" t="s">
        <v>287</v>
      </c>
      <c r="H2" s="432"/>
      <c r="P2" s="430">
        <f>SUBTOTAL(9, P5:P187)</f>
        <v>608157860</v>
      </c>
      <c r="W2" s="429">
        <f t="shared" ref="W2:BB2" si="0">SUBTOTAL(9, W5:W187)</f>
        <v>638056200.79999995</v>
      </c>
      <c r="X2" s="35">
        <f t="shared" si="0"/>
        <v>31500000</v>
      </c>
      <c r="Y2" s="35">
        <f t="shared" si="0"/>
        <v>88192000</v>
      </c>
      <c r="Z2" s="35">
        <f t="shared" si="0"/>
        <v>108072000</v>
      </c>
      <c r="AA2" s="35">
        <f t="shared" si="0"/>
        <v>62470314.399999999</v>
      </c>
      <c r="AB2" s="35">
        <f t="shared" si="0"/>
        <v>57970314.399999999</v>
      </c>
      <c r="AC2" s="35">
        <f t="shared" si="0"/>
        <v>57970314.399999999</v>
      </c>
      <c r="AD2" s="35">
        <f t="shared" si="0"/>
        <v>57970314.399999999</v>
      </c>
      <c r="AE2" s="35">
        <f t="shared" si="0"/>
        <v>57970314.399999999</v>
      </c>
      <c r="AF2" s="35">
        <f t="shared" si="0"/>
        <v>57970314.399999999</v>
      </c>
      <c r="AG2" s="35">
        <f t="shared" si="0"/>
        <v>57970314.399999999</v>
      </c>
      <c r="AH2" s="35">
        <f t="shared" si="0"/>
        <v>0</v>
      </c>
      <c r="AI2" s="36">
        <f t="shared" si="0"/>
        <v>0</v>
      </c>
      <c r="AJ2" s="36">
        <f t="shared" si="0"/>
        <v>0</v>
      </c>
      <c r="AK2" s="36">
        <f t="shared" si="0"/>
        <v>0</v>
      </c>
      <c r="AL2" s="36">
        <f t="shared" si="0"/>
        <v>0</v>
      </c>
      <c r="AM2" s="36">
        <f t="shared" si="0"/>
        <v>0</v>
      </c>
      <c r="AN2" s="36">
        <f t="shared" si="0"/>
        <v>4500000</v>
      </c>
      <c r="AO2" s="36">
        <f t="shared" si="0"/>
        <v>4500000</v>
      </c>
      <c r="AP2" s="36">
        <f t="shared" si="0"/>
        <v>4500000</v>
      </c>
      <c r="AQ2" s="36">
        <f t="shared" si="0"/>
        <v>4500000</v>
      </c>
      <c r="AR2" s="36">
        <f t="shared" si="0"/>
        <v>4500000</v>
      </c>
      <c r="AS2" s="36">
        <f t="shared" si="0"/>
        <v>4500000</v>
      </c>
      <c r="AT2" s="36">
        <f t="shared" si="0"/>
        <v>4500000</v>
      </c>
      <c r="AU2" s="35">
        <f t="shared" si="0"/>
        <v>6166000</v>
      </c>
      <c r="AV2" s="35">
        <f t="shared" si="0"/>
        <v>6166000</v>
      </c>
      <c r="AW2" s="35">
        <f t="shared" si="0"/>
        <v>6166000</v>
      </c>
      <c r="AX2" s="35">
        <f t="shared" si="0"/>
        <v>6166000</v>
      </c>
      <c r="AY2" s="35">
        <f t="shared" si="0"/>
        <v>6166000</v>
      </c>
      <c r="AZ2" s="35">
        <f t="shared" si="0"/>
        <v>6166000</v>
      </c>
      <c r="BA2" s="35">
        <f t="shared" si="0"/>
        <v>6166000</v>
      </c>
      <c r="BB2" s="35">
        <f t="shared" si="0"/>
        <v>9006000</v>
      </c>
      <c r="BC2" s="35">
        <f t="shared" ref="BC2:CH2" si="1">SUBTOTAL(9, BC5:BC187)</f>
        <v>9006000</v>
      </c>
      <c r="BD2" s="35">
        <f t="shared" si="1"/>
        <v>9006000</v>
      </c>
      <c r="BE2" s="35">
        <f t="shared" si="1"/>
        <v>9006000</v>
      </c>
      <c r="BF2" s="35">
        <f t="shared" si="1"/>
        <v>9006000</v>
      </c>
      <c r="BG2" s="36">
        <f t="shared" si="1"/>
        <v>9006000</v>
      </c>
      <c r="BH2" s="36">
        <f t="shared" si="1"/>
        <v>9006000</v>
      </c>
      <c r="BI2" s="36">
        <f t="shared" si="1"/>
        <v>9006000</v>
      </c>
      <c r="BJ2" s="36">
        <f t="shared" si="1"/>
        <v>9006000</v>
      </c>
      <c r="BK2" s="36">
        <f t="shared" si="1"/>
        <v>9006000</v>
      </c>
      <c r="BL2" s="36">
        <f t="shared" si="1"/>
        <v>9006000</v>
      </c>
      <c r="BM2" s="36">
        <f t="shared" si="1"/>
        <v>9006000</v>
      </c>
      <c r="BN2" s="36">
        <f t="shared" si="1"/>
        <v>9006000</v>
      </c>
      <c r="BO2" s="36">
        <f t="shared" si="1"/>
        <v>9006000</v>
      </c>
      <c r="BP2" s="36">
        <f t="shared" si="1"/>
        <v>9006000</v>
      </c>
      <c r="BQ2" s="36">
        <f t="shared" si="1"/>
        <v>9006000</v>
      </c>
      <c r="BR2" s="36">
        <f t="shared" si="1"/>
        <v>9006000</v>
      </c>
      <c r="BS2" s="35">
        <f t="shared" si="1"/>
        <v>9330859.5333333332</v>
      </c>
      <c r="BT2" s="35">
        <f t="shared" si="1"/>
        <v>4830859.5333333332</v>
      </c>
      <c r="BU2" s="35">
        <f t="shared" si="1"/>
        <v>4830859.5333333332</v>
      </c>
      <c r="BV2" s="35">
        <f t="shared" si="1"/>
        <v>4830859.5333333332</v>
      </c>
      <c r="BW2" s="35">
        <f t="shared" si="1"/>
        <v>4830859.5333333332</v>
      </c>
      <c r="BX2" s="35">
        <f t="shared" si="1"/>
        <v>4830859.5333333332</v>
      </c>
      <c r="BY2" s="35">
        <f t="shared" si="1"/>
        <v>4830859.5333333332</v>
      </c>
      <c r="BZ2" s="35">
        <f t="shared" si="1"/>
        <v>4830859.5333333332</v>
      </c>
      <c r="CA2" s="35">
        <f t="shared" si="1"/>
        <v>4830859.5333333332</v>
      </c>
      <c r="CB2" s="35">
        <f t="shared" si="1"/>
        <v>4830859.5333333332</v>
      </c>
      <c r="CC2" s="35">
        <f t="shared" si="1"/>
        <v>4830859.5333333332</v>
      </c>
      <c r="CD2" s="35">
        <f t="shared" si="1"/>
        <v>4830859.5333333332</v>
      </c>
      <c r="CE2" s="36">
        <f t="shared" si="1"/>
        <v>4830859.5333333332</v>
      </c>
      <c r="CF2" s="36">
        <f t="shared" si="1"/>
        <v>4830859.5333333332</v>
      </c>
      <c r="CG2" s="36">
        <f t="shared" si="1"/>
        <v>4830859.5333333332</v>
      </c>
      <c r="CH2" s="36">
        <f t="shared" si="1"/>
        <v>4830859.5333333332</v>
      </c>
      <c r="CI2" s="36">
        <f t="shared" ref="CI2:DN2" si="2">SUBTOTAL(9, CI5:CI187)</f>
        <v>4830859.5333333332</v>
      </c>
      <c r="CJ2" s="36">
        <f t="shared" si="2"/>
        <v>4830859.5333333332</v>
      </c>
      <c r="CK2" s="36">
        <f t="shared" si="2"/>
        <v>4830859.5333333332</v>
      </c>
      <c r="CL2" s="36">
        <f t="shared" si="2"/>
        <v>4830859.5333333332</v>
      </c>
      <c r="CM2" s="36">
        <f t="shared" si="2"/>
        <v>4830859.5333333332</v>
      </c>
      <c r="CN2" s="36">
        <f t="shared" si="2"/>
        <v>4830859.5333333332</v>
      </c>
      <c r="CO2" s="36">
        <f t="shared" si="2"/>
        <v>4830859.5333333332</v>
      </c>
      <c r="CP2" s="36">
        <f t="shared" si="2"/>
        <v>4830859.5333333332</v>
      </c>
      <c r="CQ2" s="35">
        <f t="shared" si="2"/>
        <v>4830859.5333333332</v>
      </c>
      <c r="CR2" s="35">
        <f t="shared" si="2"/>
        <v>4830859.5333333332</v>
      </c>
      <c r="CS2" s="35">
        <f t="shared" si="2"/>
        <v>4830859.5333333332</v>
      </c>
      <c r="CT2" s="35">
        <f t="shared" si="2"/>
        <v>4830859.5333333332</v>
      </c>
      <c r="CU2" s="35">
        <f t="shared" si="2"/>
        <v>4830859.5333333332</v>
      </c>
      <c r="CV2" s="35">
        <f t="shared" si="2"/>
        <v>4830859.5333333332</v>
      </c>
      <c r="CW2" s="35">
        <f t="shared" si="2"/>
        <v>4830859.5333333332</v>
      </c>
      <c r="CX2" s="35">
        <f t="shared" si="2"/>
        <v>4830859.5333333332</v>
      </c>
      <c r="CY2" s="35">
        <f t="shared" si="2"/>
        <v>4830859.5333333332</v>
      </c>
      <c r="CZ2" s="35">
        <f t="shared" si="2"/>
        <v>4830859.5333333332</v>
      </c>
      <c r="DA2" s="35">
        <f t="shared" si="2"/>
        <v>4830859.5333333332</v>
      </c>
      <c r="DB2" s="35">
        <f t="shared" si="2"/>
        <v>4830859.5333333332</v>
      </c>
      <c r="DC2" s="36">
        <f t="shared" si="2"/>
        <v>4830859.5333333332</v>
      </c>
      <c r="DD2" s="36">
        <f t="shared" si="2"/>
        <v>4830859.5333333332</v>
      </c>
      <c r="DE2" s="36">
        <f t="shared" si="2"/>
        <v>4830859.5333333332</v>
      </c>
      <c r="DF2" s="36">
        <f t="shared" si="2"/>
        <v>4830859.5333333332</v>
      </c>
      <c r="DG2" s="36">
        <f t="shared" si="2"/>
        <v>4830859.5333333332</v>
      </c>
      <c r="DH2" s="36">
        <f t="shared" si="2"/>
        <v>4830859.5333333332</v>
      </c>
      <c r="DI2" s="36">
        <f t="shared" si="2"/>
        <v>4830859.5333333332</v>
      </c>
      <c r="DJ2" s="36">
        <f t="shared" si="2"/>
        <v>4830859.5333333332</v>
      </c>
      <c r="DK2" s="36">
        <f t="shared" si="2"/>
        <v>4830859.5333333332</v>
      </c>
      <c r="DL2" s="36">
        <f t="shared" si="2"/>
        <v>4830859.5333333332</v>
      </c>
      <c r="DM2" s="36">
        <f t="shared" si="2"/>
        <v>4830859.5333333332</v>
      </c>
      <c r="DN2" s="36">
        <f t="shared" si="2"/>
        <v>4830859.5333333332</v>
      </c>
      <c r="DO2" s="35">
        <f t="shared" ref="DO2:ET2" si="3">SUBTOTAL(9, DO5:DO187)</f>
        <v>4830859.5333333332</v>
      </c>
      <c r="DP2" s="35">
        <f t="shared" si="3"/>
        <v>4830859.5333333332</v>
      </c>
      <c r="DQ2" s="35">
        <f t="shared" si="3"/>
        <v>4830859.5333333332</v>
      </c>
      <c r="DR2" s="35">
        <f t="shared" si="3"/>
        <v>4830859.5333333332</v>
      </c>
      <c r="DS2" s="35">
        <f t="shared" si="3"/>
        <v>4830859.5333333332</v>
      </c>
      <c r="DT2" s="35">
        <f t="shared" si="3"/>
        <v>4830859.5333333332</v>
      </c>
      <c r="DU2" s="35">
        <f t="shared" si="3"/>
        <v>4830859.5333333332</v>
      </c>
      <c r="DV2" s="35">
        <f t="shared" si="3"/>
        <v>4830859.5333333332</v>
      </c>
      <c r="DW2" s="35">
        <f t="shared" si="3"/>
        <v>4830859.5333333332</v>
      </c>
      <c r="DX2" s="35">
        <f t="shared" si="3"/>
        <v>4830859.5333333332</v>
      </c>
      <c r="DY2" s="35">
        <f t="shared" si="3"/>
        <v>4830859.5333333332</v>
      </c>
      <c r="DZ2" s="35">
        <f t="shared" si="3"/>
        <v>4830859.5333333332</v>
      </c>
      <c r="EA2" s="36">
        <f t="shared" si="3"/>
        <v>4830859.5333333332</v>
      </c>
      <c r="EB2" s="36">
        <f t="shared" si="3"/>
        <v>4830859.5333333332</v>
      </c>
      <c r="EC2" s="36">
        <f t="shared" si="3"/>
        <v>4830859.5333333332</v>
      </c>
      <c r="ED2" s="36">
        <f t="shared" si="3"/>
        <v>4830859.5333333332</v>
      </c>
      <c r="EE2" s="36">
        <f t="shared" si="3"/>
        <v>4830859.5333333332</v>
      </c>
      <c r="EF2" s="36">
        <f t="shared" si="3"/>
        <v>4830859.5333333332</v>
      </c>
      <c r="EG2" s="36">
        <f t="shared" si="3"/>
        <v>4830859.5333333332</v>
      </c>
      <c r="EH2" s="36">
        <f t="shared" si="3"/>
        <v>4830859.5333333332</v>
      </c>
      <c r="EI2" s="36">
        <f t="shared" si="3"/>
        <v>4830859.5333333332</v>
      </c>
      <c r="EJ2" s="36">
        <f t="shared" si="3"/>
        <v>4830859.5333333332</v>
      </c>
      <c r="EK2" s="36">
        <f t="shared" si="3"/>
        <v>4830859.5333333332</v>
      </c>
      <c r="EL2" s="36">
        <f t="shared" si="3"/>
        <v>4830859.5333333332</v>
      </c>
      <c r="EM2" s="35">
        <f t="shared" si="3"/>
        <v>4830859.5333333332</v>
      </c>
      <c r="EN2" s="35">
        <f t="shared" si="3"/>
        <v>4830859.5333333332</v>
      </c>
      <c r="EO2" s="35">
        <f t="shared" si="3"/>
        <v>4830859.5333333332</v>
      </c>
      <c r="EP2" s="35">
        <f t="shared" si="3"/>
        <v>4830859.5333333332</v>
      </c>
      <c r="EQ2" s="35">
        <f t="shared" si="3"/>
        <v>4830859.5333333332</v>
      </c>
      <c r="ER2" s="35">
        <f t="shared" si="3"/>
        <v>4830859.5333333332</v>
      </c>
      <c r="ES2" s="35">
        <f t="shared" si="3"/>
        <v>4830859.5333333332</v>
      </c>
      <c r="ET2" s="35">
        <f t="shared" si="3"/>
        <v>4830859.5333333332</v>
      </c>
      <c r="EU2" s="35">
        <f t="shared" ref="EU2:FJ2" si="4">SUBTOTAL(9, EU5:EU187)</f>
        <v>4830859.5333333332</v>
      </c>
      <c r="EV2" s="35">
        <f t="shared" si="4"/>
        <v>4830859.5333333332</v>
      </c>
      <c r="EW2" s="35">
        <f t="shared" si="4"/>
        <v>4830859.5333333332</v>
      </c>
      <c r="EX2" s="35">
        <f t="shared" si="4"/>
        <v>4830859.5333333332</v>
      </c>
      <c r="EY2" s="36">
        <f t="shared" si="4"/>
        <v>0</v>
      </c>
      <c r="EZ2" s="36">
        <f t="shared" si="4"/>
        <v>0</v>
      </c>
      <c r="FA2" s="36">
        <f t="shared" si="4"/>
        <v>0</v>
      </c>
      <c r="FB2" s="36">
        <f t="shared" si="4"/>
        <v>0</v>
      </c>
      <c r="FC2" s="36">
        <f t="shared" si="4"/>
        <v>0</v>
      </c>
      <c r="FD2" s="36">
        <f t="shared" si="4"/>
        <v>0</v>
      </c>
      <c r="FE2" s="36">
        <f t="shared" si="4"/>
        <v>0</v>
      </c>
      <c r="FF2" s="36">
        <f t="shared" si="4"/>
        <v>0</v>
      </c>
      <c r="FG2" s="36">
        <f t="shared" si="4"/>
        <v>0</v>
      </c>
      <c r="FH2" s="36">
        <f t="shared" si="4"/>
        <v>0</v>
      </c>
      <c r="FI2" s="36">
        <f t="shared" si="4"/>
        <v>0</v>
      </c>
      <c r="FJ2" s="37">
        <f t="shared" si="4"/>
        <v>0</v>
      </c>
    </row>
    <row r="3" spans="1:166" ht="8.4" customHeight="1" thickBot="1"/>
    <row r="4" spans="1:166" s="1" customFormat="1" ht="23.25" customHeight="1">
      <c r="A4" s="95" t="s">
        <v>0</v>
      </c>
      <c r="B4" s="96" t="s">
        <v>1</v>
      </c>
      <c r="C4" s="96" t="s">
        <v>2</v>
      </c>
      <c r="D4" s="96" t="s">
        <v>3</v>
      </c>
      <c r="E4" s="96" t="s">
        <v>4</v>
      </c>
      <c r="F4" s="97" t="s">
        <v>148</v>
      </c>
      <c r="G4" s="97" t="s">
        <v>149</v>
      </c>
      <c r="H4" s="97" t="s">
        <v>150</v>
      </c>
      <c r="I4" s="97" t="s">
        <v>1196</v>
      </c>
      <c r="J4" s="97" t="s">
        <v>5</v>
      </c>
      <c r="K4" s="97" t="s">
        <v>154</v>
      </c>
      <c r="L4" s="97" t="s">
        <v>6</v>
      </c>
      <c r="M4" s="97" t="s">
        <v>7</v>
      </c>
      <c r="N4" s="97" t="s">
        <v>8</v>
      </c>
      <c r="O4" s="96" t="s">
        <v>9</v>
      </c>
      <c r="P4" s="96" t="s">
        <v>10</v>
      </c>
      <c r="Q4" s="96" t="s">
        <v>11</v>
      </c>
      <c r="R4" s="96" t="s">
        <v>12</v>
      </c>
      <c r="S4" s="96" t="s">
        <v>13</v>
      </c>
      <c r="T4" s="96" t="s">
        <v>42</v>
      </c>
      <c r="U4" s="97" t="s">
        <v>16</v>
      </c>
      <c r="V4" s="97" t="s">
        <v>243</v>
      </c>
      <c r="W4" s="428" t="s">
        <v>15</v>
      </c>
      <c r="X4" s="97" t="s">
        <v>41</v>
      </c>
      <c r="Y4" s="97" t="s">
        <v>139</v>
      </c>
      <c r="Z4" s="97" t="s">
        <v>140</v>
      </c>
      <c r="AA4" s="97" t="s">
        <v>141</v>
      </c>
      <c r="AB4" s="97" t="s">
        <v>142</v>
      </c>
      <c r="AC4" s="97" t="s">
        <v>143</v>
      </c>
      <c r="AD4" s="97" t="s">
        <v>144</v>
      </c>
      <c r="AE4" s="97" t="s">
        <v>145</v>
      </c>
      <c r="AF4" s="97" t="s">
        <v>146</v>
      </c>
      <c r="AG4" s="97" t="s">
        <v>147</v>
      </c>
      <c r="AH4" s="97" t="s">
        <v>173</v>
      </c>
      <c r="AI4" s="98" t="s">
        <v>17</v>
      </c>
      <c r="AJ4" s="98" t="s">
        <v>18</v>
      </c>
      <c r="AK4" s="98" t="s">
        <v>19</v>
      </c>
      <c r="AL4" s="98" t="s">
        <v>20</v>
      </c>
      <c r="AM4" s="98" t="s">
        <v>21</v>
      </c>
      <c r="AN4" s="98" t="s">
        <v>22</v>
      </c>
      <c r="AO4" s="98" t="s">
        <v>23</v>
      </c>
      <c r="AP4" s="98" t="s">
        <v>24</v>
      </c>
      <c r="AQ4" s="98" t="s">
        <v>25</v>
      </c>
      <c r="AR4" s="98" t="s">
        <v>26</v>
      </c>
      <c r="AS4" s="98" t="s">
        <v>27</v>
      </c>
      <c r="AT4" s="98" t="s">
        <v>28</v>
      </c>
      <c r="AU4" s="97" t="s">
        <v>29</v>
      </c>
      <c r="AV4" s="97" t="s">
        <v>30</v>
      </c>
      <c r="AW4" s="97" t="s">
        <v>31</v>
      </c>
      <c r="AX4" s="97" t="s">
        <v>32</v>
      </c>
      <c r="AY4" s="97" t="s">
        <v>33</v>
      </c>
      <c r="AZ4" s="97" t="s">
        <v>34</v>
      </c>
      <c r="BA4" s="97" t="s">
        <v>35</v>
      </c>
      <c r="BB4" s="97" t="s">
        <v>36</v>
      </c>
      <c r="BC4" s="97" t="s">
        <v>37</v>
      </c>
      <c r="BD4" s="97" t="s">
        <v>38</v>
      </c>
      <c r="BE4" s="97" t="s">
        <v>39</v>
      </c>
      <c r="BF4" s="97" t="s">
        <v>40</v>
      </c>
      <c r="BG4" s="98" t="s">
        <v>43</v>
      </c>
      <c r="BH4" s="98" t="s">
        <v>44</v>
      </c>
      <c r="BI4" s="98" t="s">
        <v>45</v>
      </c>
      <c r="BJ4" s="98" t="s">
        <v>46</v>
      </c>
      <c r="BK4" s="98" t="s">
        <v>47</v>
      </c>
      <c r="BL4" s="98" t="s">
        <v>48</v>
      </c>
      <c r="BM4" s="98" t="s">
        <v>49</v>
      </c>
      <c r="BN4" s="98" t="s">
        <v>50</v>
      </c>
      <c r="BO4" s="98" t="s">
        <v>51</v>
      </c>
      <c r="BP4" s="98" t="s">
        <v>52</v>
      </c>
      <c r="BQ4" s="98" t="s">
        <v>53</v>
      </c>
      <c r="BR4" s="98" t="s">
        <v>54</v>
      </c>
      <c r="BS4" s="97" t="s">
        <v>55</v>
      </c>
      <c r="BT4" s="97" t="s">
        <v>56</v>
      </c>
      <c r="BU4" s="97" t="s">
        <v>57</v>
      </c>
      <c r="BV4" s="97" t="s">
        <v>58</v>
      </c>
      <c r="BW4" s="97" t="s">
        <v>59</v>
      </c>
      <c r="BX4" s="97" t="s">
        <v>60</v>
      </c>
      <c r="BY4" s="97" t="s">
        <v>61</v>
      </c>
      <c r="BZ4" s="97" t="s">
        <v>62</v>
      </c>
      <c r="CA4" s="97" t="s">
        <v>63</v>
      </c>
      <c r="CB4" s="97" t="s">
        <v>64</v>
      </c>
      <c r="CC4" s="97" t="s">
        <v>65</v>
      </c>
      <c r="CD4" s="97" t="s">
        <v>66</v>
      </c>
      <c r="CE4" s="98" t="s">
        <v>67</v>
      </c>
      <c r="CF4" s="98" t="s">
        <v>68</v>
      </c>
      <c r="CG4" s="98" t="s">
        <v>69</v>
      </c>
      <c r="CH4" s="98" t="s">
        <v>70</v>
      </c>
      <c r="CI4" s="98" t="s">
        <v>71</v>
      </c>
      <c r="CJ4" s="98" t="s">
        <v>72</v>
      </c>
      <c r="CK4" s="98" t="s">
        <v>73</v>
      </c>
      <c r="CL4" s="98" t="s">
        <v>74</v>
      </c>
      <c r="CM4" s="98" t="s">
        <v>75</v>
      </c>
      <c r="CN4" s="98" t="s">
        <v>76</v>
      </c>
      <c r="CO4" s="98" t="s">
        <v>77</v>
      </c>
      <c r="CP4" s="98" t="s">
        <v>78</v>
      </c>
      <c r="CQ4" s="97" t="s">
        <v>79</v>
      </c>
      <c r="CR4" s="97" t="s">
        <v>80</v>
      </c>
      <c r="CS4" s="97" t="s">
        <v>81</v>
      </c>
      <c r="CT4" s="97" t="s">
        <v>82</v>
      </c>
      <c r="CU4" s="97" t="s">
        <v>83</v>
      </c>
      <c r="CV4" s="97" t="s">
        <v>84</v>
      </c>
      <c r="CW4" s="97" t="s">
        <v>85</v>
      </c>
      <c r="CX4" s="97" t="s">
        <v>86</v>
      </c>
      <c r="CY4" s="97" t="s">
        <v>87</v>
      </c>
      <c r="CZ4" s="97" t="s">
        <v>88</v>
      </c>
      <c r="DA4" s="97" t="s">
        <v>89</v>
      </c>
      <c r="DB4" s="97" t="s">
        <v>90</v>
      </c>
      <c r="DC4" s="98" t="s">
        <v>91</v>
      </c>
      <c r="DD4" s="98" t="s">
        <v>92</v>
      </c>
      <c r="DE4" s="98" t="s">
        <v>93</v>
      </c>
      <c r="DF4" s="98" t="s">
        <v>94</v>
      </c>
      <c r="DG4" s="98" t="s">
        <v>95</v>
      </c>
      <c r="DH4" s="98" t="s">
        <v>96</v>
      </c>
      <c r="DI4" s="98" t="s">
        <v>97</v>
      </c>
      <c r="DJ4" s="98" t="s">
        <v>98</v>
      </c>
      <c r="DK4" s="98" t="s">
        <v>99</v>
      </c>
      <c r="DL4" s="98" t="s">
        <v>100</v>
      </c>
      <c r="DM4" s="98" t="s">
        <v>101</v>
      </c>
      <c r="DN4" s="98" t="s">
        <v>102</v>
      </c>
      <c r="DO4" s="97" t="s">
        <v>103</v>
      </c>
      <c r="DP4" s="97" t="s">
        <v>104</v>
      </c>
      <c r="DQ4" s="97" t="s">
        <v>105</v>
      </c>
      <c r="DR4" s="97" t="s">
        <v>106</v>
      </c>
      <c r="DS4" s="97" t="s">
        <v>107</v>
      </c>
      <c r="DT4" s="97" t="s">
        <v>108</v>
      </c>
      <c r="DU4" s="97" t="s">
        <v>109</v>
      </c>
      <c r="DV4" s="97" t="s">
        <v>110</v>
      </c>
      <c r="DW4" s="97" t="s">
        <v>111</v>
      </c>
      <c r="DX4" s="97" t="s">
        <v>112</v>
      </c>
      <c r="DY4" s="97" t="s">
        <v>113</v>
      </c>
      <c r="DZ4" s="97" t="s">
        <v>114</v>
      </c>
      <c r="EA4" s="98" t="s">
        <v>115</v>
      </c>
      <c r="EB4" s="98" t="s">
        <v>116</v>
      </c>
      <c r="EC4" s="98" t="s">
        <v>117</v>
      </c>
      <c r="ED4" s="98" t="s">
        <v>118</v>
      </c>
      <c r="EE4" s="98" t="s">
        <v>119</v>
      </c>
      <c r="EF4" s="98" t="s">
        <v>120</v>
      </c>
      <c r="EG4" s="98" t="s">
        <v>121</v>
      </c>
      <c r="EH4" s="98" t="s">
        <v>122</v>
      </c>
      <c r="EI4" s="98" t="s">
        <v>123</v>
      </c>
      <c r="EJ4" s="98" t="s">
        <v>124</v>
      </c>
      <c r="EK4" s="98" t="s">
        <v>125</v>
      </c>
      <c r="EL4" s="98" t="s">
        <v>126</v>
      </c>
      <c r="EM4" s="97" t="s">
        <v>127</v>
      </c>
      <c r="EN4" s="97" t="s">
        <v>128</v>
      </c>
      <c r="EO4" s="97" t="s">
        <v>129</v>
      </c>
      <c r="EP4" s="97" t="s">
        <v>130</v>
      </c>
      <c r="EQ4" s="97" t="s">
        <v>131</v>
      </c>
      <c r="ER4" s="97" t="s">
        <v>132</v>
      </c>
      <c r="ES4" s="97" t="s">
        <v>133</v>
      </c>
      <c r="ET4" s="97" t="s">
        <v>134</v>
      </c>
      <c r="EU4" s="97" t="s">
        <v>135</v>
      </c>
      <c r="EV4" s="97" t="s">
        <v>136</v>
      </c>
      <c r="EW4" s="97" t="s">
        <v>137</v>
      </c>
      <c r="EX4" s="97" t="s">
        <v>138</v>
      </c>
      <c r="EY4" s="98" t="s">
        <v>160</v>
      </c>
      <c r="EZ4" s="98" t="s">
        <v>161</v>
      </c>
      <c r="FA4" s="98" t="s">
        <v>162</v>
      </c>
      <c r="FB4" s="98" t="s">
        <v>163</v>
      </c>
      <c r="FC4" s="98" t="s">
        <v>164</v>
      </c>
      <c r="FD4" s="98" t="s">
        <v>165</v>
      </c>
      <c r="FE4" s="98" t="s">
        <v>166</v>
      </c>
      <c r="FF4" s="98" t="s">
        <v>167</v>
      </c>
      <c r="FG4" s="98" t="s">
        <v>168</v>
      </c>
      <c r="FH4" s="98" t="s">
        <v>169</v>
      </c>
      <c r="FI4" s="98" t="s">
        <v>170</v>
      </c>
      <c r="FJ4" s="29" t="s">
        <v>171</v>
      </c>
    </row>
    <row r="5" spans="1:166">
      <c r="A5" s="310" t="s">
        <v>1449</v>
      </c>
      <c r="B5" s="60" t="s">
        <v>1185</v>
      </c>
      <c r="C5" s="60" t="s">
        <v>1183</v>
      </c>
      <c r="D5" s="60" t="s">
        <v>14</v>
      </c>
      <c r="E5" s="60" t="s">
        <v>975</v>
      </c>
      <c r="F5" s="60" t="s">
        <v>1186</v>
      </c>
      <c r="G5" s="60" t="s">
        <v>1190</v>
      </c>
      <c r="H5" s="433">
        <v>0</v>
      </c>
      <c r="I5" s="60">
        <v>0</v>
      </c>
      <c r="J5" s="60" t="s">
        <v>539</v>
      </c>
      <c r="K5" s="60">
        <v>0</v>
      </c>
      <c r="L5" s="60" t="s">
        <v>590</v>
      </c>
      <c r="M5" s="59">
        <v>1</v>
      </c>
      <c r="N5" s="60">
        <v>0</v>
      </c>
      <c r="O5" s="431">
        <v>7999999.9999999991</v>
      </c>
      <c r="P5" s="307">
        <f t="shared" ref="P5:P37" si="5">M5*O5</f>
        <v>7999999.9999999991</v>
      </c>
      <c r="Q5" s="59">
        <v>0</v>
      </c>
      <c r="R5" s="59">
        <v>0</v>
      </c>
      <c r="S5" s="308">
        <v>0</v>
      </c>
      <c r="T5" s="309">
        <v>1</v>
      </c>
      <c r="U5" s="60">
        <v>0</v>
      </c>
      <c r="V5" s="59">
        <v>0</v>
      </c>
      <c r="W5" s="59">
        <v>0</v>
      </c>
      <c r="X5" s="59">
        <v>0</v>
      </c>
      <c r="Y5" s="59">
        <v>0</v>
      </c>
      <c r="Z5" s="59">
        <v>0</v>
      </c>
      <c r="AA5" s="59">
        <v>0</v>
      </c>
      <c r="AB5" s="59">
        <v>0</v>
      </c>
      <c r="AC5" s="59">
        <v>0</v>
      </c>
      <c r="AD5" s="59">
        <v>0</v>
      </c>
      <c r="AE5" s="59">
        <v>0</v>
      </c>
      <c r="AF5" s="59">
        <v>0</v>
      </c>
      <c r="AG5" s="59">
        <v>0</v>
      </c>
      <c r="AH5" s="59">
        <v>0</v>
      </c>
      <c r="AI5" s="59">
        <v>0</v>
      </c>
      <c r="AJ5" s="59">
        <v>0</v>
      </c>
      <c r="AK5" s="59">
        <v>0</v>
      </c>
      <c r="AL5" s="59">
        <v>0</v>
      </c>
      <c r="AM5" s="59">
        <v>0</v>
      </c>
      <c r="AN5" s="59">
        <v>0</v>
      </c>
      <c r="AO5" s="59">
        <v>0</v>
      </c>
      <c r="AP5" s="59">
        <v>0</v>
      </c>
      <c r="AQ5" s="59">
        <v>0</v>
      </c>
      <c r="AR5" s="59">
        <v>0</v>
      </c>
      <c r="AS5" s="59">
        <v>0</v>
      </c>
      <c r="AT5" s="59">
        <v>0</v>
      </c>
      <c r="AU5" s="59">
        <v>0</v>
      </c>
      <c r="AV5" s="59">
        <v>0</v>
      </c>
      <c r="AW5" s="59">
        <v>0</v>
      </c>
      <c r="AX5" s="59">
        <v>0</v>
      </c>
      <c r="AY5" s="59">
        <v>0</v>
      </c>
      <c r="AZ5" s="59">
        <v>0</v>
      </c>
      <c r="BA5" s="59">
        <v>0</v>
      </c>
      <c r="BB5" s="59">
        <v>0</v>
      </c>
      <c r="BC5" s="59">
        <v>0</v>
      </c>
      <c r="BD5" s="59">
        <v>0</v>
      </c>
      <c r="BE5" s="59">
        <v>0</v>
      </c>
      <c r="BF5" s="59">
        <v>0</v>
      </c>
      <c r="BG5" s="59">
        <v>0</v>
      </c>
      <c r="BH5" s="59">
        <v>0</v>
      </c>
      <c r="BI5" s="59">
        <v>0</v>
      </c>
      <c r="BJ5" s="59">
        <v>0</v>
      </c>
      <c r="BK5" s="59">
        <v>0</v>
      </c>
      <c r="BL5" s="59">
        <v>0</v>
      </c>
      <c r="BM5" s="59">
        <v>0</v>
      </c>
      <c r="BN5" s="59">
        <v>0</v>
      </c>
      <c r="BO5" s="59">
        <v>0</v>
      </c>
      <c r="BP5" s="59">
        <v>0</v>
      </c>
      <c r="BQ5" s="59">
        <v>0</v>
      </c>
      <c r="BR5" s="59">
        <v>0</v>
      </c>
      <c r="BS5" s="59">
        <v>0</v>
      </c>
      <c r="BT5" s="59">
        <v>0</v>
      </c>
      <c r="BU5" s="59">
        <v>0</v>
      </c>
      <c r="BV5" s="59">
        <v>0</v>
      </c>
      <c r="BW5" s="59">
        <v>0</v>
      </c>
      <c r="BX5" s="59">
        <v>0</v>
      </c>
      <c r="BY5" s="59">
        <v>0</v>
      </c>
      <c r="BZ5" s="59">
        <v>0</v>
      </c>
      <c r="CA5" s="59">
        <v>0</v>
      </c>
      <c r="CB5" s="59">
        <v>0</v>
      </c>
      <c r="CC5" s="59">
        <v>0</v>
      </c>
      <c r="CD5" s="59">
        <v>0</v>
      </c>
      <c r="CE5" s="59">
        <v>0</v>
      </c>
      <c r="CF5" s="59">
        <v>0</v>
      </c>
      <c r="CG5" s="59">
        <v>0</v>
      </c>
      <c r="CH5" s="59">
        <v>0</v>
      </c>
      <c r="CI5" s="59">
        <v>0</v>
      </c>
      <c r="CJ5" s="59">
        <v>0</v>
      </c>
      <c r="CK5" s="59">
        <v>0</v>
      </c>
      <c r="CL5" s="59">
        <v>0</v>
      </c>
      <c r="CM5" s="59">
        <v>0</v>
      </c>
      <c r="CN5" s="59">
        <v>0</v>
      </c>
      <c r="CO5" s="59">
        <v>0</v>
      </c>
      <c r="CP5" s="59">
        <v>0</v>
      </c>
      <c r="CQ5" s="59">
        <v>0</v>
      </c>
      <c r="CR5" s="59">
        <v>0</v>
      </c>
      <c r="CS5" s="59">
        <v>0</v>
      </c>
      <c r="CT5" s="59">
        <v>0</v>
      </c>
      <c r="CU5" s="59">
        <v>0</v>
      </c>
      <c r="CV5" s="59">
        <v>0</v>
      </c>
      <c r="CW5" s="59">
        <v>0</v>
      </c>
      <c r="CX5" s="59">
        <v>0</v>
      </c>
      <c r="CY5" s="59">
        <v>0</v>
      </c>
      <c r="CZ5" s="59">
        <v>0</v>
      </c>
      <c r="DA5" s="59">
        <v>0</v>
      </c>
      <c r="DB5" s="59">
        <v>0</v>
      </c>
      <c r="DC5" s="59">
        <v>0</v>
      </c>
      <c r="DD5" s="59">
        <v>0</v>
      </c>
      <c r="DE5" s="59">
        <v>0</v>
      </c>
      <c r="DF5" s="59">
        <v>0</v>
      </c>
      <c r="DG5" s="59">
        <v>0</v>
      </c>
      <c r="DH5" s="59">
        <v>0</v>
      </c>
      <c r="DI5" s="59">
        <v>0</v>
      </c>
      <c r="DJ5" s="59">
        <v>0</v>
      </c>
      <c r="DK5" s="59">
        <v>0</v>
      </c>
      <c r="DL5" s="59">
        <v>0</v>
      </c>
      <c r="DM5" s="59">
        <v>0</v>
      </c>
      <c r="DN5" s="59">
        <v>0</v>
      </c>
      <c r="DO5" s="59">
        <v>0</v>
      </c>
      <c r="DP5" s="59">
        <v>0</v>
      </c>
      <c r="DQ5" s="59">
        <v>0</v>
      </c>
      <c r="DR5" s="59">
        <v>0</v>
      </c>
      <c r="DS5" s="59">
        <v>0</v>
      </c>
      <c r="DT5" s="59">
        <v>0</v>
      </c>
      <c r="DU5" s="59">
        <v>0</v>
      </c>
      <c r="DV5" s="59">
        <v>0</v>
      </c>
      <c r="DW5" s="59">
        <v>0</v>
      </c>
      <c r="DX5" s="59">
        <v>0</v>
      </c>
      <c r="DY5" s="59">
        <v>0</v>
      </c>
      <c r="DZ5" s="59">
        <v>0</v>
      </c>
      <c r="EA5" s="59">
        <v>0</v>
      </c>
      <c r="EB5" s="59">
        <v>0</v>
      </c>
      <c r="EC5" s="59">
        <v>0</v>
      </c>
      <c r="ED5" s="59">
        <v>0</v>
      </c>
      <c r="EE5" s="59">
        <v>0</v>
      </c>
      <c r="EF5" s="59">
        <v>0</v>
      </c>
      <c r="EG5" s="59">
        <v>0</v>
      </c>
      <c r="EH5" s="59">
        <v>0</v>
      </c>
      <c r="EI5" s="59">
        <v>0</v>
      </c>
      <c r="EJ5" s="59">
        <v>0</v>
      </c>
      <c r="EK5" s="59">
        <v>0</v>
      </c>
      <c r="EL5" s="59">
        <v>0</v>
      </c>
      <c r="EM5" s="59">
        <v>0</v>
      </c>
      <c r="EN5" s="59">
        <v>0</v>
      </c>
      <c r="EO5" s="59">
        <v>0</v>
      </c>
      <c r="EP5" s="59">
        <v>0</v>
      </c>
      <c r="EQ5" s="59">
        <v>0</v>
      </c>
      <c r="ER5" s="59">
        <v>0</v>
      </c>
      <c r="ES5" s="59">
        <v>0</v>
      </c>
      <c r="ET5" s="59">
        <v>0</v>
      </c>
      <c r="EU5" s="59">
        <v>0</v>
      </c>
      <c r="EV5" s="59">
        <v>0</v>
      </c>
      <c r="EW5" s="59">
        <v>0</v>
      </c>
      <c r="EX5" s="59">
        <v>0</v>
      </c>
      <c r="EY5" s="59">
        <v>0</v>
      </c>
      <c r="EZ5" s="59">
        <v>0</v>
      </c>
      <c r="FA5" s="59">
        <v>0</v>
      </c>
      <c r="FB5" s="59">
        <v>0</v>
      </c>
      <c r="FC5" s="59">
        <v>0</v>
      </c>
      <c r="FD5" s="59">
        <v>0</v>
      </c>
      <c r="FE5" s="59">
        <v>0</v>
      </c>
      <c r="FF5" s="59">
        <v>0</v>
      </c>
      <c r="FG5" s="59">
        <v>0</v>
      </c>
      <c r="FH5" s="59">
        <v>0</v>
      </c>
      <c r="FI5" s="59">
        <v>0</v>
      </c>
      <c r="FJ5" s="44">
        <v>0</v>
      </c>
    </row>
    <row r="6" spans="1:166">
      <c r="A6" s="501" t="s">
        <v>1051</v>
      </c>
      <c r="B6" s="491" t="s">
        <v>1185</v>
      </c>
      <c r="C6" s="491" t="s">
        <v>1183</v>
      </c>
      <c r="D6" s="491" t="s">
        <v>14</v>
      </c>
      <c r="E6" s="491" t="s">
        <v>975</v>
      </c>
      <c r="F6" s="491" t="s">
        <v>1188</v>
      </c>
      <c r="G6" s="491" t="s">
        <v>1450</v>
      </c>
      <c r="H6" s="492">
        <v>0</v>
      </c>
      <c r="I6" s="491">
        <v>0</v>
      </c>
      <c r="J6" s="491" t="s">
        <v>539</v>
      </c>
      <c r="K6" s="491">
        <v>0</v>
      </c>
      <c r="L6" s="491" t="s">
        <v>590</v>
      </c>
      <c r="M6" s="493">
        <v>30</v>
      </c>
      <c r="N6" s="491">
        <v>0</v>
      </c>
      <c r="O6" s="494">
        <v>3000000</v>
      </c>
      <c r="P6" s="495">
        <f t="shared" si="5"/>
        <v>90000000</v>
      </c>
      <c r="Q6" s="493">
        <v>0</v>
      </c>
      <c r="R6" s="493">
        <v>0</v>
      </c>
      <c r="S6" s="491">
        <v>0</v>
      </c>
      <c r="T6" s="497">
        <v>1</v>
      </c>
      <c r="U6" s="491">
        <v>0</v>
      </c>
      <c r="V6" s="493">
        <v>0</v>
      </c>
      <c r="W6" s="493">
        <v>0</v>
      </c>
      <c r="X6" s="493">
        <v>0</v>
      </c>
      <c r="Y6" s="493">
        <v>0</v>
      </c>
      <c r="Z6" s="493">
        <v>0</v>
      </c>
      <c r="AA6" s="493">
        <v>0</v>
      </c>
      <c r="AB6" s="493">
        <v>0</v>
      </c>
      <c r="AC6" s="493">
        <v>0</v>
      </c>
      <c r="AD6" s="493">
        <v>0</v>
      </c>
      <c r="AE6" s="493">
        <v>0</v>
      </c>
      <c r="AF6" s="493">
        <v>0</v>
      </c>
      <c r="AG6" s="493">
        <v>0</v>
      </c>
      <c r="AH6" s="493">
        <v>0</v>
      </c>
      <c r="AI6" s="493">
        <v>0</v>
      </c>
      <c r="AJ6" s="493">
        <v>0</v>
      </c>
      <c r="AK6" s="493">
        <v>0</v>
      </c>
      <c r="AL6" s="493">
        <v>0</v>
      </c>
      <c r="AM6" s="493">
        <v>0</v>
      </c>
      <c r="AN6" s="493">
        <v>0</v>
      </c>
      <c r="AO6" s="493">
        <v>0</v>
      </c>
      <c r="AP6" s="493">
        <v>0</v>
      </c>
      <c r="AQ6" s="493">
        <v>0</v>
      </c>
      <c r="AR6" s="493">
        <v>0</v>
      </c>
      <c r="AS6" s="493">
        <v>0</v>
      </c>
      <c r="AT6" s="493">
        <v>0</v>
      </c>
      <c r="AU6" s="493">
        <v>0</v>
      </c>
      <c r="AV6" s="493">
        <v>0</v>
      </c>
      <c r="AW6" s="493">
        <v>0</v>
      </c>
      <c r="AX6" s="493">
        <v>0</v>
      </c>
      <c r="AY6" s="493">
        <v>0</v>
      </c>
      <c r="AZ6" s="493">
        <v>0</v>
      </c>
      <c r="BA6" s="493">
        <v>0</v>
      </c>
      <c r="BB6" s="493">
        <v>0</v>
      </c>
      <c r="BC6" s="493">
        <v>0</v>
      </c>
      <c r="BD6" s="493">
        <v>0</v>
      </c>
      <c r="BE6" s="493">
        <v>0</v>
      </c>
      <c r="BF6" s="493">
        <v>0</v>
      </c>
      <c r="BG6" s="493">
        <v>0</v>
      </c>
      <c r="BH6" s="493">
        <v>0</v>
      </c>
      <c r="BI6" s="493">
        <v>0</v>
      </c>
      <c r="BJ6" s="493">
        <v>0</v>
      </c>
      <c r="BK6" s="493">
        <v>0</v>
      </c>
      <c r="BL6" s="493">
        <v>0</v>
      </c>
      <c r="BM6" s="493">
        <v>0</v>
      </c>
      <c r="BN6" s="493">
        <v>0</v>
      </c>
      <c r="BO6" s="493">
        <v>0</v>
      </c>
      <c r="BP6" s="493">
        <v>0</v>
      </c>
      <c r="BQ6" s="493">
        <v>0</v>
      </c>
      <c r="BR6" s="493">
        <v>0</v>
      </c>
      <c r="BS6" s="493">
        <v>0</v>
      </c>
      <c r="BT6" s="493">
        <v>0</v>
      </c>
      <c r="BU6" s="493">
        <v>0</v>
      </c>
      <c r="BV6" s="493">
        <v>0</v>
      </c>
      <c r="BW6" s="493">
        <v>0</v>
      </c>
      <c r="BX6" s="493">
        <v>0</v>
      </c>
      <c r="BY6" s="493">
        <v>0</v>
      </c>
      <c r="BZ6" s="493">
        <v>0</v>
      </c>
      <c r="CA6" s="493">
        <v>0</v>
      </c>
      <c r="CB6" s="493">
        <v>0</v>
      </c>
      <c r="CC6" s="493">
        <v>0</v>
      </c>
      <c r="CD6" s="493">
        <v>0</v>
      </c>
      <c r="CE6" s="493">
        <v>0</v>
      </c>
      <c r="CF6" s="493">
        <v>0</v>
      </c>
      <c r="CG6" s="493">
        <v>0</v>
      </c>
      <c r="CH6" s="493">
        <v>0</v>
      </c>
      <c r="CI6" s="493">
        <v>0</v>
      </c>
      <c r="CJ6" s="493">
        <v>0</v>
      </c>
      <c r="CK6" s="493">
        <v>0</v>
      </c>
      <c r="CL6" s="493">
        <v>0</v>
      </c>
      <c r="CM6" s="493">
        <v>0</v>
      </c>
      <c r="CN6" s="493">
        <v>0</v>
      </c>
      <c r="CO6" s="493">
        <v>0</v>
      </c>
      <c r="CP6" s="493">
        <v>0</v>
      </c>
      <c r="CQ6" s="493">
        <v>0</v>
      </c>
      <c r="CR6" s="493">
        <v>0</v>
      </c>
      <c r="CS6" s="493">
        <v>0</v>
      </c>
      <c r="CT6" s="493">
        <v>0</v>
      </c>
      <c r="CU6" s="493">
        <v>0</v>
      </c>
      <c r="CV6" s="493">
        <v>0</v>
      </c>
      <c r="CW6" s="493">
        <v>0</v>
      </c>
      <c r="CX6" s="493">
        <v>0</v>
      </c>
      <c r="CY6" s="493">
        <v>0</v>
      </c>
      <c r="CZ6" s="493">
        <v>0</v>
      </c>
      <c r="DA6" s="493">
        <v>0</v>
      </c>
      <c r="DB6" s="493">
        <v>0</v>
      </c>
      <c r="DC6" s="493">
        <v>0</v>
      </c>
      <c r="DD6" s="493">
        <v>0</v>
      </c>
      <c r="DE6" s="493">
        <v>0</v>
      </c>
      <c r="DF6" s="493">
        <v>0</v>
      </c>
      <c r="DG6" s="493">
        <v>0</v>
      </c>
      <c r="DH6" s="493">
        <v>0</v>
      </c>
      <c r="DI6" s="493">
        <v>0</v>
      </c>
      <c r="DJ6" s="493">
        <v>0</v>
      </c>
      <c r="DK6" s="493">
        <v>0</v>
      </c>
      <c r="DL6" s="493">
        <v>0</v>
      </c>
      <c r="DM6" s="493">
        <v>0</v>
      </c>
      <c r="DN6" s="493">
        <v>0</v>
      </c>
      <c r="DO6" s="493">
        <v>0</v>
      </c>
      <c r="DP6" s="493">
        <v>0</v>
      </c>
      <c r="DQ6" s="493">
        <v>0</v>
      </c>
      <c r="DR6" s="493">
        <v>0</v>
      </c>
      <c r="DS6" s="493">
        <v>0</v>
      </c>
      <c r="DT6" s="493">
        <v>0</v>
      </c>
      <c r="DU6" s="493">
        <v>0</v>
      </c>
      <c r="DV6" s="493">
        <v>0</v>
      </c>
      <c r="DW6" s="493">
        <v>0</v>
      </c>
      <c r="DX6" s="493">
        <v>0</v>
      </c>
      <c r="DY6" s="493">
        <v>0</v>
      </c>
      <c r="DZ6" s="493">
        <v>0</v>
      </c>
      <c r="EA6" s="493">
        <v>0</v>
      </c>
      <c r="EB6" s="493">
        <v>0</v>
      </c>
      <c r="EC6" s="493">
        <v>0</v>
      </c>
      <c r="ED6" s="493">
        <v>0</v>
      </c>
      <c r="EE6" s="493">
        <v>0</v>
      </c>
      <c r="EF6" s="493">
        <v>0</v>
      </c>
      <c r="EG6" s="493">
        <v>0</v>
      </c>
      <c r="EH6" s="493">
        <v>0</v>
      </c>
      <c r="EI6" s="493">
        <v>0</v>
      </c>
      <c r="EJ6" s="493">
        <v>0</v>
      </c>
      <c r="EK6" s="493">
        <v>0</v>
      </c>
      <c r="EL6" s="493">
        <v>0</v>
      </c>
      <c r="EM6" s="493">
        <v>0</v>
      </c>
      <c r="EN6" s="493">
        <v>0</v>
      </c>
      <c r="EO6" s="493">
        <v>0</v>
      </c>
      <c r="EP6" s="493">
        <v>0</v>
      </c>
      <c r="EQ6" s="493">
        <v>0</v>
      </c>
      <c r="ER6" s="493">
        <v>0</v>
      </c>
      <c r="ES6" s="493">
        <v>0</v>
      </c>
      <c r="ET6" s="493">
        <v>0</v>
      </c>
      <c r="EU6" s="493">
        <v>0</v>
      </c>
      <c r="EV6" s="493">
        <v>0</v>
      </c>
      <c r="EW6" s="493">
        <v>0</v>
      </c>
      <c r="EX6" s="493">
        <v>0</v>
      </c>
      <c r="EY6" s="493">
        <v>0</v>
      </c>
      <c r="EZ6" s="493">
        <v>0</v>
      </c>
      <c r="FA6" s="493">
        <v>0</v>
      </c>
      <c r="FB6" s="493">
        <v>0</v>
      </c>
      <c r="FC6" s="493">
        <v>0</v>
      </c>
      <c r="FD6" s="493">
        <v>0</v>
      </c>
      <c r="FE6" s="493">
        <v>0</v>
      </c>
      <c r="FF6" s="493">
        <v>0</v>
      </c>
      <c r="FG6" s="493">
        <v>0</v>
      </c>
      <c r="FH6" s="493">
        <v>0</v>
      </c>
      <c r="FI6" s="493">
        <v>0</v>
      </c>
      <c r="FJ6" s="45">
        <v>0</v>
      </c>
    </row>
    <row r="7" spans="1:166">
      <c r="A7" s="501" t="s">
        <v>1052</v>
      </c>
      <c r="B7" s="491" t="s">
        <v>1185</v>
      </c>
      <c r="C7" s="491" t="s">
        <v>1183</v>
      </c>
      <c r="D7" s="491" t="s">
        <v>14</v>
      </c>
      <c r="E7" s="491" t="s">
        <v>975</v>
      </c>
      <c r="F7" s="491" t="s">
        <v>1187</v>
      </c>
      <c r="G7" s="491" t="s">
        <v>1451</v>
      </c>
      <c r="H7" s="492">
        <v>0</v>
      </c>
      <c r="I7" s="491">
        <v>0</v>
      </c>
      <c r="J7" s="491" t="s">
        <v>539</v>
      </c>
      <c r="K7" s="491">
        <v>0</v>
      </c>
      <c r="L7" s="491" t="s">
        <v>590</v>
      </c>
      <c r="M7" s="493">
        <v>2</v>
      </c>
      <c r="N7" s="491">
        <v>0</v>
      </c>
      <c r="O7" s="494">
        <v>15000000</v>
      </c>
      <c r="P7" s="495">
        <f t="shared" si="5"/>
        <v>30000000</v>
      </c>
      <c r="Q7" s="493">
        <v>0</v>
      </c>
      <c r="R7" s="493">
        <v>0</v>
      </c>
      <c r="S7" s="491">
        <v>0</v>
      </c>
      <c r="T7" s="497">
        <v>1</v>
      </c>
      <c r="U7" s="491">
        <v>0</v>
      </c>
      <c r="V7" s="493">
        <v>0</v>
      </c>
      <c r="W7" s="493">
        <v>0</v>
      </c>
      <c r="X7" s="493">
        <v>0</v>
      </c>
      <c r="Y7" s="493">
        <v>0</v>
      </c>
      <c r="Z7" s="493">
        <v>0</v>
      </c>
      <c r="AA7" s="493">
        <v>0</v>
      </c>
      <c r="AB7" s="493">
        <v>0</v>
      </c>
      <c r="AC7" s="493">
        <v>0</v>
      </c>
      <c r="AD7" s="493">
        <v>0</v>
      </c>
      <c r="AE7" s="493">
        <v>0</v>
      </c>
      <c r="AF7" s="493">
        <v>0</v>
      </c>
      <c r="AG7" s="493">
        <v>0</v>
      </c>
      <c r="AH7" s="493">
        <v>0</v>
      </c>
      <c r="AI7" s="493">
        <v>0</v>
      </c>
      <c r="AJ7" s="493">
        <v>0</v>
      </c>
      <c r="AK7" s="493">
        <v>0</v>
      </c>
      <c r="AL7" s="493">
        <v>0</v>
      </c>
      <c r="AM7" s="493">
        <v>0</v>
      </c>
      <c r="AN7" s="493">
        <v>0</v>
      </c>
      <c r="AO7" s="493">
        <v>0</v>
      </c>
      <c r="AP7" s="493">
        <v>0</v>
      </c>
      <c r="AQ7" s="493">
        <v>0</v>
      </c>
      <c r="AR7" s="493">
        <v>0</v>
      </c>
      <c r="AS7" s="493">
        <v>0</v>
      </c>
      <c r="AT7" s="493">
        <v>0</v>
      </c>
      <c r="AU7" s="493">
        <v>0</v>
      </c>
      <c r="AV7" s="493">
        <v>0</v>
      </c>
      <c r="AW7" s="493">
        <v>0</v>
      </c>
      <c r="AX7" s="493">
        <v>0</v>
      </c>
      <c r="AY7" s="493">
        <v>0</v>
      </c>
      <c r="AZ7" s="493">
        <v>0</v>
      </c>
      <c r="BA7" s="493">
        <v>0</v>
      </c>
      <c r="BB7" s="493">
        <v>0</v>
      </c>
      <c r="BC7" s="493">
        <v>0</v>
      </c>
      <c r="BD7" s="493">
        <v>0</v>
      </c>
      <c r="BE7" s="493">
        <v>0</v>
      </c>
      <c r="BF7" s="493">
        <v>0</v>
      </c>
      <c r="BG7" s="493">
        <v>0</v>
      </c>
      <c r="BH7" s="493">
        <v>0</v>
      </c>
      <c r="BI7" s="493">
        <v>0</v>
      </c>
      <c r="BJ7" s="493">
        <v>0</v>
      </c>
      <c r="BK7" s="493">
        <v>0</v>
      </c>
      <c r="BL7" s="493">
        <v>0</v>
      </c>
      <c r="BM7" s="493">
        <v>0</v>
      </c>
      <c r="BN7" s="493">
        <v>0</v>
      </c>
      <c r="BO7" s="493">
        <v>0</v>
      </c>
      <c r="BP7" s="493">
        <v>0</v>
      </c>
      <c r="BQ7" s="493">
        <v>0</v>
      </c>
      <c r="BR7" s="493">
        <v>0</v>
      </c>
      <c r="BS7" s="493">
        <v>0</v>
      </c>
      <c r="BT7" s="493">
        <v>0</v>
      </c>
      <c r="BU7" s="493">
        <v>0</v>
      </c>
      <c r="BV7" s="493">
        <v>0</v>
      </c>
      <c r="BW7" s="493">
        <v>0</v>
      </c>
      <c r="BX7" s="493">
        <v>0</v>
      </c>
      <c r="BY7" s="493">
        <v>0</v>
      </c>
      <c r="BZ7" s="493">
        <v>0</v>
      </c>
      <c r="CA7" s="493">
        <v>0</v>
      </c>
      <c r="CB7" s="493">
        <v>0</v>
      </c>
      <c r="CC7" s="493">
        <v>0</v>
      </c>
      <c r="CD7" s="493">
        <v>0</v>
      </c>
      <c r="CE7" s="493">
        <v>0</v>
      </c>
      <c r="CF7" s="493">
        <v>0</v>
      </c>
      <c r="CG7" s="493">
        <v>0</v>
      </c>
      <c r="CH7" s="493">
        <v>0</v>
      </c>
      <c r="CI7" s="493">
        <v>0</v>
      </c>
      <c r="CJ7" s="493">
        <v>0</v>
      </c>
      <c r="CK7" s="493">
        <v>0</v>
      </c>
      <c r="CL7" s="493">
        <v>0</v>
      </c>
      <c r="CM7" s="493">
        <v>0</v>
      </c>
      <c r="CN7" s="493">
        <v>0</v>
      </c>
      <c r="CO7" s="493">
        <v>0</v>
      </c>
      <c r="CP7" s="493">
        <v>0</v>
      </c>
      <c r="CQ7" s="493">
        <v>0</v>
      </c>
      <c r="CR7" s="493">
        <v>0</v>
      </c>
      <c r="CS7" s="493">
        <v>0</v>
      </c>
      <c r="CT7" s="493">
        <v>0</v>
      </c>
      <c r="CU7" s="493">
        <v>0</v>
      </c>
      <c r="CV7" s="493">
        <v>0</v>
      </c>
      <c r="CW7" s="493">
        <v>0</v>
      </c>
      <c r="CX7" s="493">
        <v>0</v>
      </c>
      <c r="CY7" s="493">
        <v>0</v>
      </c>
      <c r="CZ7" s="493">
        <v>0</v>
      </c>
      <c r="DA7" s="493">
        <v>0</v>
      </c>
      <c r="DB7" s="493">
        <v>0</v>
      </c>
      <c r="DC7" s="493">
        <v>0</v>
      </c>
      <c r="DD7" s="493">
        <v>0</v>
      </c>
      <c r="DE7" s="493">
        <v>0</v>
      </c>
      <c r="DF7" s="493">
        <v>0</v>
      </c>
      <c r="DG7" s="493">
        <v>0</v>
      </c>
      <c r="DH7" s="493">
        <v>0</v>
      </c>
      <c r="DI7" s="493">
        <v>0</v>
      </c>
      <c r="DJ7" s="493">
        <v>0</v>
      </c>
      <c r="DK7" s="493">
        <v>0</v>
      </c>
      <c r="DL7" s="493">
        <v>0</v>
      </c>
      <c r="DM7" s="493">
        <v>0</v>
      </c>
      <c r="DN7" s="493">
        <v>0</v>
      </c>
      <c r="DO7" s="493">
        <v>0</v>
      </c>
      <c r="DP7" s="493">
        <v>0</v>
      </c>
      <c r="DQ7" s="493">
        <v>0</v>
      </c>
      <c r="DR7" s="493">
        <v>0</v>
      </c>
      <c r="DS7" s="493">
        <v>0</v>
      </c>
      <c r="DT7" s="493">
        <v>0</v>
      </c>
      <c r="DU7" s="493">
        <v>0</v>
      </c>
      <c r="DV7" s="493">
        <v>0</v>
      </c>
      <c r="DW7" s="493">
        <v>0</v>
      </c>
      <c r="DX7" s="493">
        <v>0</v>
      </c>
      <c r="DY7" s="493">
        <v>0</v>
      </c>
      <c r="DZ7" s="493">
        <v>0</v>
      </c>
      <c r="EA7" s="493">
        <v>0</v>
      </c>
      <c r="EB7" s="493">
        <v>0</v>
      </c>
      <c r="EC7" s="493">
        <v>0</v>
      </c>
      <c r="ED7" s="493">
        <v>0</v>
      </c>
      <c r="EE7" s="493">
        <v>0</v>
      </c>
      <c r="EF7" s="493">
        <v>0</v>
      </c>
      <c r="EG7" s="493">
        <v>0</v>
      </c>
      <c r="EH7" s="493">
        <v>0</v>
      </c>
      <c r="EI7" s="493">
        <v>0</v>
      </c>
      <c r="EJ7" s="493">
        <v>0</v>
      </c>
      <c r="EK7" s="493">
        <v>0</v>
      </c>
      <c r="EL7" s="493">
        <v>0</v>
      </c>
      <c r="EM7" s="493">
        <v>0</v>
      </c>
      <c r="EN7" s="493">
        <v>0</v>
      </c>
      <c r="EO7" s="493">
        <v>0</v>
      </c>
      <c r="EP7" s="493">
        <v>0</v>
      </c>
      <c r="EQ7" s="493">
        <v>0</v>
      </c>
      <c r="ER7" s="493">
        <v>0</v>
      </c>
      <c r="ES7" s="493">
        <v>0</v>
      </c>
      <c r="ET7" s="493">
        <v>0</v>
      </c>
      <c r="EU7" s="493">
        <v>0</v>
      </c>
      <c r="EV7" s="493">
        <v>0</v>
      </c>
      <c r="EW7" s="493">
        <v>0</v>
      </c>
      <c r="EX7" s="493">
        <v>0</v>
      </c>
      <c r="EY7" s="493">
        <v>0</v>
      </c>
      <c r="EZ7" s="493">
        <v>0</v>
      </c>
      <c r="FA7" s="493">
        <v>0</v>
      </c>
      <c r="FB7" s="493">
        <v>0</v>
      </c>
      <c r="FC7" s="493">
        <v>0</v>
      </c>
      <c r="FD7" s="493">
        <v>0</v>
      </c>
      <c r="FE7" s="493">
        <v>0</v>
      </c>
      <c r="FF7" s="493">
        <v>0</v>
      </c>
      <c r="FG7" s="493">
        <v>0</v>
      </c>
      <c r="FH7" s="493">
        <v>0</v>
      </c>
      <c r="FI7" s="493">
        <v>0</v>
      </c>
      <c r="FJ7" s="45">
        <v>0</v>
      </c>
    </row>
    <row r="8" spans="1:166">
      <c r="A8" s="501" t="s">
        <v>1053</v>
      </c>
      <c r="B8" s="491" t="s">
        <v>1185</v>
      </c>
      <c r="C8" s="491" t="s">
        <v>1183</v>
      </c>
      <c r="D8" s="491" t="s">
        <v>14</v>
      </c>
      <c r="E8" s="491" t="s">
        <v>975</v>
      </c>
      <c r="F8" s="491" t="s">
        <v>1452</v>
      </c>
      <c r="G8" s="491" t="s">
        <v>1453</v>
      </c>
      <c r="H8" s="492">
        <v>0</v>
      </c>
      <c r="I8" s="491">
        <v>0</v>
      </c>
      <c r="J8" s="491" t="s">
        <v>539</v>
      </c>
      <c r="K8" s="491">
        <v>0</v>
      </c>
      <c r="L8" s="491" t="s">
        <v>590</v>
      </c>
      <c r="M8" s="493">
        <v>2</v>
      </c>
      <c r="N8" s="491">
        <v>0</v>
      </c>
      <c r="O8" s="494">
        <v>8000000</v>
      </c>
      <c r="P8" s="495">
        <f t="shared" si="5"/>
        <v>16000000</v>
      </c>
      <c r="Q8" s="493">
        <v>0</v>
      </c>
      <c r="R8" s="493">
        <v>0</v>
      </c>
      <c r="S8" s="491">
        <v>0</v>
      </c>
      <c r="T8" s="497">
        <v>1</v>
      </c>
      <c r="U8" s="491">
        <v>0</v>
      </c>
      <c r="V8" s="493">
        <v>0</v>
      </c>
      <c r="W8" s="493">
        <v>0</v>
      </c>
      <c r="X8" s="493">
        <v>0</v>
      </c>
      <c r="Y8" s="493">
        <v>0</v>
      </c>
      <c r="Z8" s="493">
        <v>0</v>
      </c>
      <c r="AA8" s="493">
        <v>0</v>
      </c>
      <c r="AB8" s="493">
        <v>0</v>
      </c>
      <c r="AC8" s="493">
        <v>0</v>
      </c>
      <c r="AD8" s="493">
        <v>0</v>
      </c>
      <c r="AE8" s="493">
        <v>0</v>
      </c>
      <c r="AF8" s="493">
        <v>0</v>
      </c>
      <c r="AG8" s="493">
        <v>0</v>
      </c>
      <c r="AH8" s="493">
        <v>0</v>
      </c>
      <c r="AI8" s="493">
        <v>0</v>
      </c>
      <c r="AJ8" s="493">
        <v>0</v>
      </c>
      <c r="AK8" s="493">
        <v>0</v>
      </c>
      <c r="AL8" s="493">
        <v>0</v>
      </c>
      <c r="AM8" s="493">
        <v>0</v>
      </c>
      <c r="AN8" s="493">
        <v>0</v>
      </c>
      <c r="AO8" s="493">
        <v>0</v>
      </c>
      <c r="AP8" s="493">
        <v>0</v>
      </c>
      <c r="AQ8" s="493">
        <v>0</v>
      </c>
      <c r="AR8" s="493">
        <v>0</v>
      </c>
      <c r="AS8" s="493">
        <v>0</v>
      </c>
      <c r="AT8" s="493">
        <v>0</v>
      </c>
      <c r="AU8" s="493">
        <v>0</v>
      </c>
      <c r="AV8" s="493">
        <v>0</v>
      </c>
      <c r="AW8" s="493">
        <v>0</v>
      </c>
      <c r="AX8" s="493">
        <v>0</v>
      </c>
      <c r="AY8" s="493">
        <v>0</v>
      </c>
      <c r="AZ8" s="493">
        <v>0</v>
      </c>
      <c r="BA8" s="493">
        <v>0</v>
      </c>
      <c r="BB8" s="493">
        <v>0</v>
      </c>
      <c r="BC8" s="493">
        <v>0</v>
      </c>
      <c r="BD8" s="493">
        <v>0</v>
      </c>
      <c r="BE8" s="493">
        <v>0</v>
      </c>
      <c r="BF8" s="493">
        <v>0</v>
      </c>
      <c r="BG8" s="493">
        <v>0</v>
      </c>
      <c r="BH8" s="493">
        <v>0</v>
      </c>
      <c r="BI8" s="493">
        <v>0</v>
      </c>
      <c r="BJ8" s="493">
        <v>0</v>
      </c>
      <c r="BK8" s="493">
        <v>0</v>
      </c>
      <c r="BL8" s="493">
        <v>0</v>
      </c>
      <c r="BM8" s="493">
        <v>0</v>
      </c>
      <c r="BN8" s="493">
        <v>0</v>
      </c>
      <c r="BO8" s="493">
        <v>0</v>
      </c>
      <c r="BP8" s="493">
        <v>0</v>
      </c>
      <c r="BQ8" s="493">
        <v>0</v>
      </c>
      <c r="BR8" s="493">
        <v>0</v>
      </c>
      <c r="BS8" s="493">
        <v>0</v>
      </c>
      <c r="BT8" s="493">
        <v>0</v>
      </c>
      <c r="BU8" s="493">
        <v>0</v>
      </c>
      <c r="BV8" s="493">
        <v>0</v>
      </c>
      <c r="BW8" s="493">
        <v>0</v>
      </c>
      <c r="BX8" s="493">
        <v>0</v>
      </c>
      <c r="BY8" s="493">
        <v>0</v>
      </c>
      <c r="BZ8" s="493">
        <v>0</v>
      </c>
      <c r="CA8" s="493">
        <v>0</v>
      </c>
      <c r="CB8" s="493">
        <v>0</v>
      </c>
      <c r="CC8" s="493">
        <v>0</v>
      </c>
      <c r="CD8" s="493">
        <v>0</v>
      </c>
      <c r="CE8" s="493">
        <v>0</v>
      </c>
      <c r="CF8" s="493">
        <v>0</v>
      </c>
      <c r="CG8" s="493">
        <v>0</v>
      </c>
      <c r="CH8" s="493">
        <v>0</v>
      </c>
      <c r="CI8" s="493">
        <v>0</v>
      </c>
      <c r="CJ8" s="493">
        <v>0</v>
      </c>
      <c r="CK8" s="493">
        <v>0</v>
      </c>
      <c r="CL8" s="493">
        <v>0</v>
      </c>
      <c r="CM8" s="493">
        <v>0</v>
      </c>
      <c r="CN8" s="493">
        <v>0</v>
      </c>
      <c r="CO8" s="493">
        <v>0</v>
      </c>
      <c r="CP8" s="493">
        <v>0</v>
      </c>
      <c r="CQ8" s="493">
        <v>0</v>
      </c>
      <c r="CR8" s="493">
        <v>0</v>
      </c>
      <c r="CS8" s="493">
        <v>0</v>
      </c>
      <c r="CT8" s="493">
        <v>0</v>
      </c>
      <c r="CU8" s="493">
        <v>0</v>
      </c>
      <c r="CV8" s="493">
        <v>0</v>
      </c>
      <c r="CW8" s="493">
        <v>0</v>
      </c>
      <c r="CX8" s="493">
        <v>0</v>
      </c>
      <c r="CY8" s="493">
        <v>0</v>
      </c>
      <c r="CZ8" s="493">
        <v>0</v>
      </c>
      <c r="DA8" s="493">
        <v>0</v>
      </c>
      <c r="DB8" s="493">
        <v>0</v>
      </c>
      <c r="DC8" s="493">
        <v>0</v>
      </c>
      <c r="DD8" s="493">
        <v>0</v>
      </c>
      <c r="DE8" s="493">
        <v>0</v>
      </c>
      <c r="DF8" s="493">
        <v>0</v>
      </c>
      <c r="DG8" s="493">
        <v>0</v>
      </c>
      <c r="DH8" s="493">
        <v>0</v>
      </c>
      <c r="DI8" s="493">
        <v>0</v>
      </c>
      <c r="DJ8" s="493">
        <v>0</v>
      </c>
      <c r="DK8" s="493">
        <v>0</v>
      </c>
      <c r="DL8" s="493">
        <v>0</v>
      </c>
      <c r="DM8" s="493">
        <v>0</v>
      </c>
      <c r="DN8" s="493">
        <v>0</v>
      </c>
      <c r="DO8" s="493">
        <v>0</v>
      </c>
      <c r="DP8" s="493">
        <v>0</v>
      </c>
      <c r="DQ8" s="493">
        <v>0</v>
      </c>
      <c r="DR8" s="493">
        <v>0</v>
      </c>
      <c r="DS8" s="493">
        <v>0</v>
      </c>
      <c r="DT8" s="493">
        <v>0</v>
      </c>
      <c r="DU8" s="493">
        <v>0</v>
      </c>
      <c r="DV8" s="493">
        <v>0</v>
      </c>
      <c r="DW8" s="493">
        <v>0</v>
      </c>
      <c r="DX8" s="493">
        <v>0</v>
      </c>
      <c r="DY8" s="493">
        <v>0</v>
      </c>
      <c r="DZ8" s="493">
        <v>0</v>
      </c>
      <c r="EA8" s="493">
        <v>0</v>
      </c>
      <c r="EB8" s="493">
        <v>0</v>
      </c>
      <c r="EC8" s="493">
        <v>0</v>
      </c>
      <c r="ED8" s="493">
        <v>0</v>
      </c>
      <c r="EE8" s="493">
        <v>0</v>
      </c>
      <c r="EF8" s="493">
        <v>0</v>
      </c>
      <c r="EG8" s="493">
        <v>0</v>
      </c>
      <c r="EH8" s="493">
        <v>0</v>
      </c>
      <c r="EI8" s="493">
        <v>0</v>
      </c>
      <c r="EJ8" s="493">
        <v>0</v>
      </c>
      <c r="EK8" s="493">
        <v>0</v>
      </c>
      <c r="EL8" s="493">
        <v>0</v>
      </c>
      <c r="EM8" s="493">
        <v>0</v>
      </c>
      <c r="EN8" s="493">
        <v>0</v>
      </c>
      <c r="EO8" s="493">
        <v>0</v>
      </c>
      <c r="EP8" s="493">
        <v>0</v>
      </c>
      <c r="EQ8" s="493">
        <v>0</v>
      </c>
      <c r="ER8" s="493">
        <v>0</v>
      </c>
      <c r="ES8" s="493">
        <v>0</v>
      </c>
      <c r="ET8" s="493">
        <v>0</v>
      </c>
      <c r="EU8" s="493">
        <v>0</v>
      </c>
      <c r="EV8" s="493">
        <v>0</v>
      </c>
      <c r="EW8" s="493">
        <v>0</v>
      </c>
      <c r="EX8" s="493">
        <v>0</v>
      </c>
      <c r="EY8" s="493">
        <v>0</v>
      </c>
      <c r="EZ8" s="493">
        <v>0</v>
      </c>
      <c r="FA8" s="493">
        <v>0</v>
      </c>
      <c r="FB8" s="493">
        <v>0</v>
      </c>
      <c r="FC8" s="493">
        <v>0</v>
      </c>
      <c r="FD8" s="493">
        <v>0</v>
      </c>
      <c r="FE8" s="493">
        <v>0</v>
      </c>
      <c r="FF8" s="493">
        <v>0</v>
      </c>
      <c r="FG8" s="493">
        <v>0</v>
      </c>
      <c r="FH8" s="493">
        <v>0</v>
      </c>
      <c r="FI8" s="493">
        <v>0</v>
      </c>
      <c r="FJ8" s="45">
        <v>0</v>
      </c>
    </row>
    <row r="9" spans="1:166">
      <c r="A9" s="501" t="s">
        <v>1054</v>
      </c>
      <c r="B9" s="491" t="s">
        <v>1185</v>
      </c>
      <c r="C9" s="491" t="s">
        <v>1183</v>
      </c>
      <c r="D9" s="491" t="s">
        <v>14</v>
      </c>
      <c r="E9" s="491" t="s">
        <v>975</v>
      </c>
      <c r="F9" s="491" t="s">
        <v>1454</v>
      </c>
      <c r="G9" s="491" t="s">
        <v>1455</v>
      </c>
      <c r="H9" s="492">
        <v>0</v>
      </c>
      <c r="I9" s="491">
        <v>0</v>
      </c>
      <c r="J9" s="491" t="s">
        <v>539</v>
      </c>
      <c r="K9" s="491">
        <v>0</v>
      </c>
      <c r="L9" s="491" t="s">
        <v>590</v>
      </c>
      <c r="M9" s="493">
        <v>1</v>
      </c>
      <c r="N9" s="491">
        <v>0</v>
      </c>
      <c r="O9" s="494">
        <v>16000000</v>
      </c>
      <c r="P9" s="495">
        <f t="shared" si="5"/>
        <v>16000000</v>
      </c>
      <c r="Q9" s="493">
        <v>0</v>
      </c>
      <c r="R9" s="493">
        <v>0</v>
      </c>
      <c r="S9" s="491">
        <v>0</v>
      </c>
      <c r="T9" s="497">
        <v>1</v>
      </c>
      <c r="U9" s="491">
        <v>0</v>
      </c>
      <c r="V9" s="493">
        <v>0</v>
      </c>
      <c r="W9" s="493">
        <v>0</v>
      </c>
      <c r="X9" s="493">
        <v>0</v>
      </c>
      <c r="Y9" s="493">
        <v>0</v>
      </c>
      <c r="Z9" s="493">
        <v>0</v>
      </c>
      <c r="AA9" s="493">
        <v>0</v>
      </c>
      <c r="AB9" s="493">
        <v>0</v>
      </c>
      <c r="AC9" s="493">
        <v>0</v>
      </c>
      <c r="AD9" s="493">
        <v>0</v>
      </c>
      <c r="AE9" s="493">
        <v>0</v>
      </c>
      <c r="AF9" s="493">
        <v>0</v>
      </c>
      <c r="AG9" s="493">
        <v>0</v>
      </c>
      <c r="AH9" s="493">
        <v>0</v>
      </c>
      <c r="AI9" s="493">
        <v>0</v>
      </c>
      <c r="AJ9" s="493">
        <v>0</v>
      </c>
      <c r="AK9" s="493">
        <v>0</v>
      </c>
      <c r="AL9" s="493">
        <v>0</v>
      </c>
      <c r="AM9" s="493">
        <v>0</v>
      </c>
      <c r="AN9" s="493">
        <v>0</v>
      </c>
      <c r="AO9" s="493">
        <v>0</v>
      </c>
      <c r="AP9" s="493">
        <v>0</v>
      </c>
      <c r="AQ9" s="493">
        <v>0</v>
      </c>
      <c r="AR9" s="493">
        <v>0</v>
      </c>
      <c r="AS9" s="493">
        <v>0</v>
      </c>
      <c r="AT9" s="493">
        <v>0</v>
      </c>
      <c r="AU9" s="493">
        <v>0</v>
      </c>
      <c r="AV9" s="493">
        <v>0</v>
      </c>
      <c r="AW9" s="493">
        <v>0</v>
      </c>
      <c r="AX9" s="493">
        <v>0</v>
      </c>
      <c r="AY9" s="493">
        <v>0</v>
      </c>
      <c r="AZ9" s="493">
        <v>0</v>
      </c>
      <c r="BA9" s="493">
        <v>0</v>
      </c>
      <c r="BB9" s="493">
        <v>0</v>
      </c>
      <c r="BC9" s="493">
        <v>0</v>
      </c>
      <c r="BD9" s="493">
        <v>0</v>
      </c>
      <c r="BE9" s="493">
        <v>0</v>
      </c>
      <c r="BF9" s="493">
        <v>0</v>
      </c>
      <c r="BG9" s="493">
        <v>0</v>
      </c>
      <c r="BH9" s="493">
        <v>0</v>
      </c>
      <c r="BI9" s="493">
        <v>0</v>
      </c>
      <c r="BJ9" s="493">
        <v>0</v>
      </c>
      <c r="BK9" s="493">
        <v>0</v>
      </c>
      <c r="BL9" s="493">
        <v>0</v>
      </c>
      <c r="BM9" s="493">
        <v>0</v>
      </c>
      <c r="BN9" s="493">
        <v>0</v>
      </c>
      <c r="BO9" s="493">
        <v>0</v>
      </c>
      <c r="BP9" s="493">
        <v>0</v>
      </c>
      <c r="BQ9" s="493">
        <v>0</v>
      </c>
      <c r="BR9" s="493">
        <v>0</v>
      </c>
      <c r="BS9" s="493">
        <v>0</v>
      </c>
      <c r="BT9" s="493">
        <v>0</v>
      </c>
      <c r="BU9" s="493">
        <v>0</v>
      </c>
      <c r="BV9" s="493">
        <v>0</v>
      </c>
      <c r="BW9" s="493">
        <v>0</v>
      </c>
      <c r="BX9" s="493">
        <v>0</v>
      </c>
      <c r="BY9" s="493">
        <v>0</v>
      </c>
      <c r="BZ9" s="493">
        <v>0</v>
      </c>
      <c r="CA9" s="493">
        <v>0</v>
      </c>
      <c r="CB9" s="493">
        <v>0</v>
      </c>
      <c r="CC9" s="493">
        <v>0</v>
      </c>
      <c r="CD9" s="493">
        <v>0</v>
      </c>
      <c r="CE9" s="493">
        <v>0</v>
      </c>
      <c r="CF9" s="493">
        <v>0</v>
      </c>
      <c r="CG9" s="493">
        <v>0</v>
      </c>
      <c r="CH9" s="493">
        <v>0</v>
      </c>
      <c r="CI9" s="493">
        <v>0</v>
      </c>
      <c r="CJ9" s="493">
        <v>0</v>
      </c>
      <c r="CK9" s="493">
        <v>0</v>
      </c>
      <c r="CL9" s="493">
        <v>0</v>
      </c>
      <c r="CM9" s="493">
        <v>0</v>
      </c>
      <c r="CN9" s="493">
        <v>0</v>
      </c>
      <c r="CO9" s="493">
        <v>0</v>
      </c>
      <c r="CP9" s="493">
        <v>0</v>
      </c>
      <c r="CQ9" s="493">
        <v>0</v>
      </c>
      <c r="CR9" s="493">
        <v>0</v>
      </c>
      <c r="CS9" s="493">
        <v>0</v>
      </c>
      <c r="CT9" s="493">
        <v>0</v>
      </c>
      <c r="CU9" s="493">
        <v>0</v>
      </c>
      <c r="CV9" s="493">
        <v>0</v>
      </c>
      <c r="CW9" s="493">
        <v>0</v>
      </c>
      <c r="CX9" s="493">
        <v>0</v>
      </c>
      <c r="CY9" s="493">
        <v>0</v>
      </c>
      <c r="CZ9" s="493">
        <v>0</v>
      </c>
      <c r="DA9" s="493">
        <v>0</v>
      </c>
      <c r="DB9" s="493">
        <v>0</v>
      </c>
      <c r="DC9" s="493">
        <v>0</v>
      </c>
      <c r="DD9" s="493">
        <v>0</v>
      </c>
      <c r="DE9" s="493">
        <v>0</v>
      </c>
      <c r="DF9" s="493">
        <v>0</v>
      </c>
      <c r="DG9" s="493">
        <v>0</v>
      </c>
      <c r="DH9" s="493">
        <v>0</v>
      </c>
      <c r="DI9" s="493">
        <v>0</v>
      </c>
      <c r="DJ9" s="493">
        <v>0</v>
      </c>
      <c r="DK9" s="493">
        <v>0</v>
      </c>
      <c r="DL9" s="493">
        <v>0</v>
      </c>
      <c r="DM9" s="493">
        <v>0</v>
      </c>
      <c r="DN9" s="493">
        <v>0</v>
      </c>
      <c r="DO9" s="493">
        <v>0</v>
      </c>
      <c r="DP9" s="493">
        <v>0</v>
      </c>
      <c r="DQ9" s="493">
        <v>0</v>
      </c>
      <c r="DR9" s="493">
        <v>0</v>
      </c>
      <c r="DS9" s="493">
        <v>0</v>
      </c>
      <c r="DT9" s="493">
        <v>0</v>
      </c>
      <c r="DU9" s="493">
        <v>0</v>
      </c>
      <c r="DV9" s="493">
        <v>0</v>
      </c>
      <c r="DW9" s="493">
        <v>0</v>
      </c>
      <c r="DX9" s="493">
        <v>0</v>
      </c>
      <c r="DY9" s="493">
        <v>0</v>
      </c>
      <c r="DZ9" s="493">
        <v>0</v>
      </c>
      <c r="EA9" s="493">
        <v>0</v>
      </c>
      <c r="EB9" s="493">
        <v>0</v>
      </c>
      <c r="EC9" s="493">
        <v>0</v>
      </c>
      <c r="ED9" s="493">
        <v>0</v>
      </c>
      <c r="EE9" s="493">
        <v>0</v>
      </c>
      <c r="EF9" s="493">
        <v>0</v>
      </c>
      <c r="EG9" s="493">
        <v>0</v>
      </c>
      <c r="EH9" s="493">
        <v>0</v>
      </c>
      <c r="EI9" s="493">
        <v>0</v>
      </c>
      <c r="EJ9" s="493">
        <v>0</v>
      </c>
      <c r="EK9" s="493">
        <v>0</v>
      </c>
      <c r="EL9" s="493">
        <v>0</v>
      </c>
      <c r="EM9" s="493">
        <v>0</v>
      </c>
      <c r="EN9" s="493">
        <v>0</v>
      </c>
      <c r="EO9" s="493">
        <v>0</v>
      </c>
      <c r="EP9" s="493">
        <v>0</v>
      </c>
      <c r="EQ9" s="493">
        <v>0</v>
      </c>
      <c r="ER9" s="493">
        <v>0</v>
      </c>
      <c r="ES9" s="493">
        <v>0</v>
      </c>
      <c r="ET9" s="493">
        <v>0</v>
      </c>
      <c r="EU9" s="493">
        <v>0</v>
      </c>
      <c r="EV9" s="493">
        <v>0</v>
      </c>
      <c r="EW9" s="493">
        <v>0</v>
      </c>
      <c r="EX9" s="493">
        <v>0</v>
      </c>
      <c r="EY9" s="493">
        <v>0</v>
      </c>
      <c r="EZ9" s="493">
        <v>0</v>
      </c>
      <c r="FA9" s="493">
        <v>0</v>
      </c>
      <c r="FB9" s="493">
        <v>0</v>
      </c>
      <c r="FC9" s="493">
        <v>0</v>
      </c>
      <c r="FD9" s="493">
        <v>0</v>
      </c>
      <c r="FE9" s="493">
        <v>0</v>
      </c>
      <c r="FF9" s="493">
        <v>0</v>
      </c>
      <c r="FG9" s="493">
        <v>0</v>
      </c>
      <c r="FH9" s="493">
        <v>0</v>
      </c>
      <c r="FI9" s="493">
        <v>0</v>
      </c>
      <c r="FJ9" s="45">
        <v>0</v>
      </c>
    </row>
    <row r="10" spans="1:166">
      <c r="A10" s="501" t="s">
        <v>1055</v>
      </c>
      <c r="B10" s="491" t="s">
        <v>1185</v>
      </c>
      <c r="C10" s="491" t="s">
        <v>1183</v>
      </c>
      <c r="D10" s="491" t="s">
        <v>14</v>
      </c>
      <c r="E10" s="491" t="s">
        <v>975</v>
      </c>
      <c r="F10" s="491" t="s">
        <v>1454</v>
      </c>
      <c r="G10" s="491" t="s">
        <v>1456</v>
      </c>
      <c r="H10" s="492">
        <v>0</v>
      </c>
      <c r="I10" s="491">
        <v>0</v>
      </c>
      <c r="J10" s="491" t="s">
        <v>539</v>
      </c>
      <c r="K10" s="491">
        <v>0</v>
      </c>
      <c r="L10" s="491" t="s">
        <v>590</v>
      </c>
      <c r="M10" s="493">
        <v>1</v>
      </c>
      <c r="N10" s="491">
        <v>0</v>
      </c>
      <c r="O10" s="494">
        <v>16000000</v>
      </c>
      <c r="P10" s="495">
        <f t="shared" si="5"/>
        <v>16000000</v>
      </c>
      <c r="Q10" s="493">
        <v>0</v>
      </c>
      <c r="R10" s="493">
        <v>0</v>
      </c>
      <c r="S10" s="491">
        <v>0</v>
      </c>
      <c r="T10" s="497">
        <v>1</v>
      </c>
      <c r="U10" s="491">
        <v>0</v>
      </c>
      <c r="V10" s="493">
        <v>0</v>
      </c>
      <c r="W10" s="493">
        <v>0</v>
      </c>
      <c r="X10" s="493">
        <v>0</v>
      </c>
      <c r="Y10" s="493">
        <v>0</v>
      </c>
      <c r="Z10" s="493">
        <v>0</v>
      </c>
      <c r="AA10" s="493">
        <v>0</v>
      </c>
      <c r="AB10" s="493">
        <v>0</v>
      </c>
      <c r="AC10" s="493">
        <v>0</v>
      </c>
      <c r="AD10" s="493">
        <v>0</v>
      </c>
      <c r="AE10" s="493">
        <v>0</v>
      </c>
      <c r="AF10" s="493">
        <v>0</v>
      </c>
      <c r="AG10" s="493">
        <v>0</v>
      </c>
      <c r="AH10" s="493">
        <v>0</v>
      </c>
      <c r="AI10" s="493">
        <v>0</v>
      </c>
      <c r="AJ10" s="493">
        <v>0</v>
      </c>
      <c r="AK10" s="493">
        <v>0</v>
      </c>
      <c r="AL10" s="493">
        <v>0</v>
      </c>
      <c r="AM10" s="493">
        <v>0</v>
      </c>
      <c r="AN10" s="493">
        <v>0</v>
      </c>
      <c r="AO10" s="493">
        <v>0</v>
      </c>
      <c r="AP10" s="493">
        <v>0</v>
      </c>
      <c r="AQ10" s="493">
        <v>0</v>
      </c>
      <c r="AR10" s="493">
        <v>0</v>
      </c>
      <c r="AS10" s="493">
        <v>0</v>
      </c>
      <c r="AT10" s="493">
        <v>0</v>
      </c>
      <c r="AU10" s="493">
        <v>0</v>
      </c>
      <c r="AV10" s="493">
        <v>0</v>
      </c>
      <c r="AW10" s="493">
        <v>0</v>
      </c>
      <c r="AX10" s="493">
        <v>0</v>
      </c>
      <c r="AY10" s="493">
        <v>0</v>
      </c>
      <c r="AZ10" s="493">
        <v>0</v>
      </c>
      <c r="BA10" s="493">
        <v>0</v>
      </c>
      <c r="BB10" s="493">
        <v>0</v>
      </c>
      <c r="BC10" s="493">
        <v>0</v>
      </c>
      <c r="BD10" s="493">
        <v>0</v>
      </c>
      <c r="BE10" s="493">
        <v>0</v>
      </c>
      <c r="BF10" s="493">
        <v>0</v>
      </c>
      <c r="BG10" s="493">
        <v>0</v>
      </c>
      <c r="BH10" s="493">
        <v>0</v>
      </c>
      <c r="BI10" s="493">
        <v>0</v>
      </c>
      <c r="BJ10" s="493">
        <v>0</v>
      </c>
      <c r="BK10" s="493">
        <v>0</v>
      </c>
      <c r="BL10" s="493">
        <v>0</v>
      </c>
      <c r="BM10" s="493">
        <v>0</v>
      </c>
      <c r="BN10" s="493">
        <v>0</v>
      </c>
      <c r="BO10" s="493">
        <v>0</v>
      </c>
      <c r="BP10" s="493">
        <v>0</v>
      </c>
      <c r="BQ10" s="493">
        <v>0</v>
      </c>
      <c r="BR10" s="493">
        <v>0</v>
      </c>
      <c r="BS10" s="493">
        <v>0</v>
      </c>
      <c r="BT10" s="493">
        <v>0</v>
      </c>
      <c r="BU10" s="493">
        <v>0</v>
      </c>
      <c r="BV10" s="493">
        <v>0</v>
      </c>
      <c r="BW10" s="493">
        <v>0</v>
      </c>
      <c r="BX10" s="493">
        <v>0</v>
      </c>
      <c r="BY10" s="493">
        <v>0</v>
      </c>
      <c r="BZ10" s="493">
        <v>0</v>
      </c>
      <c r="CA10" s="493">
        <v>0</v>
      </c>
      <c r="CB10" s="493">
        <v>0</v>
      </c>
      <c r="CC10" s="493">
        <v>0</v>
      </c>
      <c r="CD10" s="493">
        <v>0</v>
      </c>
      <c r="CE10" s="493">
        <v>0</v>
      </c>
      <c r="CF10" s="493">
        <v>0</v>
      </c>
      <c r="CG10" s="493">
        <v>0</v>
      </c>
      <c r="CH10" s="493">
        <v>0</v>
      </c>
      <c r="CI10" s="493">
        <v>0</v>
      </c>
      <c r="CJ10" s="493">
        <v>0</v>
      </c>
      <c r="CK10" s="493">
        <v>0</v>
      </c>
      <c r="CL10" s="493">
        <v>0</v>
      </c>
      <c r="CM10" s="493">
        <v>0</v>
      </c>
      <c r="CN10" s="493">
        <v>0</v>
      </c>
      <c r="CO10" s="493">
        <v>0</v>
      </c>
      <c r="CP10" s="493">
        <v>0</v>
      </c>
      <c r="CQ10" s="493">
        <v>0</v>
      </c>
      <c r="CR10" s="493">
        <v>0</v>
      </c>
      <c r="CS10" s="493">
        <v>0</v>
      </c>
      <c r="CT10" s="493">
        <v>0</v>
      </c>
      <c r="CU10" s="493">
        <v>0</v>
      </c>
      <c r="CV10" s="493">
        <v>0</v>
      </c>
      <c r="CW10" s="493">
        <v>0</v>
      </c>
      <c r="CX10" s="493">
        <v>0</v>
      </c>
      <c r="CY10" s="493">
        <v>0</v>
      </c>
      <c r="CZ10" s="493">
        <v>0</v>
      </c>
      <c r="DA10" s="493">
        <v>0</v>
      </c>
      <c r="DB10" s="493">
        <v>0</v>
      </c>
      <c r="DC10" s="493">
        <v>0</v>
      </c>
      <c r="DD10" s="493">
        <v>0</v>
      </c>
      <c r="DE10" s="493">
        <v>0</v>
      </c>
      <c r="DF10" s="493">
        <v>0</v>
      </c>
      <c r="DG10" s="493">
        <v>0</v>
      </c>
      <c r="DH10" s="493">
        <v>0</v>
      </c>
      <c r="DI10" s="493">
        <v>0</v>
      </c>
      <c r="DJ10" s="493">
        <v>0</v>
      </c>
      <c r="DK10" s="493">
        <v>0</v>
      </c>
      <c r="DL10" s="493">
        <v>0</v>
      </c>
      <c r="DM10" s="493">
        <v>0</v>
      </c>
      <c r="DN10" s="493">
        <v>0</v>
      </c>
      <c r="DO10" s="493">
        <v>0</v>
      </c>
      <c r="DP10" s="493">
        <v>0</v>
      </c>
      <c r="DQ10" s="493">
        <v>0</v>
      </c>
      <c r="DR10" s="493">
        <v>0</v>
      </c>
      <c r="DS10" s="493">
        <v>0</v>
      </c>
      <c r="DT10" s="493">
        <v>0</v>
      </c>
      <c r="DU10" s="493">
        <v>0</v>
      </c>
      <c r="DV10" s="493">
        <v>0</v>
      </c>
      <c r="DW10" s="493">
        <v>0</v>
      </c>
      <c r="DX10" s="493">
        <v>0</v>
      </c>
      <c r="DY10" s="493">
        <v>0</v>
      </c>
      <c r="DZ10" s="493">
        <v>0</v>
      </c>
      <c r="EA10" s="493">
        <v>0</v>
      </c>
      <c r="EB10" s="493">
        <v>0</v>
      </c>
      <c r="EC10" s="493">
        <v>0</v>
      </c>
      <c r="ED10" s="493">
        <v>0</v>
      </c>
      <c r="EE10" s="493">
        <v>0</v>
      </c>
      <c r="EF10" s="493">
        <v>0</v>
      </c>
      <c r="EG10" s="493">
        <v>0</v>
      </c>
      <c r="EH10" s="493">
        <v>0</v>
      </c>
      <c r="EI10" s="493">
        <v>0</v>
      </c>
      <c r="EJ10" s="493">
        <v>0</v>
      </c>
      <c r="EK10" s="493">
        <v>0</v>
      </c>
      <c r="EL10" s="493">
        <v>0</v>
      </c>
      <c r="EM10" s="493">
        <v>0</v>
      </c>
      <c r="EN10" s="493">
        <v>0</v>
      </c>
      <c r="EO10" s="493">
        <v>0</v>
      </c>
      <c r="EP10" s="493">
        <v>0</v>
      </c>
      <c r="EQ10" s="493">
        <v>0</v>
      </c>
      <c r="ER10" s="493">
        <v>0</v>
      </c>
      <c r="ES10" s="493">
        <v>0</v>
      </c>
      <c r="ET10" s="493">
        <v>0</v>
      </c>
      <c r="EU10" s="493">
        <v>0</v>
      </c>
      <c r="EV10" s="493">
        <v>0</v>
      </c>
      <c r="EW10" s="493">
        <v>0</v>
      </c>
      <c r="EX10" s="493">
        <v>0</v>
      </c>
      <c r="EY10" s="493">
        <v>0</v>
      </c>
      <c r="EZ10" s="493">
        <v>0</v>
      </c>
      <c r="FA10" s="493">
        <v>0</v>
      </c>
      <c r="FB10" s="493">
        <v>0</v>
      </c>
      <c r="FC10" s="493">
        <v>0</v>
      </c>
      <c r="FD10" s="493">
        <v>0</v>
      </c>
      <c r="FE10" s="493">
        <v>0</v>
      </c>
      <c r="FF10" s="493">
        <v>0</v>
      </c>
      <c r="FG10" s="493">
        <v>0</v>
      </c>
      <c r="FH10" s="493">
        <v>0</v>
      </c>
      <c r="FI10" s="493">
        <v>0</v>
      </c>
      <c r="FJ10" s="45">
        <v>0</v>
      </c>
    </row>
    <row r="11" spans="1:166">
      <c r="A11" s="501" t="s">
        <v>1056</v>
      </c>
      <c r="B11" s="491" t="s">
        <v>1185</v>
      </c>
      <c r="C11" s="491" t="s">
        <v>1183</v>
      </c>
      <c r="D11" s="491" t="s">
        <v>14</v>
      </c>
      <c r="E11" s="491" t="s">
        <v>975</v>
      </c>
      <c r="F11" s="491" t="s">
        <v>1454</v>
      </c>
      <c r="G11" s="491" t="s">
        <v>1457</v>
      </c>
      <c r="H11" s="492">
        <v>0</v>
      </c>
      <c r="I11" s="491">
        <v>0</v>
      </c>
      <c r="J11" s="491" t="s">
        <v>539</v>
      </c>
      <c r="K11" s="491">
        <v>0</v>
      </c>
      <c r="L11" s="491" t="s">
        <v>590</v>
      </c>
      <c r="M11" s="493">
        <v>1</v>
      </c>
      <c r="N11" s="491">
        <v>0</v>
      </c>
      <c r="O11" s="494">
        <v>6000000</v>
      </c>
      <c r="P11" s="495">
        <f t="shared" si="5"/>
        <v>6000000</v>
      </c>
      <c r="Q11" s="493">
        <v>0</v>
      </c>
      <c r="R11" s="493">
        <v>0</v>
      </c>
      <c r="S11" s="491">
        <v>0</v>
      </c>
      <c r="T11" s="497">
        <v>1</v>
      </c>
      <c r="U11" s="491">
        <v>0</v>
      </c>
      <c r="V11" s="493">
        <v>0</v>
      </c>
      <c r="W11" s="493">
        <v>0</v>
      </c>
      <c r="X11" s="493">
        <v>0</v>
      </c>
      <c r="Y11" s="493">
        <v>0</v>
      </c>
      <c r="Z11" s="493">
        <v>0</v>
      </c>
      <c r="AA11" s="493">
        <v>0</v>
      </c>
      <c r="AB11" s="493">
        <v>0</v>
      </c>
      <c r="AC11" s="493">
        <v>0</v>
      </c>
      <c r="AD11" s="493">
        <v>0</v>
      </c>
      <c r="AE11" s="493">
        <v>0</v>
      </c>
      <c r="AF11" s="493">
        <v>0</v>
      </c>
      <c r="AG11" s="493">
        <v>0</v>
      </c>
      <c r="AH11" s="493">
        <v>0</v>
      </c>
      <c r="AI11" s="493">
        <v>0</v>
      </c>
      <c r="AJ11" s="493">
        <v>0</v>
      </c>
      <c r="AK11" s="493">
        <v>0</v>
      </c>
      <c r="AL11" s="493">
        <v>0</v>
      </c>
      <c r="AM11" s="493">
        <v>0</v>
      </c>
      <c r="AN11" s="493">
        <v>0</v>
      </c>
      <c r="AO11" s="493">
        <v>0</v>
      </c>
      <c r="AP11" s="493">
        <v>0</v>
      </c>
      <c r="AQ11" s="493">
        <v>0</v>
      </c>
      <c r="AR11" s="493">
        <v>0</v>
      </c>
      <c r="AS11" s="493">
        <v>0</v>
      </c>
      <c r="AT11" s="493">
        <v>0</v>
      </c>
      <c r="AU11" s="493">
        <v>0</v>
      </c>
      <c r="AV11" s="493">
        <v>0</v>
      </c>
      <c r="AW11" s="493">
        <v>0</v>
      </c>
      <c r="AX11" s="493">
        <v>0</v>
      </c>
      <c r="AY11" s="493">
        <v>0</v>
      </c>
      <c r="AZ11" s="493">
        <v>0</v>
      </c>
      <c r="BA11" s="493">
        <v>0</v>
      </c>
      <c r="BB11" s="493">
        <v>0</v>
      </c>
      <c r="BC11" s="493">
        <v>0</v>
      </c>
      <c r="BD11" s="493">
        <v>0</v>
      </c>
      <c r="BE11" s="493">
        <v>0</v>
      </c>
      <c r="BF11" s="493">
        <v>0</v>
      </c>
      <c r="BG11" s="493">
        <v>0</v>
      </c>
      <c r="BH11" s="493">
        <v>0</v>
      </c>
      <c r="BI11" s="493">
        <v>0</v>
      </c>
      <c r="BJ11" s="493">
        <v>0</v>
      </c>
      <c r="BK11" s="493">
        <v>0</v>
      </c>
      <c r="BL11" s="493">
        <v>0</v>
      </c>
      <c r="BM11" s="493">
        <v>0</v>
      </c>
      <c r="BN11" s="493">
        <v>0</v>
      </c>
      <c r="BO11" s="493">
        <v>0</v>
      </c>
      <c r="BP11" s="493">
        <v>0</v>
      </c>
      <c r="BQ11" s="493">
        <v>0</v>
      </c>
      <c r="BR11" s="493">
        <v>0</v>
      </c>
      <c r="BS11" s="493">
        <v>0</v>
      </c>
      <c r="BT11" s="493">
        <v>0</v>
      </c>
      <c r="BU11" s="493">
        <v>0</v>
      </c>
      <c r="BV11" s="493">
        <v>0</v>
      </c>
      <c r="BW11" s="493">
        <v>0</v>
      </c>
      <c r="BX11" s="493">
        <v>0</v>
      </c>
      <c r="BY11" s="493">
        <v>0</v>
      </c>
      <c r="BZ11" s="493">
        <v>0</v>
      </c>
      <c r="CA11" s="493">
        <v>0</v>
      </c>
      <c r="CB11" s="493">
        <v>0</v>
      </c>
      <c r="CC11" s="493">
        <v>0</v>
      </c>
      <c r="CD11" s="493">
        <v>0</v>
      </c>
      <c r="CE11" s="493">
        <v>0</v>
      </c>
      <c r="CF11" s="493">
        <v>0</v>
      </c>
      <c r="CG11" s="493">
        <v>0</v>
      </c>
      <c r="CH11" s="493">
        <v>0</v>
      </c>
      <c r="CI11" s="493">
        <v>0</v>
      </c>
      <c r="CJ11" s="493">
        <v>0</v>
      </c>
      <c r="CK11" s="493">
        <v>0</v>
      </c>
      <c r="CL11" s="493">
        <v>0</v>
      </c>
      <c r="CM11" s="493">
        <v>0</v>
      </c>
      <c r="CN11" s="493">
        <v>0</v>
      </c>
      <c r="CO11" s="493">
        <v>0</v>
      </c>
      <c r="CP11" s="493">
        <v>0</v>
      </c>
      <c r="CQ11" s="493">
        <v>0</v>
      </c>
      <c r="CR11" s="493">
        <v>0</v>
      </c>
      <c r="CS11" s="493">
        <v>0</v>
      </c>
      <c r="CT11" s="493">
        <v>0</v>
      </c>
      <c r="CU11" s="493">
        <v>0</v>
      </c>
      <c r="CV11" s="493">
        <v>0</v>
      </c>
      <c r="CW11" s="493">
        <v>0</v>
      </c>
      <c r="CX11" s="493">
        <v>0</v>
      </c>
      <c r="CY11" s="493">
        <v>0</v>
      </c>
      <c r="CZ11" s="493">
        <v>0</v>
      </c>
      <c r="DA11" s="493">
        <v>0</v>
      </c>
      <c r="DB11" s="493">
        <v>0</v>
      </c>
      <c r="DC11" s="493">
        <v>0</v>
      </c>
      <c r="DD11" s="493">
        <v>0</v>
      </c>
      <c r="DE11" s="493">
        <v>0</v>
      </c>
      <c r="DF11" s="493">
        <v>0</v>
      </c>
      <c r="DG11" s="493">
        <v>0</v>
      </c>
      <c r="DH11" s="493">
        <v>0</v>
      </c>
      <c r="DI11" s="493">
        <v>0</v>
      </c>
      <c r="DJ11" s="493">
        <v>0</v>
      </c>
      <c r="DK11" s="493">
        <v>0</v>
      </c>
      <c r="DL11" s="493">
        <v>0</v>
      </c>
      <c r="DM11" s="493">
        <v>0</v>
      </c>
      <c r="DN11" s="493">
        <v>0</v>
      </c>
      <c r="DO11" s="493">
        <v>0</v>
      </c>
      <c r="DP11" s="493">
        <v>0</v>
      </c>
      <c r="DQ11" s="493">
        <v>0</v>
      </c>
      <c r="DR11" s="493">
        <v>0</v>
      </c>
      <c r="DS11" s="493">
        <v>0</v>
      </c>
      <c r="DT11" s="493">
        <v>0</v>
      </c>
      <c r="DU11" s="493">
        <v>0</v>
      </c>
      <c r="DV11" s="493">
        <v>0</v>
      </c>
      <c r="DW11" s="493">
        <v>0</v>
      </c>
      <c r="DX11" s="493">
        <v>0</v>
      </c>
      <c r="DY11" s="493">
        <v>0</v>
      </c>
      <c r="DZ11" s="493">
        <v>0</v>
      </c>
      <c r="EA11" s="493">
        <v>0</v>
      </c>
      <c r="EB11" s="493">
        <v>0</v>
      </c>
      <c r="EC11" s="493">
        <v>0</v>
      </c>
      <c r="ED11" s="493">
        <v>0</v>
      </c>
      <c r="EE11" s="493">
        <v>0</v>
      </c>
      <c r="EF11" s="493">
        <v>0</v>
      </c>
      <c r="EG11" s="493">
        <v>0</v>
      </c>
      <c r="EH11" s="493">
        <v>0</v>
      </c>
      <c r="EI11" s="493">
        <v>0</v>
      </c>
      <c r="EJ11" s="493">
        <v>0</v>
      </c>
      <c r="EK11" s="493">
        <v>0</v>
      </c>
      <c r="EL11" s="493">
        <v>0</v>
      </c>
      <c r="EM11" s="493">
        <v>0</v>
      </c>
      <c r="EN11" s="493">
        <v>0</v>
      </c>
      <c r="EO11" s="493">
        <v>0</v>
      </c>
      <c r="EP11" s="493">
        <v>0</v>
      </c>
      <c r="EQ11" s="493">
        <v>0</v>
      </c>
      <c r="ER11" s="493">
        <v>0</v>
      </c>
      <c r="ES11" s="493">
        <v>0</v>
      </c>
      <c r="ET11" s="493">
        <v>0</v>
      </c>
      <c r="EU11" s="493">
        <v>0</v>
      </c>
      <c r="EV11" s="493">
        <v>0</v>
      </c>
      <c r="EW11" s="493">
        <v>0</v>
      </c>
      <c r="EX11" s="493">
        <v>0</v>
      </c>
      <c r="EY11" s="493">
        <v>0</v>
      </c>
      <c r="EZ11" s="493">
        <v>0</v>
      </c>
      <c r="FA11" s="493">
        <v>0</v>
      </c>
      <c r="FB11" s="493">
        <v>0</v>
      </c>
      <c r="FC11" s="493">
        <v>0</v>
      </c>
      <c r="FD11" s="493">
        <v>0</v>
      </c>
      <c r="FE11" s="493">
        <v>0</v>
      </c>
      <c r="FF11" s="493">
        <v>0</v>
      </c>
      <c r="FG11" s="493">
        <v>0</v>
      </c>
      <c r="FH11" s="493">
        <v>0</v>
      </c>
      <c r="FI11" s="493">
        <v>0</v>
      </c>
      <c r="FJ11" s="45">
        <v>0</v>
      </c>
    </row>
    <row r="12" spans="1:166">
      <c r="A12" s="501" t="s">
        <v>1057</v>
      </c>
      <c r="B12" s="491" t="s">
        <v>1185</v>
      </c>
      <c r="C12" s="498" t="s">
        <v>1183</v>
      </c>
      <c r="D12" s="498" t="s">
        <v>14</v>
      </c>
      <c r="E12" s="498" t="s">
        <v>975</v>
      </c>
      <c r="F12" s="491" t="s">
        <v>1454</v>
      </c>
      <c r="G12" s="491" t="s">
        <v>1458</v>
      </c>
      <c r="H12" s="499">
        <v>0</v>
      </c>
      <c r="I12" s="491">
        <v>0</v>
      </c>
      <c r="J12" s="491" t="s">
        <v>539</v>
      </c>
      <c r="K12" s="491">
        <v>0</v>
      </c>
      <c r="L12" s="491" t="s">
        <v>590</v>
      </c>
      <c r="M12" s="498">
        <v>30</v>
      </c>
      <c r="N12" s="491">
        <v>0</v>
      </c>
      <c r="O12" s="498">
        <v>1200000</v>
      </c>
      <c r="P12" s="495">
        <f t="shared" si="5"/>
        <v>36000000</v>
      </c>
      <c r="Q12" s="493">
        <v>0</v>
      </c>
      <c r="R12" s="493">
        <v>0</v>
      </c>
      <c r="S12" s="491">
        <v>0</v>
      </c>
      <c r="T12" s="497">
        <v>1</v>
      </c>
      <c r="U12" s="491">
        <v>0</v>
      </c>
      <c r="V12" s="493">
        <v>0</v>
      </c>
      <c r="W12" s="493">
        <v>0</v>
      </c>
      <c r="X12" s="493">
        <v>0</v>
      </c>
      <c r="Y12" s="493">
        <v>0</v>
      </c>
      <c r="Z12" s="493">
        <v>0</v>
      </c>
      <c r="AA12" s="493">
        <v>0</v>
      </c>
      <c r="AB12" s="493">
        <v>0</v>
      </c>
      <c r="AC12" s="493">
        <v>0</v>
      </c>
      <c r="AD12" s="493">
        <v>0</v>
      </c>
      <c r="AE12" s="493">
        <v>0</v>
      </c>
      <c r="AF12" s="493">
        <v>0</v>
      </c>
      <c r="AG12" s="493">
        <v>0</v>
      </c>
      <c r="AH12" s="493">
        <v>0</v>
      </c>
      <c r="AI12" s="493">
        <v>0</v>
      </c>
      <c r="AJ12" s="493">
        <v>0</v>
      </c>
      <c r="AK12" s="493">
        <v>0</v>
      </c>
      <c r="AL12" s="493">
        <v>0</v>
      </c>
      <c r="AM12" s="493">
        <v>0</v>
      </c>
      <c r="AN12" s="493">
        <v>0</v>
      </c>
      <c r="AO12" s="493">
        <v>0</v>
      </c>
      <c r="AP12" s="493">
        <v>0</v>
      </c>
      <c r="AQ12" s="493">
        <v>0</v>
      </c>
      <c r="AR12" s="493">
        <v>0</v>
      </c>
      <c r="AS12" s="493">
        <v>0</v>
      </c>
      <c r="AT12" s="493">
        <v>0</v>
      </c>
      <c r="AU12" s="493">
        <v>0</v>
      </c>
      <c r="AV12" s="493">
        <v>0</v>
      </c>
      <c r="AW12" s="493">
        <v>0</v>
      </c>
      <c r="AX12" s="493">
        <v>0</v>
      </c>
      <c r="AY12" s="493">
        <v>0</v>
      </c>
      <c r="AZ12" s="493">
        <v>0</v>
      </c>
      <c r="BA12" s="493">
        <v>0</v>
      </c>
      <c r="BB12" s="493">
        <v>0</v>
      </c>
      <c r="BC12" s="493">
        <v>0</v>
      </c>
      <c r="BD12" s="493">
        <v>0</v>
      </c>
      <c r="BE12" s="493">
        <v>0</v>
      </c>
      <c r="BF12" s="493">
        <v>0</v>
      </c>
      <c r="BG12" s="493">
        <v>0</v>
      </c>
      <c r="BH12" s="493">
        <v>0</v>
      </c>
      <c r="BI12" s="493">
        <v>0</v>
      </c>
      <c r="BJ12" s="493">
        <v>0</v>
      </c>
      <c r="BK12" s="493">
        <v>0</v>
      </c>
      <c r="BL12" s="493">
        <v>0</v>
      </c>
      <c r="BM12" s="493">
        <v>0</v>
      </c>
      <c r="BN12" s="493">
        <v>0</v>
      </c>
      <c r="BO12" s="493">
        <v>0</v>
      </c>
      <c r="BP12" s="493">
        <v>0</v>
      </c>
      <c r="BQ12" s="493">
        <v>0</v>
      </c>
      <c r="BR12" s="493">
        <v>0</v>
      </c>
      <c r="BS12" s="493">
        <v>0</v>
      </c>
      <c r="BT12" s="493">
        <v>0</v>
      </c>
      <c r="BU12" s="493">
        <v>0</v>
      </c>
      <c r="BV12" s="493">
        <v>0</v>
      </c>
      <c r="BW12" s="493">
        <v>0</v>
      </c>
      <c r="BX12" s="493">
        <v>0</v>
      </c>
      <c r="BY12" s="493">
        <v>0</v>
      </c>
      <c r="BZ12" s="493">
        <v>0</v>
      </c>
      <c r="CA12" s="493">
        <v>0</v>
      </c>
      <c r="CB12" s="493">
        <v>0</v>
      </c>
      <c r="CC12" s="493">
        <v>0</v>
      </c>
      <c r="CD12" s="493">
        <v>0</v>
      </c>
      <c r="CE12" s="493">
        <v>0</v>
      </c>
      <c r="CF12" s="493">
        <v>0</v>
      </c>
      <c r="CG12" s="493">
        <v>0</v>
      </c>
      <c r="CH12" s="493">
        <v>0</v>
      </c>
      <c r="CI12" s="493">
        <v>0</v>
      </c>
      <c r="CJ12" s="493">
        <v>0</v>
      </c>
      <c r="CK12" s="493">
        <v>0</v>
      </c>
      <c r="CL12" s="493">
        <v>0</v>
      </c>
      <c r="CM12" s="493">
        <v>0</v>
      </c>
      <c r="CN12" s="493">
        <v>0</v>
      </c>
      <c r="CO12" s="493">
        <v>0</v>
      </c>
      <c r="CP12" s="493">
        <v>0</v>
      </c>
      <c r="CQ12" s="493">
        <v>0</v>
      </c>
      <c r="CR12" s="493">
        <v>0</v>
      </c>
      <c r="CS12" s="493">
        <v>0</v>
      </c>
      <c r="CT12" s="493">
        <v>0</v>
      </c>
      <c r="CU12" s="493">
        <v>0</v>
      </c>
      <c r="CV12" s="493">
        <v>0</v>
      </c>
      <c r="CW12" s="493">
        <v>0</v>
      </c>
      <c r="CX12" s="493">
        <v>0</v>
      </c>
      <c r="CY12" s="493">
        <v>0</v>
      </c>
      <c r="CZ12" s="493">
        <v>0</v>
      </c>
      <c r="DA12" s="493">
        <v>0</v>
      </c>
      <c r="DB12" s="493">
        <v>0</v>
      </c>
      <c r="DC12" s="493">
        <v>0</v>
      </c>
      <c r="DD12" s="493">
        <v>0</v>
      </c>
      <c r="DE12" s="493">
        <v>0</v>
      </c>
      <c r="DF12" s="493">
        <v>0</v>
      </c>
      <c r="DG12" s="493">
        <v>0</v>
      </c>
      <c r="DH12" s="493">
        <v>0</v>
      </c>
      <c r="DI12" s="493">
        <v>0</v>
      </c>
      <c r="DJ12" s="493">
        <v>0</v>
      </c>
      <c r="DK12" s="493">
        <v>0</v>
      </c>
      <c r="DL12" s="493">
        <v>0</v>
      </c>
      <c r="DM12" s="493">
        <v>0</v>
      </c>
      <c r="DN12" s="493">
        <v>0</v>
      </c>
      <c r="DO12" s="493">
        <v>0</v>
      </c>
      <c r="DP12" s="493">
        <v>0</v>
      </c>
      <c r="DQ12" s="493">
        <v>0</v>
      </c>
      <c r="DR12" s="493">
        <v>0</v>
      </c>
      <c r="DS12" s="493">
        <v>0</v>
      </c>
      <c r="DT12" s="493">
        <v>0</v>
      </c>
      <c r="DU12" s="493">
        <v>0</v>
      </c>
      <c r="DV12" s="493">
        <v>0</v>
      </c>
      <c r="DW12" s="493">
        <v>0</v>
      </c>
      <c r="DX12" s="493">
        <v>0</v>
      </c>
      <c r="DY12" s="493">
        <v>0</v>
      </c>
      <c r="DZ12" s="493">
        <v>0</v>
      </c>
      <c r="EA12" s="493">
        <v>0</v>
      </c>
      <c r="EB12" s="493">
        <v>0</v>
      </c>
      <c r="EC12" s="493">
        <v>0</v>
      </c>
      <c r="ED12" s="493">
        <v>0</v>
      </c>
      <c r="EE12" s="493">
        <v>0</v>
      </c>
      <c r="EF12" s="493">
        <v>0</v>
      </c>
      <c r="EG12" s="493">
        <v>0</v>
      </c>
      <c r="EH12" s="493">
        <v>0</v>
      </c>
      <c r="EI12" s="493">
        <v>0</v>
      </c>
      <c r="EJ12" s="493">
        <v>0</v>
      </c>
      <c r="EK12" s="493">
        <v>0</v>
      </c>
      <c r="EL12" s="493">
        <v>0</v>
      </c>
      <c r="EM12" s="493">
        <v>0</v>
      </c>
      <c r="EN12" s="493">
        <v>0</v>
      </c>
      <c r="EO12" s="493">
        <v>0</v>
      </c>
      <c r="EP12" s="493">
        <v>0</v>
      </c>
      <c r="EQ12" s="493">
        <v>0</v>
      </c>
      <c r="ER12" s="493">
        <v>0</v>
      </c>
      <c r="ES12" s="493">
        <v>0</v>
      </c>
      <c r="ET12" s="493">
        <v>0</v>
      </c>
      <c r="EU12" s="493">
        <v>0</v>
      </c>
      <c r="EV12" s="493">
        <v>0</v>
      </c>
      <c r="EW12" s="493">
        <v>0</v>
      </c>
      <c r="EX12" s="493">
        <v>0</v>
      </c>
      <c r="EY12" s="493">
        <v>0</v>
      </c>
      <c r="EZ12" s="493">
        <v>0</v>
      </c>
      <c r="FA12" s="493">
        <v>0</v>
      </c>
      <c r="FB12" s="493">
        <v>0</v>
      </c>
      <c r="FC12" s="493">
        <v>0</v>
      </c>
      <c r="FD12" s="493">
        <v>0</v>
      </c>
      <c r="FE12" s="493">
        <v>0</v>
      </c>
      <c r="FF12" s="493">
        <v>0</v>
      </c>
      <c r="FG12" s="493">
        <v>0</v>
      </c>
      <c r="FH12" s="493">
        <v>0</v>
      </c>
      <c r="FI12" s="493">
        <v>0</v>
      </c>
      <c r="FJ12" s="45">
        <v>0</v>
      </c>
    </row>
    <row r="13" spans="1:166">
      <c r="A13" s="501" t="s">
        <v>1058</v>
      </c>
      <c r="B13" s="491" t="s">
        <v>1185</v>
      </c>
      <c r="C13" s="498" t="s">
        <v>1183</v>
      </c>
      <c r="D13" s="498" t="s">
        <v>14</v>
      </c>
      <c r="E13" s="498" t="s">
        <v>975</v>
      </c>
      <c r="F13" s="491" t="s">
        <v>1454</v>
      </c>
      <c r="G13" s="491" t="s">
        <v>1459</v>
      </c>
      <c r="H13" s="499">
        <v>0</v>
      </c>
      <c r="I13" s="491">
        <v>0</v>
      </c>
      <c r="J13" s="491" t="s">
        <v>539</v>
      </c>
      <c r="K13" s="491">
        <v>0</v>
      </c>
      <c r="L13" s="491" t="s">
        <v>590</v>
      </c>
      <c r="M13" s="498">
        <v>1</v>
      </c>
      <c r="N13" s="491">
        <v>0</v>
      </c>
      <c r="O13" s="498">
        <v>16000000</v>
      </c>
      <c r="P13" s="495">
        <f t="shared" si="5"/>
        <v>16000000</v>
      </c>
      <c r="Q13" s="493">
        <v>0</v>
      </c>
      <c r="R13" s="493">
        <v>0</v>
      </c>
      <c r="S13" s="491">
        <v>0</v>
      </c>
      <c r="T13" s="497">
        <v>1</v>
      </c>
      <c r="U13" s="491">
        <v>0</v>
      </c>
      <c r="V13" s="493">
        <v>0</v>
      </c>
      <c r="W13" s="493">
        <v>0</v>
      </c>
      <c r="X13" s="493">
        <v>0</v>
      </c>
      <c r="Y13" s="493">
        <v>0</v>
      </c>
      <c r="Z13" s="493">
        <v>0</v>
      </c>
      <c r="AA13" s="493">
        <v>0</v>
      </c>
      <c r="AB13" s="493">
        <v>0</v>
      </c>
      <c r="AC13" s="493">
        <v>0</v>
      </c>
      <c r="AD13" s="493">
        <v>0</v>
      </c>
      <c r="AE13" s="493">
        <v>0</v>
      </c>
      <c r="AF13" s="493">
        <v>0</v>
      </c>
      <c r="AG13" s="493">
        <v>0</v>
      </c>
      <c r="AH13" s="493">
        <v>0</v>
      </c>
      <c r="AI13" s="493">
        <v>0</v>
      </c>
      <c r="AJ13" s="493">
        <v>0</v>
      </c>
      <c r="AK13" s="493">
        <v>0</v>
      </c>
      <c r="AL13" s="493">
        <v>0</v>
      </c>
      <c r="AM13" s="493">
        <v>0</v>
      </c>
      <c r="AN13" s="493">
        <v>0</v>
      </c>
      <c r="AO13" s="493">
        <v>0</v>
      </c>
      <c r="AP13" s="493">
        <v>0</v>
      </c>
      <c r="AQ13" s="493">
        <v>0</v>
      </c>
      <c r="AR13" s="493">
        <v>0</v>
      </c>
      <c r="AS13" s="493">
        <v>0</v>
      </c>
      <c r="AT13" s="493">
        <v>0</v>
      </c>
      <c r="AU13" s="493">
        <v>0</v>
      </c>
      <c r="AV13" s="493">
        <v>0</v>
      </c>
      <c r="AW13" s="493">
        <v>0</v>
      </c>
      <c r="AX13" s="493">
        <v>0</v>
      </c>
      <c r="AY13" s="493">
        <v>0</v>
      </c>
      <c r="AZ13" s="493">
        <v>0</v>
      </c>
      <c r="BA13" s="493">
        <v>0</v>
      </c>
      <c r="BB13" s="493">
        <v>0</v>
      </c>
      <c r="BC13" s="493">
        <v>0</v>
      </c>
      <c r="BD13" s="493">
        <v>0</v>
      </c>
      <c r="BE13" s="493">
        <v>0</v>
      </c>
      <c r="BF13" s="493">
        <v>0</v>
      </c>
      <c r="BG13" s="493">
        <v>0</v>
      </c>
      <c r="BH13" s="493">
        <v>0</v>
      </c>
      <c r="BI13" s="493">
        <v>0</v>
      </c>
      <c r="BJ13" s="493">
        <v>0</v>
      </c>
      <c r="BK13" s="493">
        <v>0</v>
      </c>
      <c r="BL13" s="493">
        <v>0</v>
      </c>
      <c r="BM13" s="493">
        <v>0</v>
      </c>
      <c r="BN13" s="493">
        <v>0</v>
      </c>
      <c r="BO13" s="493">
        <v>0</v>
      </c>
      <c r="BP13" s="493">
        <v>0</v>
      </c>
      <c r="BQ13" s="493">
        <v>0</v>
      </c>
      <c r="BR13" s="493">
        <v>0</v>
      </c>
      <c r="BS13" s="493">
        <v>0</v>
      </c>
      <c r="BT13" s="493">
        <v>0</v>
      </c>
      <c r="BU13" s="493">
        <v>0</v>
      </c>
      <c r="BV13" s="493">
        <v>0</v>
      </c>
      <c r="BW13" s="493">
        <v>0</v>
      </c>
      <c r="BX13" s="493">
        <v>0</v>
      </c>
      <c r="BY13" s="493">
        <v>0</v>
      </c>
      <c r="BZ13" s="493">
        <v>0</v>
      </c>
      <c r="CA13" s="493">
        <v>0</v>
      </c>
      <c r="CB13" s="493">
        <v>0</v>
      </c>
      <c r="CC13" s="493">
        <v>0</v>
      </c>
      <c r="CD13" s="493">
        <v>0</v>
      </c>
      <c r="CE13" s="493">
        <v>0</v>
      </c>
      <c r="CF13" s="493">
        <v>0</v>
      </c>
      <c r="CG13" s="493">
        <v>0</v>
      </c>
      <c r="CH13" s="493">
        <v>0</v>
      </c>
      <c r="CI13" s="493">
        <v>0</v>
      </c>
      <c r="CJ13" s="493">
        <v>0</v>
      </c>
      <c r="CK13" s="493">
        <v>0</v>
      </c>
      <c r="CL13" s="493">
        <v>0</v>
      </c>
      <c r="CM13" s="493">
        <v>0</v>
      </c>
      <c r="CN13" s="493">
        <v>0</v>
      </c>
      <c r="CO13" s="493">
        <v>0</v>
      </c>
      <c r="CP13" s="493">
        <v>0</v>
      </c>
      <c r="CQ13" s="493">
        <v>0</v>
      </c>
      <c r="CR13" s="493">
        <v>0</v>
      </c>
      <c r="CS13" s="493">
        <v>0</v>
      </c>
      <c r="CT13" s="493">
        <v>0</v>
      </c>
      <c r="CU13" s="493">
        <v>0</v>
      </c>
      <c r="CV13" s="493">
        <v>0</v>
      </c>
      <c r="CW13" s="493">
        <v>0</v>
      </c>
      <c r="CX13" s="493">
        <v>0</v>
      </c>
      <c r="CY13" s="493">
        <v>0</v>
      </c>
      <c r="CZ13" s="493">
        <v>0</v>
      </c>
      <c r="DA13" s="493">
        <v>0</v>
      </c>
      <c r="DB13" s="493">
        <v>0</v>
      </c>
      <c r="DC13" s="493">
        <v>0</v>
      </c>
      <c r="DD13" s="493">
        <v>0</v>
      </c>
      <c r="DE13" s="493">
        <v>0</v>
      </c>
      <c r="DF13" s="493">
        <v>0</v>
      </c>
      <c r="DG13" s="493">
        <v>0</v>
      </c>
      <c r="DH13" s="493">
        <v>0</v>
      </c>
      <c r="DI13" s="493">
        <v>0</v>
      </c>
      <c r="DJ13" s="493">
        <v>0</v>
      </c>
      <c r="DK13" s="493">
        <v>0</v>
      </c>
      <c r="DL13" s="493">
        <v>0</v>
      </c>
      <c r="DM13" s="493">
        <v>0</v>
      </c>
      <c r="DN13" s="493">
        <v>0</v>
      </c>
      <c r="DO13" s="493">
        <v>0</v>
      </c>
      <c r="DP13" s="493">
        <v>0</v>
      </c>
      <c r="DQ13" s="493">
        <v>0</v>
      </c>
      <c r="DR13" s="493">
        <v>0</v>
      </c>
      <c r="DS13" s="493">
        <v>0</v>
      </c>
      <c r="DT13" s="493">
        <v>0</v>
      </c>
      <c r="DU13" s="493">
        <v>0</v>
      </c>
      <c r="DV13" s="493">
        <v>0</v>
      </c>
      <c r="DW13" s="493">
        <v>0</v>
      </c>
      <c r="DX13" s="493">
        <v>0</v>
      </c>
      <c r="DY13" s="493">
        <v>0</v>
      </c>
      <c r="DZ13" s="493">
        <v>0</v>
      </c>
      <c r="EA13" s="493">
        <v>0</v>
      </c>
      <c r="EB13" s="493">
        <v>0</v>
      </c>
      <c r="EC13" s="493">
        <v>0</v>
      </c>
      <c r="ED13" s="493">
        <v>0</v>
      </c>
      <c r="EE13" s="493">
        <v>0</v>
      </c>
      <c r="EF13" s="493">
        <v>0</v>
      </c>
      <c r="EG13" s="493">
        <v>0</v>
      </c>
      <c r="EH13" s="493">
        <v>0</v>
      </c>
      <c r="EI13" s="493">
        <v>0</v>
      </c>
      <c r="EJ13" s="493">
        <v>0</v>
      </c>
      <c r="EK13" s="493">
        <v>0</v>
      </c>
      <c r="EL13" s="493">
        <v>0</v>
      </c>
      <c r="EM13" s="493">
        <v>0</v>
      </c>
      <c r="EN13" s="493">
        <v>0</v>
      </c>
      <c r="EO13" s="493">
        <v>0</v>
      </c>
      <c r="EP13" s="493">
        <v>0</v>
      </c>
      <c r="EQ13" s="493">
        <v>0</v>
      </c>
      <c r="ER13" s="493">
        <v>0</v>
      </c>
      <c r="ES13" s="493">
        <v>0</v>
      </c>
      <c r="ET13" s="493">
        <v>0</v>
      </c>
      <c r="EU13" s="493">
        <v>0</v>
      </c>
      <c r="EV13" s="493">
        <v>0</v>
      </c>
      <c r="EW13" s="493">
        <v>0</v>
      </c>
      <c r="EX13" s="493">
        <v>0</v>
      </c>
      <c r="EY13" s="493">
        <v>0</v>
      </c>
      <c r="EZ13" s="493">
        <v>0</v>
      </c>
      <c r="FA13" s="493">
        <v>0</v>
      </c>
      <c r="FB13" s="493">
        <v>0</v>
      </c>
      <c r="FC13" s="493">
        <v>0</v>
      </c>
      <c r="FD13" s="493">
        <v>0</v>
      </c>
      <c r="FE13" s="493">
        <v>0</v>
      </c>
      <c r="FF13" s="493">
        <v>0</v>
      </c>
      <c r="FG13" s="493">
        <v>0</v>
      </c>
      <c r="FH13" s="493">
        <v>0</v>
      </c>
      <c r="FI13" s="493">
        <v>0</v>
      </c>
      <c r="FJ13" s="45">
        <v>0</v>
      </c>
    </row>
    <row r="14" spans="1:166">
      <c r="A14" s="501" t="s">
        <v>1059</v>
      </c>
      <c r="B14" s="491" t="s">
        <v>1185</v>
      </c>
      <c r="C14" s="498" t="s">
        <v>1183</v>
      </c>
      <c r="D14" s="498" t="s">
        <v>14</v>
      </c>
      <c r="E14" s="498" t="s">
        <v>975</v>
      </c>
      <c r="F14" s="491" t="s">
        <v>1454</v>
      </c>
      <c r="G14" s="491" t="s">
        <v>1460</v>
      </c>
      <c r="H14" s="499">
        <v>0</v>
      </c>
      <c r="I14" s="491">
        <v>0</v>
      </c>
      <c r="J14" s="491" t="s">
        <v>539</v>
      </c>
      <c r="K14" s="491">
        <v>0</v>
      </c>
      <c r="L14" s="491" t="s">
        <v>590</v>
      </c>
      <c r="M14" s="491">
        <v>1</v>
      </c>
      <c r="N14" s="491">
        <v>0</v>
      </c>
      <c r="O14" s="498">
        <v>2000000</v>
      </c>
      <c r="P14" s="495">
        <f t="shared" si="5"/>
        <v>2000000</v>
      </c>
      <c r="Q14" s="493">
        <v>0</v>
      </c>
      <c r="R14" s="493">
        <v>0</v>
      </c>
      <c r="S14" s="491">
        <v>0</v>
      </c>
      <c r="T14" s="497">
        <v>1</v>
      </c>
      <c r="U14" s="491">
        <v>0</v>
      </c>
      <c r="V14" s="493">
        <v>0</v>
      </c>
      <c r="W14" s="493">
        <v>0</v>
      </c>
      <c r="X14" s="493">
        <v>0</v>
      </c>
      <c r="Y14" s="493">
        <v>0</v>
      </c>
      <c r="Z14" s="493">
        <v>0</v>
      </c>
      <c r="AA14" s="493">
        <v>0</v>
      </c>
      <c r="AB14" s="493">
        <v>0</v>
      </c>
      <c r="AC14" s="493">
        <v>0</v>
      </c>
      <c r="AD14" s="493">
        <v>0</v>
      </c>
      <c r="AE14" s="493">
        <v>0</v>
      </c>
      <c r="AF14" s="493">
        <v>0</v>
      </c>
      <c r="AG14" s="493">
        <v>0</v>
      </c>
      <c r="AH14" s="493">
        <v>0</v>
      </c>
      <c r="AI14" s="493">
        <v>0</v>
      </c>
      <c r="AJ14" s="493">
        <v>0</v>
      </c>
      <c r="AK14" s="493">
        <v>0</v>
      </c>
      <c r="AL14" s="493">
        <v>0</v>
      </c>
      <c r="AM14" s="493">
        <v>0</v>
      </c>
      <c r="AN14" s="493">
        <v>0</v>
      </c>
      <c r="AO14" s="493">
        <v>0</v>
      </c>
      <c r="AP14" s="493">
        <v>0</v>
      </c>
      <c r="AQ14" s="493">
        <v>0</v>
      </c>
      <c r="AR14" s="493">
        <v>0</v>
      </c>
      <c r="AS14" s="493">
        <v>0</v>
      </c>
      <c r="AT14" s="493">
        <v>0</v>
      </c>
      <c r="AU14" s="493">
        <v>0</v>
      </c>
      <c r="AV14" s="493">
        <v>0</v>
      </c>
      <c r="AW14" s="493">
        <v>0</v>
      </c>
      <c r="AX14" s="493">
        <v>0</v>
      </c>
      <c r="AY14" s="493">
        <v>0</v>
      </c>
      <c r="AZ14" s="493">
        <v>0</v>
      </c>
      <c r="BA14" s="493">
        <v>0</v>
      </c>
      <c r="BB14" s="493">
        <v>0</v>
      </c>
      <c r="BC14" s="493">
        <v>0</v>
      </c>
      <c r="BD14" s="493">
        <v>0</v>
      </c>
      <c r="BE14" s="493">
        <v>0</v>
      </c>
      <c r="BF14" s="493">
        <v>0</v>
      </c>
      <c r="BG14" s="493">
        <v>0</v>
      </c>
      <c r="BH14" s="493">
        <v>0</v>
      </c>
      <c r="BI14" s="493">
        <v>0</v>
      </c>
      <c r="BJ14" s="493">
        <v>0</v>
      </c>
      <c r="BK14" s="493">
        <v>0</v>
      </c>
      <c r="BL14" s="493">
        <v>0</v>
      </c>
      <c r="BM14" s="493">
        <v>0</v>
      </c>
      <c r="BN14" s="493">
        <v>0</v>
      </c>
      <c r="BO14" s="493">
        <v>0</v>
      </c>
      <c r="BP14" s="493">
        <v>0</v>
      </c>
      <c r="BQ14" s="493">
        <v>0</v>
      </c>
      <c r="BR14" s="493">
        <v>0</v>
      </c>
      <c r="BS14" s="493">
        <v>0</v>
      </c>
      <c r="BT14" s="493">
        <v>0</v>
      </c>
      <c r="BU14" s="493">
        <v>0</v>
      </c>
      <c r="BV14" s="493">
        <v>0</v>
      </c>
      <c r="BW14" s="493">
        <v>0</v>
      </c>
      <c r="BX14" s="493">
        <v>0</v>
      </c>
      <c r="BY14" s="493">
        <v>0</v>
      </c>
      <c r="BZ14" s="493">
        <v>0</v>
      </c>
      <c r="CA14" s="493">
        <v>0</v>
      </c>
      <c r="CB14" s="493">
        <v>0</v>
      </c>
      <c r="CC14" s="493">
        <v>0</v>
      </c>
      <c r="CD14" s="493">
        <v>0</v>
      </c>
      <c r="CE14" s="493">
        <v>0</v>
      </c>
      <c r="CF14" s="493">
        <v>0</v>
      </c>
      <c r="CG14" s="493">
        <v>0</v>
      </c>
      <c r="CH14" s="493">
        <v>0</v>
      </c>
      <c r="CI14" s="493">
        <v>0</v>
      </c>
      <c r="CJ14" s="493">
        <v>0</v>
      </c>
      <c r="CK14" s="493">
        <v>0</v>
      </c>
      <c r="CL14" s="493">
        <v>0</v>
      </c>
      <c r="CM14" s="493">
        <v>0</v>
      </c>
      <c r="CN14" s="493">
        <v>0</v>
      </c>
      <c r="CO14" s="493">
        <v>0</v>
      </c>
      <c r="CP14" s="493">
        <v>0</v>
      </c>
      <c r="CQ14" s="493">
        <v>0</v>
      </c>
      <c r="CR14" s="493">
        <v>0</v>
      </c>
      <c r="CS14" s="493">
        <v>0</v>
      </c>
      <c r="CT14" s="493">
        <v>0</v>
      </c>
      <c r="CU14" s="493">
        <v>0</v>
      </c>
      <c r="CV14" s="493">
        <v>0</v>
      </c>
      <c r="CW14" s="493">
        <v>0</v>
      </c>
      <c r="CX14" s="493">
        <v>0</v>
      </c>
      <c r="CY14" s="493">
        <v>0</v>
      </c>
      <c r="CZ14" s="493">
        <v>0</v>
      </c>
      <c r="DA14" s="493">
        <v>0</v>
      </c>
      <c r="DB14" s="493">
        <v>0</v>
      </c>
      <c r="DC14" s="493">
        <v>0</v>
      </c>
      <c r="DD14" s="493">
        <v>0</v>
      </c>
      <c r="DE14" s="493">
        <v>0</v>
      </c>
      <c r="DF14" s="493">
        <v>0</v>
      </c>
      <c r="DG14" s="493">
        <v>0</v>
      </c>
      <c r="DH14" s="493">
        <v>0</v>
      </c>
      <c r="DI14" s="493">
        <v>0</v>
      </c>
      <c r="DJ14" s="493">
        <v>0</v>
      </c>
      <c r="DK14" s="493">
        <v>0</v>
      </c>
      <c r="DL14" s="493">
        <v>0</v>
      </c>
      <c r="DM14" s="493">
        <v>0</v>
      </c>
      <c r="DN14" s="493">
        <v>0</v>
      </c>
      <c r="DO14" s="493">
        <v>0</v>
      </c>
      <c r="DP14" s="493">
        <v>0</v>
      </c>
      <c r="DQ14" s="493">
        <v>0</v>
      </c>
      <c r="DR14" s="493">
        <v>0</v>
      </c>
      <c r="DS14" s="493">
        <v>0</v>
      </c>
      <c r="DT14" s="493">
        <v>0</v>
      </c>
      <c r="DU14" s="493">
        <v>0</v>
      </c>
      <c r="DV14" s="493">
        <v>0</v>
      </c>
      <c r="DW14" s="493">
        <v>0</v>
      </c>
      <c r="DX14" s="493">
        <v>0</v>
      </c>
      <c r="DY14" s="493">
        <v>0</v>
      </c>
      <c r="DZ14" s="493">
        <v>0</v>
      </c>
      <c r="EA14" s="493">
        <v>0</v>
      </c>
      <c r="EB14" s="493">
        <v>0</v>
      </c>
      <c r="EC14" s="493">
        <v>0</v>
      </c>
      <c r="ED14" s="493">
        <v>0</v>
      </c>
      <c r="EE14" s="493">
        <v>0</v>
      </c>
      <c r="EF14" s="493">
        <v>0</v>
      </c>
      <c r="EG14" s="493">
        <v>0</v>
      </c>
      <c r="EH14" s="493">
        <v>0</v>
      </c>
      <c r="EI14" s="493">
        <v>0</v>
      </c>
      <c r="EJ14" s="493">
        <v>0</v>
      </c>
      <c r="EK14" s="493">
        <v>0</v>
      </c>
      <c r="EL14" s="493">
        <v>0</v>
      </c>
      <c r="EM14" s="493">
        <v>0</v>
      </c>
      <c r="EN14" s="493">
        <v>0</v>
      </c>
      <c r="EO14" s="493">
        <v>0</v>
      </c>
      <c r="EP14" s="493">
        <v>0</v>
      </c>
      <c r="EQ14" s="493">
        <v>0</v>
      </c>
      <c r="ER14" s="493">
        <v>0</v>
      </c>
      <c r="ES14" s="493">
        <v>0</v>
      </c>
      <c r="ET14" s="493">
        <v>0</v>
      </c>
      <c r="EU14" s="493">
        <v>0</v>
      </c>
      <c r="EV14" s="493">
        <v>0</v>
      </c>
      <c r="EW14" s="493">
        <v>0</v>
      </c>
      <c r="EX14" s="493">
        <v>0</v>
      </c>
      <c r="EY14" s="493">
        <v>0</v>
      </c>
      <c r="EZ14" s="493">
        <v>0</v>
      </c>
      <c r="FA14" s="493">
        <v>0</v>
      </c>
      <c r="FB14" s="493">
        <v>0</v>
      </c>
      <c r="FC14" s="493">
        <v>0</v>
      </c>
      <c r="FD14" s="493">
        <v>0</v>
      </c>
      <c r="FE14" s="493">
        <v>0</v>
      </c>
      <c r="FF14" s="493">
        <v>0</v>
      </c>
      <c r="FG14" s="493">
        <v>0</v>
      </c>
      <c r="FH14" s="493">
        <v>0</v>
      </c>
      <c r="FI14" s="493">
        <v>0</v>
      </c>
      <c r="FJ14" s="45">
        <v>0</v>
      </c>
    </row>
    <row r="15" spans="1:166">
      <c r="A15" s="501" t="s">
        <v>1060</v>
      </c>
      <c r="B15" s="491" t="s">
        <v>1185</v>
      </c>
      <c r="C15" s="498" t="s">
        <v>1183</v>
      </c>
      <c r="D15" s="498" t="s">
        <v>976</v>
      </c>
      <c r="E15" s="498" t="s">
        <v>975</v>
      </c>
      <c r="F15" s="491" t="s">
        <v>1189</v>
      </c>
      <c r="G15" s="491" t="s">
        <v>1461</v>
      </c>
      <c r="H15" s="499">
        <v>0</v>
      </c>
      <c r="I15" s="491">
        <v>0</v>
      </c>
      <c r="J15" s="491" t="s">
        <v>539</v>
      </c>
      <c r="K15" s="491">
        <v>0</v>
      </c>
      <c r="L15" s="491" t="s">
        <v>852</v>
      </c>
      <c r="M15" s="491">
        <v>101</v>
      </c>
      <c r="N15" s="491">
        <v>0</v>
      </c>
      <c r="O15" s="498">
        <v>0</v>
      </c>
      <c r="P15" s="495">
        <v>0</v>
      </c>
      <c r="Q15" s="493">
        <v>19</v>
      </c>
      <c r="R15" s="493">
        <v>101</v>
      </c>
      <c r="S15" s="491">
        <v>0.11881188118811881</v>
      </c>
      <c r="T15" s="497">
        <v>1</v>
      </c>
      <c r="U15" s="491">
        <v>0</v>
      </c>
      <c r="V15" s="493">
        <v>2360000</v>
      </c>
      <c r="W15" s="493">
        <v>238360000</v>
      </c>
      <c r="X15" s="493">
        <v>0</v>
      </c>
      <c r="Y15" s="493">
        <v>11800000</v>
      </c>
      <c r="Z15" s="493">
        <v>28320000</v>
      </c>
      <c r="AA15" s="493">
        <v>28320000</v>
      </c>
      <c r="AB15" s="493">
        <v>28320000</v>
      </c>
      <c r="AC15" s="493">
        <v>28320000</v>
      </c>
      <c r="AD15" s="493">
        <v>28320000</v>
      </c>
      <c r="AE15" s="493">
        <v>28320000</v>
      </c>
      <c r="AF15" s="493">
        <v>28320000</v>
      </c>
      <c r="AG15" s="493">
        <v>28320000</v>
      </c>
      <c r="AH15" s="493">
        <v>0</v>
      </c>
      <c r="AI15" s="500">
        <v>0</v>
      </c>
      <c r="AJ15" s="500">
        <v>0</v>
      </c>
      <c r="AK15" s="500">
        <v>0</v>
      </c>
      <c r="AL15" s="500">
        <v>0</v>
      </c>
      <c r="AM15" s="500">
        <v>0</v>
      </c>
      <c r="AN15" s="500">
        <v>0</v>
      </c>
      <c r="AO15" s="500">
        <v>0</v>
      </c>
      <c r="AP15" s="500">
        <v>0</v>
      </c>
      <c r="AQ15" s="500">
        <v>0</v>
      </c>
      <c r="AR15" s="500">
        <v>0</v>
      </c>
      <c r="AS15" s="500">
        <v>0</v>
      </c>
      <c r="AT15" s="500">
        <v>0</v>
      </c>
      <c r="AU15" s="500">
        <v>0</v>
      </c>
      <c r="AV15" s="500">
        <v>0</v>
      </c>
      <c r="AW15" s="500">
        <v>0</v>
      </c>
      <c r="AX15" s="500">
        <v>0</v>
      </c>
      <c r="AY15" s="500">
        <v>0</v>
      </c>
      <c r="AZ15" s="500">
        <v>0</v>
      </c>
      <c r="BA15" s="500">
        <v>0</v>
      </c>
      <c r="BB15" s="493">
        <v>2360000</v>
      </c>
      <c r="BC15" s="493">
        <v>2360000</v>
      </c>
      <c r="BD15" s="493">
        <v>2360000</v>
      </c>
      <c r="BE15" s="493">
        <v>2360000</v>
      </c>
      <c r="BF15" s="493">
        <v>2360000</v>
      </c>
      <c r="BG15" s="493">
        <v>2360000</v>
      </c>
      <c r="BH15" s="493">
        <v>2360000</v>
      </c>
      <c r="BI15" s="493">
        <v>2360000</v>
      </c>
      <c r="BJ15" s="493">
        <v>2360000</v>
      </c>
      <c r="BK15" s="493">
        <v>2360000</v>
      </c>
      <c r="BL15" s="493">
        <v>2360000</v>
      </c>
      <c r="BM15" s="493">
        <v>2360000</v>
      </c>
      <c r="BN15" s="493">
        <v>2360000</v>
      </c>
      <c r="BO15" s="493">
        <v>2360000</v>
      </c>
      <c r="BP15" s="493">
        <v>2360000</v>
      </c>
      <c r="BQ15" s="493">
        <v>2360000</v>
      </c>
      <c r="BR15" s="493">
        <v>2360000</v>
      </c>
      <c r="BS15" s="493">
        <v>2360000</v>
      </c>
      <c r="BT15" s="493">
        <v>2360000</v>
      </c>
      <c r="BU15" s="493">
        <v>2360000</v>
      </c>
      <c r="BV15" s="493">
        <v>2360000</v>
      </c>
      <c r="BW15" s="493">
        <v>2360000</v>
      </c>
      <c r="BX15" s="493">
        <v>2360000</v>
      </c>
      <c r="BY15" s="493">
        <v>2360000</v>
      </c>
      <c r="BZ15" s="493">
        <v>2360000</v>
      </c>
      <c r="CA15" s="493">
        <v>2360000</v>
      </c>
      <c r="CB15" s="493">
        <v>2360000</v>
      </c>
      <c r="CC15" s="493">
        <v>2360000</v>
      </c>
      <c r="CD15" s="493">
        <v>2360000</v>
      </c>
      <c r="CE15" s="493">
        <v>2360000</v>
      </c>
      <c r="CF15" s="493">
        <v>2360000</v>
      </c>
      <c r="CG15" s="493">
        <v>2360000</v>
      </c>
      <c r="CH15" s="493">
        <v>2360000</v>
      </c>
      <c r="CI15" s="493">
        <v>2360000</v>
      </c>
      <c r="CJ15" s="493">
        <v>2360000</v>
      </c>
      <c r="CK15" s="493">
        <v>2360000</v>
      </c>
      <c r="CL15" s="493">
        <v>2360000</v>
      </c>
      <c r="CM15" s="493">
        <v>2360000</v>
      </c>
      <c r="CN15" s="493">
        <v>2360000</v>
      </c>
      <c r="CO15" s="493">
        <v>2360000</v>
      </c>
      <c r="CP15" s="493">
        <v>2360000</v>
      </c>
      <c r="CQ15" s="493">
        <v>2360000</v>
      </c>
      <c r="CR15" s="493">
        <v>2360000</v>
      </c>
      <c r="CS15" s="493">
        <v>2360000</v>
      </c>
      <c r="CT15" s="493">
        <v>2360000</v>
      </c>
      <c r="CU15" s="493">
        <v>2360000</v>
      </c>
      <c r="CV15" s="493">
        <v>2360000</v>
      </c>
      <c r="CW15" s="493">
        <v>2360000</v>
      </c>
      <c r="CX15" s="493">
        <v>2360000</v>
      </c>
      <c r="CY15" s="493">
        <v>2360000</v>
      </c>
      <c r="CZ15" s="493">
        <v>2360000</v>
      </c>
      <c r="DA15" s="493">
        <v>2360000</v>
      </c>
      <c r="DB15" s="493">
        <v>2360000</v>
      </c>
      <c r="DC15" s="493">
        <v>2360000</v>
      </c>
      <c r="DD15" s="493">
        <v>2360000</v>
      </c>
      <c r="DE15" s="493">
        <v>2360000</v>
      </c>
      <c r="DF15" s="493">
        <v>2360000</v>
      </c>
      <c r="DG15" s="493">
        <v>2360000</v>
      </c>
      <c r="DH15" s="493">
        <v>2360000</v>
      </c>
      <c r="DI15" s="493">
        <v>2360000</v>
      </c>
      <c r="DJ15" s="493">
        <v>2360000</v>
      </c>
      <c r="DK15" s="493">
        <v>2360000</v>
      </c>
      <c r="DL15" s="493">
        <v>2360000</v>
      </c>
      <c r="DM15" s="493">
        <v>2360000</v>
      </c>
      <c r="DN15" s="493">
        <v>2360000</v>
      </c>
      <c r="DO15" s="493">
        <v>2360000</v>
      </c>
      <c r="DP15" s="493">
        <v>2360000</v>
      </c>
      <c r="DQ15" s="493">
        <v>2360000</v>
      </c>
      <c r="DR15" s="493">
        <v>2360000</v>
      </c>
      <c r="DS15" s="493">
        <v>2360000</v>
      </c>
      <c r="DT15" s="493">
        <v>2360000</v>
      </c>
      <c r="DU15" s="493">
        <v>2360000</v>
      </c>
      <c r="DV15" s="493">
        <v>2360000</v>
      </c>
      <c r="DW15" s="493">
        <v>2360000</v>
      </c>
      <c r="DX15" s="493">
        <v>2360000</v>
      </c>
      <c r="DY15" s="493">
        <v>2360000</v>
      </c>
      <c r="DZ15" s="493">
        <v>2360000</v>
      </c>
      <c r="EA15" s="493">
        <v>2360000</v>
      </c>
      <c r="EB15" s="493">
        <v>2360000</v>
      </c>
      <c r="EC15" s="493">
        <v>2360000</v>
      </c>
      <c r="ED15" s="493">
        <v>2360000</v>
      </c>
      <c r="EE15" s="493">
        <v>2360000</v>
      </c>
      <c r="EF15" s="493">
        <v>2360000</v>
      </c>
      <c r="EG15" s="493">
        <v>2360000</v>
      </c>
      <c r="EH15" s="493">
        <v>2360000</v>
      </c>
      <c r="EI15" s="493">
        <v>2360000</v>
      </c>
      <c r="EJ15" s="493">
        <v>2360000</v>
      </c>
      <c r="EK15" s="493">
        <v>2360000</v>
      </c>
      <c r="EL15" s="493">
        <v>2360000</v>
      </c>
      <c r="EM15" s="493">
        <v>2360000</v>
      </c>
      <c r="EN15" s="493">
        <v>2360000</v>
      </c>
      <c r="EO15" s="493">
        <v>2360000</v>
      </c>
      <c r="EP15" s="493">
        <v>2360000</v>
      </c>
      <c r="EQ15" s="493">
        <v>2360000</v>
      </c>
      <c r="ER15" s="493">
        <v>2360000</v>
      </c>
      <c r="ES15" s="493">
        <v>2360000</v>
      </c>
      <c r="ET15" s="493">
        <v>2360000</v>
      </c>
      <c r="EU15" s="493">
        <v>2360000</v>
      </c>
      <c r="EV15" s="493">
        <v>2360000</v>
      </c>
      <c r="EW15" s="493">
        <v>2360000</v>
      </c>
      <c r="EX15" s="493">
        <v>2360000</v>
      </c>
      <c r="EY15" s="493">
        <v>0</v>
      </c>
      <c r="EZ15" s="493">
        <v>0</v>
      </c>
      <c r="FA15" s="493">
        <v>0</v>
      </c>
      <c r="FB15" s="493">
        <v>0</v>
      </c>
      <c r="FC15" s="493">
        <v>0</v>
      </c>
      <c r="FD15" s="493">
        <v>0</v>
      </c>
      <c r="FE15" s="493">
        <v>0</v>
      </c>
      <c r="FF15" s="493">
        <v>0</v>
      </c>
      <c r="FG15" s="493">
        <v>0</v>
      </c>
      <c r="FH15" s="493">
        <v>0</v>
      </c>
      <c r="FI15" s="493">
        <v>0</v>
      </c>
      <c r="FJ15" s="45">
        <v>0</v>
      </c>
    </row>
    <row r="16" spans="1:166">
      <c r="A16" s="501" t="s">
        <v>1061</v>
      </c>
      <c r="B16" s="491" t="s">
        <v>1185</v>
      </c>
      <c r="C16" s="498" t="s">
        <v>1183</v>
      </c>
      <c r="D16" s="498" t="s">
        <v>14</v>
      </c>
      <c r="E16" s="498" t="s">
        <v>532</v>
      </c>
      <c r="F16" s="491" t="s">
        <v>245</v>
      </c>
      <c r="G16" s="491" t="s">
        <v>1177</v>
      </c>
      <c r="H16" s="491" t="s">
        <v>260</v>
      </c>
      <c r="I16" s="491">
        <v>0</v>
      </c>
      <c r="J16" s="491" t="s">
        <v>539</v>
      </c>
      <c r="K16" s="491">
        <v>0</v>
      </c>
      <c r="L16" s="491" t="s">
        <v>980</v>
      </c>
      <c r="M16" s="491">
        <v>4</v>
      </c>
      <c r="N16" s="491">
        <v>0</v>
      </c>
      <c r="O16" s="498">
        <v>10000000</v>
      </c>
      <c r="P16" s="495">
        <f t="shared" si="5"/>
        <v>40000000</v>
      </c>
      <c r="Q16" s="493">
        <v>0</v>
      </c>
      <c r="R16" s="493">
        <v>0</v>
      </c>
      <c r="S16" s="491">
        <v>0</v>
      </c>
      <c r="T16" s="497">
        <v>1</v>
      </c>
      <c r="U16" s="491">
        <v>0</v>
      </c>
      <c r="V16" s="493">
        <v>0</v>
      </c>
      <c r="W16" s="493">
        <v>0</v>
      </c>
      <c r="X16" s="493">
        <v>0</v>
      </c>
      <c r="Y16" s="493">
        <v>0</v>
      </c>
      <c r="Z16" s="493">
        <v>0</v>
      </c>
      <c r="AA16" s="493">
        <v>0</v>
      </c>
      <c r="AB16" s="493">
        <v>0</v>
      </c>
      <c r="AC16" s="493">
        <v>0</v>
      </c>
      <c r="AD16" s="493">
        <v>0</v>
      </c>
      <c r="AE16" s="493">
        <v>0</v>
      </c>
      <c r="AF16" s="493">
        <v>0</v>
      </c>
      <c r="AG16" s="493">
        <v>0</v>
      </c>
      <c r="AH16" s="493">
        <v>0</v>
      </c>
      <c r="AI16" s="493">
        <v>0</v>
      </c>
      <c r="AJ16" s="493">
        <v>0</v>
      </c>
      <c r="AK16" s="493">
        <v>0</v>
      </c>
      <c r="AL16" s="493">
        <v>0</v>
      </c>
      <c r="AM16" s="493">
        <v>0</v>
      </c>
      <c r="AN16" s="493">
        <v>0</v>
      </c>
      <c r="AO16" s="493">
        <v>0</v>
      </c>
      <c r="AP16" s="493">
        <v>0</v>
      </c>
      <c r="AQ16" s="493">
        <v>0</v>
      </c>
      <c r="AR16" s="493">
        <v>0</v>
      </c>
      <c r="AS16" s="493">
        <v>0</v>
      </c>
      <c r="AT16" s="493">
        <v>0</v>
      </c>
      <c r="AU16" s="493">
        <v>0</v>
      </c>
      <c r="AV16" s="493">
        <v>0</v>
      </c>
      <c r="AW16" s="493">
        <v>0</v>
      </c>
      <c r="AX16" s="493">
        <v>0</v>
      </c>
      <c r="AY16" s="493">
        <v>0</v>
      </c>
      <c r="AZ16" s="493">
        <v>0</v>
      </c>
      <c r="BA16" s="493">
        <v>0</v>
      </c>
      <c r="BB16" s="493">
        <v>0</v>
      </c>
      <c r="BC16" s="493">
        <v>0</v>
      </c>
      <c r="BD16" s="493">
        <v>0</v>
      </c>
      <c r="BE16" s="493">
        <v>0</v>
      </c>
      <c r="BF16" s="493">
        <v>0</v>
      </c>
      <c r="BG16" s="493">
        <v>0</v>
      </c>
      <c r="BH16" s="493">
        <v>0</v>
      </c>
      <c r="BI16" s="493">
        <v>0</v>
      </c>
      <c r="BJ16" s="493">
        <v>0</v>
      </c>
      <c r="BK16" s="493">
        <v>0</v>
      </c>
      <c r="BL16" s="493">
        <v>0</v>
      </c>
      <c r="BM16" s="493">
        <v>0</v>
      </c>
      <c r="BN16" s="493">
        <v>0</v>
      </c>
      <c r="BO16" s="493">
        <v>0</v>
      </c>
      <c r="BP16" s="493">
        <v>0</v>
      </c>
      <c r="BQ16" s="493">
        <v>0</v>
      </c>
      <c r="BR16" s="493">
        <v>0</v>
      </c>
      <c r="BS16" s="493">
        <v>0</v>
      </c>
      <c r="BT16" s="493">
        <v>0</v>
      </c>
      <c r="BU16" s="493">
        <v>0</v>
      </c>
      <c r="BV16" s="493">
        <v>0</v>
      </c>
      <c r="BW16" s="493">
        <v>0</v>
      </c>
      <c r="BX16" s="493">
        <v>0</v>
      </c>
      <c r="BY16" s="493">
        <v>0</v>
      </c>
      <c r="BZ16" s="493">
        <v>0</v>
      </c>
      <c r="CA16" s="493">
        <v>0</v>
      </c>
      <c r="CB16" s="493">
        <v>0</v>
      </c>
      <c r="CC16" s="493">
        <v>0</v>
      </c>
      <c r="CD16" s="493">
        <v>0</v>
      </c>
      <c r="CE16" s="493">
        <v>0</v>
      </c>
      <c r="CF16" s="493">
        <v>0</v>
      </c>
      <c r="CG16" s="493">
        <v>0</v>
      </c>
      <c r="CH16" s="493">
        <v>0</v>
      </c>
      <c r="CI16" s="493">
        <v>0</v>
      </c>
      <c r="CJ16" s="493">
        <v>0</v>
      </c>
      <c r="CK16" s="493">
        <v>0</v>
      </c>
      <c r="CL16" s="493">
        <v>0</v>
      </c>
      <c r="CM16" s="493">
        <v>0</v>
      </c>
      <c r="CN16" s="493">
        <v>0</v>
      </c>
      <c r="CO16" s="493">
        <v>0</v>
      </c>
      <c r="CP16" s="493">
        <v>0</v>
      </c>
      <c r="CQ16" s="493">
        <v>0</v>
      </c>
      <c r="CR16" s="493">
        <v>0</v>
      </c>
      <c r="CS16" s="493">
        <v>0</v>
      </c>
      <c r="CT16" s="493">
        <v>0</v>
      </c>
      <c r="CU16" s="493">
        <v>0</v>
      </c>
      <c r="CV16" s="493">
        <v>0</v>
      </c>
      <c r="CW16" s="493">
        <v>0</v>
      </c>
      <c r="CX16" s="493">
        <v>0</v>
      </c>
      <c r="CY16" s="493">
        <v>0</v>
      </c>
      <c r="CZ16" s="493">
        <v>0</v>
      </c>
      <c r="DA16" s="493">
        <v>0</v>
      </c>
      <c r="DB16" s="493">
        <v>0</v>
      </c>
      <c r="DC16" s="493">
        <v>0</v>
      </c>
      <c r="DD16" s="493">
        <v>0</v>
      </c>
      <c r="DE16" s="493">
        <v>0</v>
      </c>
      <c r="DF16" s="493">
        <v>0</v>
      </c>
      <c r="DG16" s="493">
        <v>0</v>
      </c>
      <c r="DH16" s="493">
        <v>0</v>
      </c>
      <c r="DI16" s="493">
        <v>0</v>
      </c>
      <c r="DJ16" s="493">
        <v>0</v>
      </c>
      <c r="DK16" s="493">
        <v>0</v>
      </c>
      <c r="DL16" s="493">
        <v>0</v>
      </c>
      <c r="DM16" s="493">
        <v>0</v>
      </c>
      <c r="DN16" s="493">
        <v>0</v>
      </c>
      <c r="DO16" s="493">
        <v>0</v>
      </c>
      <c r="DP16" s="493">
        <v>0</v>
      </c>
      <c r="DQ16" s="493">
        <v>0</v>
      </c>
      <c r="DR16" s="493">
        <v>0</v>
      </c>
      <c r="DS16" s="493">
        <v>0</v>
      </c>
      <c r="DT16" s="493">
        <v>0</v>
      </c>
      <c r="DU16" s="493">
        <v>0</v>
      </c>
      <c r="DV16" s="493">
        <v>0</v>
      </c>
      <c r="DW16" s="493">
        <v>0</v>
      </c>
      <c r="DX16" s="493">
        <v>0</v>
      </c>
      <c r="DY16" s="493">
        <v>0</v>
      </c>
      <c r="DZ16" s="493">
        <v>0</v>
      </c>
      <c r="EA16" s="493">
        <v>0</v>
      </c>
      <c r="EB16" s="493">
        <v>0</v>
      </c>
      <c r="EC16" s="493">
        <v>0</v>
      </c>
      <c r="ED16" s="493">
        <v>0</v>
      </c>
      <c r="EE16" s="493">
        <v>0</v>
      </c>
      <c r="EF16" s="493">
        <v>0</v>
      </c>
      <c r="EG16" s="493">
        <v>0</v>
      </c>
      <c r="EH16" s="493">
        <v>0</v>
      </c>
      <c r="EI16" s="493">
        <v>0</v>
      </c>
      <c r="EJ16" s="493">
        <v>0</v>
      </c>
      <c r="EK16" s="493">
        <v>0</v>
      </c>
      <c r="EL16" s="493">
        <v>0</v>
      </c>
      <c r="EM16" s="493">
        <v>0</v>
      </c>
      <c r="EN16" s="493">
        <v>0</v>
      </c>
      <c r="EO16" s="493">
        <v>0</v>
      </c>
      <c r="EP16" s="493">
        <v>0</v>
      </c>
      <c r="EQ16" s="493">
        <v>0</v>
      </c>
      <c r="ER16" s="493">
        <v>0</v>
      </c>
      <c r="ES16" s="493">
        <v>0</v>
      </c>
      <c r="ET16" s="493">
        <v>0</v>
      </c>
      <c r="EU16" s="493">
        <v>0</v>
      </c>
      <c r="EV16" s="493">
        <v>0</v>
      </c>
      <c r="EW16" s="493">
        <v>0</v>
      </c>
      <c r="EX16" s="493">
        <v>0</v>
      </c>
      <c r="EY16" s="493">
        <v>0</v>
      </c>
      <c r="EZ16" s="493">
        <v>0</v>
      </c>
      <c r="FA16" s="493">
        <v>0</v>
      </c>
      <c r="FB16" s="493">
        <v>0</v>
      </c>
      <c r="FC16" s="493">
        <v>0</v>
      </c>
      <c r="FD16" s="493">
        <v>0</v>
      </c>
      <c r="FE16" s="493">
        <v>0</v>
      </c>
      <c r="FF16" s="493">
        <v>0</v>
      </c>
      <c r="FG16" s="493">
        <v>0</v>
      </c>
      <c r="FH16" s="493">
        <v>0</v>
      </c>
      <c r="FI16" s="493">
        <v>0</v>
      </c>
      <c r="FJ16" s="45">
        <v>0</v>
      </c>
    </row>
    <row r="17" spans="1:166">
      <c r="A17" s="501" t="s">
        <v>1062</v>
      </c>
      <c r="B17" s="491" t="s">
        <v>1185</v>
      </c>
      <c r="C17" s="498" t="s">
        <v>1183</v>
      </c>
      <c r="D17" s="498" t="s">
        <v>14</v>
      </c>
      <c r="E17" s="498" t="s">
        <v>532</v>
      </c>
      <c r="F17" s="491" t="s">
        <v>245</v>
      </c>
      <c r="G17" s="491" t="s">
        <v>1178</v>
      </c>
      <c r="H17" s="499" t="s">
        <v>260</v>
      </c>
      <c r="I17" s="491">
        <v>0</v>
      </c>
      <c r="J17" s="491" t="s">
        <v>539</v>
      </c>
      <c r="K17" s="491">
        <v>0</v>
      </c>
      <c r="L17" s="491" t="s">
        <v>980</v>
      </c>
      <c r="M17" s="491">
        <v>4</v>
      </c>
      <c r="N17" s="491">
        <v>0</v>
      </c>
      <c r="O17" s="498">
        <v>10000000</v>
      </c>
      <c r="P17" s="495">
        <f t="shared" si="5"/>
        <v>40000000</v>
      </c>
      <c r="Q17" s="493">
        <v>0</v>
      </c>
      <c r="R17" s="493">
        <v>0</v>
      </c>
      <c r="S17" s="491">
        <v>0</v>
      </c>
      <c r="T17" s="497">
        <v>1</v>
      </c>
      <c r="U17" s="491">
        <v>0</v>
      </c>
      <c r="V17" s="493">
        <v>0</v>
      </c>
      <c r="W17" s="493">
        <v>0</v>
      </c>
      <c r="X17" s="493">
        <v>0</v>
      </c>
      <c r="Y17" s="493">
        <v>0</v>
      </c>
      <c r="Z17" s="493">
        <v>0</v>
      </c>
      <c r="AA17" s="493">
        <v>0</v>
      </c>
      <c r="AB17" s="493">
        <v>0</v>
      </c>
      <c r="AC17" s="493">
        <v>0</v>
      </c>
      <c r="AD17" s="493">
        <v>0</v>
      </c>
      <c r="AE17" s="493">
        <v>0</v>
      </c>
      <c r="AF17" s="493">
        <v>0</v>
      </c>
      <c r="AG17" s="493">
        <v>0</v>
      </c>
      <c r="AH17" s="493">
        <v>0</v>
      </c>
      <c r="AI17" s="493">
        <v>0</v>
      </c>
      <c r="AJ17" s="493">
        <v>0</v>
      </c>
      <c r="AK17" s="493">
        <v>0</v>
      </c>
      <c r="AL17" s="493">
        <v>0</v>
      </c>
      <c r="AM17" s="493">
        <v>0</v>
      </c>
      <c r="AN17" s="493">
        <v>0</v>
      </c>
      <c r="AO17" s="493">
        <v>0</v>
      </c>
      <c r="AP17" s="493">
        <v>0</v>
      </c>
      <c r="AQ17" s="493">
        <v>0</v>
      </c>
      <c r="AR17" s="493">
        <v>0</v>
      </c>
      <c r="AS17" s="493">
        <v>0</v>
      </c>
      <c r="AT17" s="493">
        <v>0</v>
      </c>
      <c r="AU17" s="493">
        <v>0</v>
      </c>
      <c r="AV17" s="493">
        <v>0</v>
      </c>
      <c r="AW17" s="493">
        <v>0</v>
      </c>
      <c r="AX17" s="493">
        <v>0</v>
      </c>
      <c r="AY17" s="493">
        <v>0</v>
      </c>
      <c r="AZ17" s="493">
        <v>0</v>
      </c>
      <c r="BA17" s="493">
        <v>0</v>
      </c>
      <c r="BB17" s="493">
        <v>0</v>
      </c>
      <c r="BC17" s="493">
        <v>0</v>
      </c>
      <c r="BD17" s="493">
        <v>0</v>
      </c>
      <c r="BE17" s="493">
        <v>0</v>
      </c>
      <c r="BF17" s="493">
        <v>0</v>
      </c>
      <c r="BG17" s="493">
        <v>0</v>
      </c>
      <c r="BH17" s="493">
        <v>0</v>
      </c>
      <c r="BI17" s="493">
        <v>0</v>
      </c>
      <c r="BJ17" s="493">
        <v>0</v>
      </c>
      <c r="BK17" s="493">
        <v>0</v>
      </c>
      <c r="BL17" s="493">
        <v>0</v>
      </c>
      <c r="BM17" s="493">
        <v>0</v>
      </c>
      <c r="BN17" s="493">
        <v>0</v>
      </c>
      <c r="BO17" s="493">
        <v>0</v>
      </c>
      <c r="BP17" s="493">
        <v>0</v>
      </c>
      <c r="BQ17" s="493">
        <v>0</v>
      </c>
      <c r="BR17" s="493">
        <v>0</v>
      </c>
      <c r="BS17" s="493">
        <v>0</v>
      </c>
      <c r="BT17" s="493">
        <v>0</v>
      </c>
      <c r="BU17" s="493">
        <v>0</v>
      </c>
      <c r="BV17" s="493">
        <v>0</v>
      </c>
      <c r="BW17" s="493">
        <v>0</v>
      </c>
      <c r="BX17" s="493">
        <v>0</v>
      </c>
      <c r="BY17" s="493">
        <v>0</v>
      </c>
      <c r="BZ17" s="493">
        <v>0</v>
      </c>
      <c r="CA17" s="493">
        <v>0</v>
      </c>
      <c r="CB17" s="493">
        <v>0</v>
      </c>
      <c r="CC17" s="493">
        <v>0</v>
      </c>
      <c r="CD17" s="493">
        <v>0</v>
      </c>
      <c r="CE17" s="493">
        <v>0</v>
      </c>
      <c r="CF17" s="493">
        <v>0</v>
      </c>
      <c r="CG17" s="493">
        <v>0</v>
      </c>
      <c r="CH17" s="493">
        <v>0</v>
      </c>
      <c r="CI17" s="493">
        <v>0</v>
      </c>
      <c r="CJ17" s="493">
        <v>0</v>
      </c>
      <c r="CK17" s="493">
        <v>0</v>
      </c>
      <c r="CL17" s="493">
        <v>0</v>
      </c>
      <c r="CM17" s="493">
        <v>0</v>
      </c>
      <c r="CN17" s="493">
        <v>0</v>
      </c>
      <c r="CO17" s="493">
        <v>0</v>
      </c>
      <c r="CP17" s="493">
        <v>0</v>
      </c>
      <c r="CQ17" s="493">
        <v>0</v>
      </c>
      <c r="CR17" s="493">
        <v>0</v>
      </c>
      <c r="CS17" s="493">
        <v>0</v>
      </c>
      <c r="CT17" s="493">
        <v>0</v>
      </c>
      <c r="CU17" s="493">
        <v>0</v>
      </c>
      <c r="CV17" s="493">
        <v>0</v>
      </c>
      <c r="CW17" s="493">
        <v>0</v>
      </c>
      <c r="CX17" s="493">
        <v>0</v>
      </c>
      <c r="CY17" s="493">
        <v>0</v>
      </c>
      <c r="CZ17" s="493">
        <v>0</v>
      </c>
      <c r="DA17" s="493">
        <v>0</v>
      </c>
      <c r="DB17" s="493">
        <v>0</v>
      </c>
      <c r="DC17" s="493">
        <v>0</v>
      </c>
      <c r="DD17" s="493">
        <v>0</v>
      </c>
      <c r="DE17" s="493">
        <v>0</v>
      </c>
      <c r="DF17" s="493">
        <v>0</v>
      </c>
      <c r="DG17" s="493">
        <v>0</v>
      </c>
      <c r="DH17" s="493">
        <v>0</v>
      </c>
      <c r="DI17" s="493">
        <v>0</v>
      </c>
      <c r="DJ17" s="493">
        <v>0</v>
      </c>
      <c r="DK17" s="493">
        <v>0</v>
      </c>
      <c r="DL17" s="493">
        <v>0</v>
      </c>
      <c r="DM17" s="493">
        <v>0</v>
      </c>
      <c r="DN17" s="493">
        <v>0</v>
      </c>
      <c r="DO17" s="493">
        <v>0</v>
      </c>
      <c r="DP17" s="493">
        <v>0</v>
      </c>
      <c r="DQ17" s="493">
        <v>0</v>
      </c>
      <c r="DR17" s="493">
        <v>0</v>
      </c>
      <c r="DS17" s="493">
        <v>0</v>
      </c>
      <c r="DT17" s="493">
        <v>0</v>
      </c>
      <c r="DU17" s="493">
        <v>0</v>
      </c>
      <c r="DV17" s="493">
        <v>0</v>
      </c>
      <c r="DW17" s="493">
        <v>0</v>
      </c>
      <c r="DX17" s="493">
        <v>0</v>
      </c>
      <c r="DY17" s="493">
        <v>0</v>
      </c>
      <c r="DZ17" s="493">
        <v>0</v>
      </c>
      <c r="EA17" s="493">
        <v>0</v>
      </c>
      <c r="EB17" s="493">
        <v>0</v>
      </c>
      <c r="EC17" s="493">
        <v>0</v>
      </c>
      <c r="ED17" s="493">
        <v>0</v>
      </c>
      <c r="EE17" s="493">
        <v>0</v>
      </c>
      <c r="EF17" s="493">
        <v>0</v>
      </c>
      <c r="EG17" s="493">
        <v>0</v>
      </c>
      <c r="EH17" s="493">
        <v>0</v>
      </c>
      <c r="EI17" s="493">
        <v>0</v>
      </c>
      <c r="EJ17" s="493">
        <v>0</v>
      </c>
      <c r="EK17" s="493">
        <v>0</v>
      </c>
      <c r="EL17" s="493">
        <v>0</v>
      </c>
      <c r="EM17" s="493">
        <v>0</v>
      </c>
      <c r="EN17" s="493">
        <v>0</v>
      </c>
      <c r="EO17" s="493">
        <v>0</v>
      </c>
      <c r="EP17" s="493">
        <v>0</v>
      </c>
      <c r="EQ17" s="493">
        <v>0</v>
      </c>
      <c r="ER17" s="493">
        <v>0</v>
      </c>
      <c r="ES17" s="493">
        <v>0</v>
      </c>
      <c r="ET17" s="493">
        <v>0</v>
      </c>
      <c r="EU17" s="493">
        <v>0</v>
      </c>
      <c r="EV17" s="493">
        <v>0</v>
      </c>
      <c r="EW17" s="493">
        <v>0</v>
      </c>
      <c r="EX17" s="493">
        <v>0</v>
      </c>
      <c r="EY17" s="493">
        <v>0</v>
      </c>
      <c r="EZ17" s="493">
        <v>0</v>
      </c>
      <c r="FA17" s="493">
        <v>0</v>
      </c>
      <c r="FB17" s="493">
        <v>0</v>
      </c>
      <c r="FC17" s="493">
        <v>0</v>
      </c>
      <c r="FD17" s="493">
        <v>0</v>
      </c>
      <c r="FE17" s="493">
        <v>0</v>
      </c>
      <c r="FF17" s="493">
        <v>0</v>
      </c>
      <c r="FG17" s="493">
        <v>0</v>
      </c>
      <c r="FH17" s="493">
        <v>0</v>
      </c>
      <c r="FI17" s="493">
        <v>0</v>
      </c>
      <c r="FJ17" s="45">
        <v>0</v>
      </c>
    </row>
    <row r="18" spans="1:166">
      <c r="A18" s="501" t="s">
        <v>1063</v>
      </c>
      <c r="B18" s="491" t="s">
        <v>1185</v>
      </c>
      <c r="C18" s="498" t="s">
        <v>1183</v>
      </c>
      <c r="D18" s="498" t="s">
        <v>14</v>
      </c>
      <c r="E18" s="498" t="s">
        <v>532</v>
      </c>
      <c r="F18" s="491" t="s">
        <v>245</v>
      </c>
      <c r="G18" s="491" t="s">
        <v>1178</v>
      </c>
      <c r="H18" s="499" t="s">
        <v>261</v>
      </c>
      <c r="I18" s="491">
        <v>0</v>
      </c>
      <c r="J18" s="491" t="s">
        <v>539</v>
      </c>
      <c r="K18" s="491">
        <v>0</v>
      </c>
      <c r="L18" s="491" t="s">
        <v>980</v>
      </c>
      <c r="M18" s="491">
        <v>3</v>
      </c>
      <c r="N18" s="491">
        <v>0</v>
      </c>
      <c r="O18" s="498">
        <v>9000000</v>
      </c>
      <c r="P18" s="495">
        <f t="shared" si="5"/>
        <v>27000000</v>
      </c>
      <c r="Q18" s="493">
        <v>0</v>
      </c>
      <c r="R18" s="493">
        <v>0</v>
      </c>
      <c r="S18" s="491">
        <v>0</v>
      </c>
      <c r="T18" s="497">
        <v>1</v>
      </c>
      <c r="U18" s="491">
        <v>0</v>
      </c>
      <c r="V18" s="493">
        <v>0</v>
      </c>
      <c r="W18" s="493">
        <v>0</v>
      </c>
      <c r="X18" s="493">
        <v>0</v>
      </c>
      <c r="Y18" s="493">
        <v>0</v>
      </c>
      <c r="Z18" s="493">
        <v>0</v>
      </c>
      <c r="AA18" s="493">
        <v>0</v>
      </c>
      <c r="AB18" s="493">
        <v>0</v>
      </c>
      <c r="AC18" s="493">
        <v>0</v>
      </c>
      <c r="AD18" s="493">
        <v>0</v>
      </c>
      <c r="AE18" s="493">
        <v>0</v>
      </c>
      <c r="AF18" s="493">
        <v>0</v>
      </c>
      <c r="AG18" s="493">
        <v>0</v>
      </c>
      <c r="AH18" s="493">
        <v>0</v>
      </c>
      <c r="AI18" s="493">
        <v>0</v>
      </c>
      <c r="AJ18" s="493">
        <v>0</v>
      </c>
      <c r="AK18" s="493">
        <v>0</v>
      </c>
      <c r="AL18" s="493">
        <v>0</v>
      </c>
      <c r="AM18" s="493">
        <v>0</v>
      </c>
      <c r="AN18" s="493">
        <v>0</v>
      </c>
      <c r="AO18" s="493">
        <v>0</v>
      </c>
      <c r="AP18" s="493">
        <v>0</v>
      </c>
      <c r="AQ18" s="493">
        <v>0</v>
      </c>
      <c r="AR18" s="493">
        <v>0</v>
      </c>
      <c r="AS18" s="493">
        <v>0</v>
      </c>
      <c r="AT18" s="493">
        <v>0</v>
      </c>
      <c r="AU18" s="493">
        <v>0</v>
      </c>
      <c r="AV18" s="493">
        <v>0</v>
      </c>
      <c r="AW18" s="493">
        <v>0</v>
      </c>
      <c r="AX18" s="493">
        <v>0</v>
      </c>
      <c r="AY18" s="493">
        <v>0</v>
      </c>
      <c r="AZ18" s="493">
        <v>0</v>
      </c>
      <c r="BA18" s="493">
        <v>0</v>
      </c>
      <c r="BB18" s="493">
        <v>0</v>
      </c>
      <c r="BC18" s="493">
        <v>0</v>
      </c>
      <c r="BD18" s="493">
        <v>0</v>
      </c>
      <c r="BE18" s="493">
        <v>0</v>
      </c>
      <c r="BF18" s="493">
        <v>0</v>
      </c>
      <c r="BG18" s="493">
        <v>0</v>
      </c>
      <c r="BH18" s="493">
        <v>0</v>
      </c>
      <c r="BI18" s="493">
        <v>0</v>
      </c>
      <c r="BJ18" s="493">
        <v>0</v>
      </c>
      <c r="BK18" s="493">
        <v>0</v>
      </c>
      <c r="BL18" s="493">
        <v>0</v>
      </c>
      <c r="BM18" s="493">
        <v>0</v>
      </c>
      <c r="BN18" s="493">
        <v>0</v>
      </c>
      <c r="BO18" s="493">
        <v>0</v>
      </c>
      <c r="BP18" s="493">
        <v>0</v>
      </c>
      <c r="BQ18" s="493">
        <v>0</v>
      </c>
      <c r="BR18" s="493">
        <v>0</v>
      </c>
      <c r="BS18" s="493">
        <v>0</v>
      </c>
      <c r="BT18" s="493">
        <v>0</v>
      </c>
      <c r="BU18" s="493">
        <v>0</v>
      </c>
      <c r="BV18" s="493">
        <v>0</v>
      </c>
      <c r="BW18" s="493">
        <v>0</v>
      </c>
      <c r="BX18" s="493">
        <v>0</v>
      </c>
      <c r="BY18" s="493">
        <v>0</v>
      </c>
      <c r="BZ18" s="493">
        <v>0</v>
      </c>
      <c r="CA18" s="493">
        <v>0</v>
      </c>
      <c r="CB18" s="493">
        <v>0</v>
      </c>
      <c r="CC18" s="493">
        <v>0</v>
      </c>
      <c r="CD18" s="493">
        <v>0</v>
      </c>
      <c r="CE18" s="493">
        <v>0</v>
      </c>
      <c r="CF18" s="493">
        <v>0</v>
      </c>
      <c r="CG18" s="493">
        <v>0</v>
      </c>
      <c r="CH18" s="493">
        <v>0</v>
      </c>
      <c r="CI18" s="493">
        <v>0</v>
      </c>
      <c r="CJ18" s="493">
        <v>0</v>
      </c>
      <c r="CK18" s="493">
        <v>0</v>
      </c>
      <c r="CL18" s="493">
        <v>0</v>
      </c>
      <c r="CM18" s="493">
        <v>0</v>
      </c>
      <c r="CN18" s="493">
        <v>0</v>
      </c>
      <c r="CO18" s="493">
        <v>0</v>
      </c>
      <c r="CP18" s="493">
        <v>0</v>
      </c>
      <c r="CQ18" s="493">
        <v>0</v>
      </c>
      <c r="CR18" s="493">
        <v>0</v>
      </c>
      <c r="CS18" s="493">
        <v>0</v>
      </c>
      <c r="CT18" s="493">
        <v>0</v>
      </c>
      <c r="CU18" s="493">
        <v>0</v>
      </c>
      <c r="CV18" s="493">
        <v>0</v>
      </c>
      <c r="CW18" s="493">
        <v>0</v>
      </c>
      <c r="CX18" s="493">
        <v>0</v>
      </c>
      <c r="CY18" s="493">
        <v>0</v>
      </c>
      <c r="CZ18" s="493">
        <v>0</v>
      </c>
      <c r="DA18" s="493">
        <v>0</v>
      </c>
      <c r="DB18" s="493">
        <v>0</v>
      </c>
      <c r="DC18" s="493">
        <v>0</v>
      </c>
      <c r="DD18" s="493">
        <v>0</v>
      </c>
      <c r="DE18" s="493">
        <v>0</v>
      </c>
      <c r="DF18" s="493">
        <v>0</v>
      </c>
      <c r="DG18" s="493">
        <v>0</v>
      </c>
      <c r="DH18" s="493">
        <v>0</v>
      </c>
      <c r="DI18" s="493">
        <v>0</v>
      </c>
      <c r="DJ18" s="493">
        <v>0</v>
      </c>
      <c r="DK18" s="493">
        <v>0</v>
      </c>
      <c r="DL18" s="493">
        <v>0</v>
      </c>
      <c r="DM18" s="493">
        <v>0</v>
      </c>
      <c r="DN18" s="493">
        <v>0</v>
      </c>
      <c r="DO18" s="493">
        <v>0</v>
      </c>
      <c r="DP18" s="493">
        <v>0</v>
      </c>
      <c r="DQ18" s="493">
        <v>0</v>
      </c>
      <c r="DR18" s="493">
        <v>0</v>
      </c>
      <c r="DS18" s="493">
        <v>0</v>
      </c>
      <c r="DT18" s="493">
        <v>0</v>
      </c>
      <c r="DU18" s="493">
        <v>0</v>
      </c>
      <c r="DV18" s="493">
        <v>0</v>
      </c>
      <c r="DW18" s="493">
        <v>0</v>
      </c>
      <c r="DX18" s="493">
        <v>0</v>
      </c>
      <c r="DY18" s="493">
        <v>0</v>
      </c>
      <c r="DZ18" s="493">
        <v>0</v>
      </c>
      <c r="EA18" s="493">
        <v>0</v>
      </c>
      <c r="EB18" s="493">
        <v>0</v>
      </c>
      <c r="EC18" s="493">
        <v>0</v>
      </c>
      <c r="ED18" s="493">
        <v>0</v>
      </c>
      <c r="EE18" s="493">
        <v>0</v>
      </c>
      <c r="EF18" s="493">
        <v>0</v>
      </c>
      <c r="EG18" s="493">
        <v>0</v>
      </c>
      <c r="EH18" s="493">
        <v>0</v>
      </c>
      <c r="EI18" s="493">
        <v>0</v>
      </c>
      <c r="EJ18" s="493">
        <v>0</v>
      </c>
      <c r="EK18" s="493">
        <v>0</v>
      </c>
      <c r="EL18" s="493">
        <v>0</v>
      </c>
      <c r="EM18" s="493">
        <v>0</v>
      </c>
      <c r="EN18" s="493">
        <v>0</v>
      </c>
      <c r="EO18" s="493">
        <v>0</v>
      </c>
      <c r="EP18" s="493">
        <v>0</v>
      </c>
      <c r="EQ18" s="493">
        <v>0</v>
      </c>
      <c r="ER18" s="493">
        <v>0</v>
      </c>
      <c r="ES18" s="493">
        <v>0</v>
      </c>
      <c r="ET18" s="493">
        <v>0</v>
      </c>
      <c r="EU18" s="493">
        <v>0</v>
      </c>
      <c r="EV18" s="493">
        <v>0</v>
      </c>
      <c r="EW18" s="493">
        <v>0</v>
      </c>
      <c r="EX18" s="493">
        <v>0</v>
      </c>
      <c r="EY18" s="493">
        <v>0</v>
      </c>
      <c r="EZ18" s="493">
        <v>0</v>
      </c>
      <c r="FA18" s="493">
        <v>0</v>
      </c>
      <c r="FB18" s="493">
        <v>0</v>
      </c>
      <c r="FC18" s="493">
        <v>0</v>
      </c>
      <c r="FD18" s="493">
        <v>0</v>
      </c>
      <c r="FE18" s="493">
        <v>0</v>
      </c>
      <c r="FF18" s="493">
        <v>0</v>
      </c>
      <c r="FG18" s="493">
        <v>0</v>
      </c>
      <c r="FH18" s="493">
        <v>0</v>
      </c>
      <c r="FI18" s="493">
        <v>0</v>
      </c>
      <c r="FJ18" s="45">
        <v>0</v>
      </c>
    </row>
    <row r="19" spans="1:166">
      <c r="A19" s="501" t="s">
        <v>1064</v>
      </c>
      <c r="B19" s="491" t="s">
        <v>1185</v>
      </c>
      <c r="C19" s="498" t="s">
        <v>1183</v>
      </c>
      <c r="D19" s="498" t="s">
        <v>14</v>
      </c>
      <c r="E19" s="498" t="s">
        <v>532</v>
      </c>
      <c r="F19" s="491" t="s">
        <v>245</v>
      </c>
      <c r="G19" s="491" t="s">
        <v>1179</v>
      </c>
      <c r="H19" s="499" t="s">
        <v>260</v>
      </c>
      <c r="I19" s="491">
        <v>0</v>
      </c>
      <c r="J19" s="491" t="s">
        <v>539</v>
      </c>
      <c r="K19" s="491">
        <v>0</v>
      </c>
      <c r="L19" s="491" t="s">
        <v>980</v>
      </c>
      <c r="M19" s="491">
        <v>1.5</v>
      </c>
      <c r="N19" s="491">
        <v>0</v>
      </c>
      <c r="O19" s="498">
        <v>10000000</v>
      </c>
      <c r="P19" s="495">
        <f t="shared" si="5"/>
        <v>15000000</v>
      </c>
      <c r="Q19" s="493">
        <v>0</v>
      </c>
      <c r="R19" s="493">
        <v>0</v>
      </c>
      <c r="S19" s="491">
        <v>0</v>
      </c>
      <c r="T19" s="497">
        <v>1</v>
      </c>
      <c r="U19" s="491">
        <v>0</v>
      </c>
      <c r="V19" s="493">
        <v>0</v>
      </c>
      <c r="W19" s="493">
        <v>0</v>
      </c>
      <c r="X19" s="493">
        <v>0</v>
      </c>
      <c r="Y19" s="493">
        <v>0</v>
      </c>
      <c r="Z19" s="493">
        <v>0</v>
      </c>
      <c r="AA19" s="493">
        <v>0</v>
      </c>
      <c r="AB19" s="493">
        <v>0</v>
      </c>
      <c r="AC19" s="493">
        <v>0</v>
      </c>
      <c r="AD19" s="493">
        <v>0</v>
      </c>
      <c r="AE19" s="493">
        <v>0</v>
      </c>
      <c r="AF19" s="493">
        <v>0</v>
      </c>
      <c r="AG19" s="493">
        <v>0</v>
      </c>
      <c r="AH19" s="493">
        <v>0</v>
      </c>
      <c r="AI19" s="493">
        <v>0</v>
      </c>
      <c r="AJ19" s="493">
        <v>0</v>
      </c>
      <c r="AK19" s="493">
        <v>0</v>
      </c>
      <c r="AL19" s="493">
        <v>0</v>
      </c>
      <c r="AM19" s="493">
        <v>0</v>
      </c>
      <c r="AN19" s="493">
        <v>0</v>
      </c>
      <c r="AO19" s="493">
        <v>0</v>
      </c>
      <c r="AP19" s="493">
        <v>0</v>
      </c>
      <c r="AQ19" s="493">
        <v>0</v>
      </c>
      <c r="AR19" s="493">
        <v>0</v>
      </c>
      <c r="AS19" s="493">
        <v>0</v>
      </c>
      <c r="AT19" s="493">
        <v>0</v>
      </c>
      <c r="AU19" s="493">
        <v>0</v>
      </c>
      <c r="AV19" s="493">
        <v>0</v>
      </c>
      <c r="AW19" s="493">
        <v>0</v>
      </c>
      <c r="AX19" s="493">
        <v>0</v>
      </c>
      <c r="AY19" s="493">
        <v>0</v>
      </c>
      <c r="AZ19" s="493">
        <v>0</v>
      </c>
      <c r="BA19" s="493">
        <v>0</v>
      </c>
      <c r="BB19" s="493">
        <v>0</v>
      </c>
      <c r="BC19" s="493">
        <v>0</v>
      </c>
      <c r="BD19" s="493">
        <v>0</v>
      </c>
      <c r="BE19" s="493">
        <v>0</v>
      </c>
      <c r="BF19" s="493">
        <v>0</v>
      </c>
      <c r="BG19" s="493">
        <v>0</v>
      </c>
      <c r="BH19" s="493">
        <v>0</v>
      </c>
      <c r="BI19" s="493">
        <v>0</v>
      </c>
      <c r="BJ19" s="493">
        <v>0</v>
      </c>
      <c r="BK19" s="493">
        <v>0</v>
      </c>
      <c r="BL19" s="493">
        <v>0</v>
      </c>
      <c r="BM19" s="493">
        <v>0</v>
      </c>
      <c r="BN19" s="493">
        <v>0</v>
      </c>
      <c r="BO19" s="493">
        <v>0</v>
      </c>
      <c r="BP19" s="493">
        <v>0</v>
      </c>
      <c r="BQ19" s="493">
        <v>0</v>
      </c>
      <c r="BR19" s="493">
        <v>0</v>
      </c>
      <c r="BS19" s="493">
        <v>0</v>
      </c>
      <c r="BT19" s="493">
        <v>0</v>
      </c>
      <c r="BU19" s="493">
        <v>0</v>
      </c>
      <c r="BV19" s="493">
        <v>0</v>
      </c>
      <c r="BW19" s="493">
        <v>0</v>
      </c>
      <c r="BX19" s="493">
        <v>0</v>
      </c>
      <c r="BY19" s="493">
        <v>0</v>
      </c>
      <c r="BZ19" s="493">
        <v>0</v>
      </c>
      <c r="CA19" s="493">
        <v>0</v>
      </c>
      <c r="CB19" s="493">
        <v>0</v>
      </c>
      <c r="CC19" s="493">
        <v>0</v>
      </c>
      <c r="CD19" s="493">
        <v>0</v>
      </c>
      <c r="CE19" s="493">
        <v>0</v>
      </c>
      <c r="CF19" s="493">
        <v>0</v>
      </c>
      <c r="CG19" s="493">
        <v>0</v>
      </c>
      <c r="CH19" s="493">
        <v>0</v>
      </c>
      <c r="CI19" s="493">
        <v>0</v>
      </c>
      <c r="CJ19" s="493">
        <v>0</v>
      </c>
      <c r="CK19" s="493">
        <v>0</v>
      </c>
      <c r="CL19" s="493">
        <v>0</v>
      </c>
      <c r="CM19" s="493">
        <v>0</v>
      </c>
      <c r="CN19" s="493">
        <v>0</v>
      </c>
      <c r="CO19" s="493">
        <v>0</v>
      </c>
      <c r="CP19" s="493">
        <v>0</v>
      </c>
      <c r="CQ19" s="493">
        <v>0</v>
      </c>
      <c r="CR19" s="493">
        <v>0</v>
      </c>
      <c r="CS19" s="493">
        <v>0</v>
      </c>
      <c r="CT19" s="493">
        <v>0</v>
      </c>
      <c r="CU19" s="493">
        <v>0</v>
      </c>
      <c r="CV19" s="493">
        <v>0</v>
      </c>
      <c r="CW19" s="493">
        <v>0</v>
      </c>
      <c r="CX19" s="493">
        <v>0</v>
      </c>
      <c r="CY19" s="493">
        <v>0</v>
      </c>
      <c r="CZ19" s="493">
        <v>0</v>
      </c>
      <c r="DA19" s="493">
        <v>0</v>
      </c>
      <c r="DB19" s="493">
        <v>0</v>
      </c>
      <c r="DC19" s="493">
        <v>0</v>
      </c>
      <c r="DD19" s="493">
        <v>0</v>
      </c>
      <c r="DE19" s="493">
        <v>0</v>
      </c>
      <c r="DF19" s="493">
        <v>0</v>
      </c>
      <c r="DG19" s="493">
        <v>0</v>
      </c>
      <c r="DH19" s="493">
        <v>0</v>
      </c>
      <c r="DI19" s="493">
        <v>0</v>
      </c>
      <c r="DJ19" s="493">
        <v>0</v>
      </c>
      <c r="DK19" s="493">
        <v>0</v>
      </c>
      <c r="DL19" s="493">
        <v>0</v>
      </c>
      <c r="DM19" s="493">
        <v>0</v>
      </c>
      <c r="DN19" s="493">
        <v>0</v>
      </c>
      <c r="DO19" s="493">
        <v>0</v>
      </c>
      <c r="DP19" s="493">
        <v>0</v>
      </c>
      <c r="DQ19" s="493">
        <v>0</v>
      </c>
      <c r="DR19" s="493">
        <v>0</v>
      </c>
      <c r="DS19" s="493">
        <v>0</v>
      </c>
      <c r="DT19" s="493">
        <v>0</v>
      </c>
      <c r="DU19" s="493">
        <v>0</v>
      </c>
      <c r="DV19" s="493">
        <v>0</v>
      </c>
      <c r="DW19" s="493">
        <v>0</v>
      </c>
      <c r="DX19" s="493">
        <v>0</v>
      </c>
      <c r="DY19" s="493">
        <v>0</v>
      </c>
      <c r="DZ19" s="493">
        <v>0</v>
      </c>
      <c r="EA19" s="493">
        <v>0</v>
      </c>
      <c r="EB19" s="493">
        <v>0</v>
      </c>
      <c r="EC19" s="493">
        <v>0</v>
      </c>
      <c r="ED19" s="493">
        <v>0</v>
      </c>
      <c r="EE19" s="493">
        <v>0</v>
      </c>
      <c r="EF19" s="493">
        <v>0</v>
      </c>
      <c r="EG19" s="493">
        <v>0</v>
      </c>
      <c r="EH19" s="493">
        <v>0</v>
      </c>
      <c r="EI19" s="493">
        <v>0</v>
      </c>
      <c r="EJ19" s="493">
        <v>0</v>
      </c>
      <c r="EK19" s="493">
        <v>0</v>
      </c>
      <c r="EL19" s="493">
        <v>0</v>
      </c>
      <c r="EM19" s="493">
        <v>0</v>
      </c>
      <c r="EN19" s="493">
        <v>0</v>
      </c>
      <c r="EO19" s="493">
        <v>0</v>
      </c>
      <c r="EP19" s="493">
        <v>0</v>
      </c>
      <c r="EQ19" s="493">
        <v>0</v>
      </c>
      <c r="ER19" s="493">
        <v>0</v>
      </c>
      <c r="ES19" s="493">
        <v>0</v>
      </c>
      <c r="ET19" s="493">
        <v>0</v>
      </c>
      <c r="EU19" s="493">
        <v>0</v>
      </c>
      <c r="EV19" s="493">
        <v>0</v>
      </c>
      <c r="EW19" s="493">
        <v>0</v>
      </c>
      <c r="EX19" s="493">
        <v>0</v>
      </c>
      <c r="EY19" s="493">
        <v>0</v>
      </c>
      <c r="EZ19" s="493">
        <v>0</v>
      </c>
      <c r="FA19" s="493">
        <v>0</v>
      </c>
      <c r="FB19" s="493">
        <v>0</v>
      </c>
      <c r="FC19" s="493">
        <v>0</v>
      </c>
      <c r="FD19" s="493">
        <v>0</v>
      </c>
      <c r="FE19" s="493">
        <v>0</v>
      </c>
      <c r="FF19" s="493">
        <v>0</v>
      </c>
      <c r="FG19" s="493">
        <v>0</v>
      </c>
      <c r="FH19" s="493">
        <v>0</v>
      </c>
      <c r="FI19" s="493">
        <v>0</v>
      </c>
      <c r="FJ19" s="45">
        <v>0</v>
      </c>
    </row>
    <row r="20" spans="1:166">
      <c r="A20" s="501" t="s">
        <v>1065</v>
      </c>
      <c r="B20" s="491" t="s">
        <v>1185</v>
      </c>
      <c r="C20" s="498" t="s">
        <v>1183</v>
      </c>
      <c r="D20" s="498" t="s">
        <v>14</v>
      </c>
      <c r="E20" s="498" t="s">
        <v>532</v>
      </c>
      <c r="F20" s="491" t="s">
        <v>245</v>
      </c>
      <c r="G20" s="491" t="s">
        <v>1180</v>
      </c>
      <c r="H20" s="499" t="s">
        <v>260</v>
      </c>
      <c r="I20" s="491">
        <v>0</v>
      </c>
      <c r="J20" s="491" t="s">
        <v>539</v>
      </c>
      <c r="K20" s="491">
        <v>0</v>
      </c>
      <c r="L20" s="491" t="s">
        <v>980</v>
      </c>
      <c r="M20" s="491">
        <v>2</v>
      </c>
      <c r="N20" s="491">
        <v>0</v>
      </c>
      <c r="O20" s="498">
        <v>10000000</v>
      </c>
      <c r="P20" s="495">
        <f t="shared" si="5"/>
        <v>20000000</v>
      </c>
      <c r="Q20" s="493">
        <v>0</v>
      </c>
      <c r="R20" s="493">
        <v>0</v>
      </c>
      <c r="S20" s="491">
        <v>0</v>
      </c>
      <c r="T20" s="497">
        <v>1</v>
      </c>
      <c r="U20" s="491">
        <v>0</v>
      </c>
      <c r="V20" s="493">
        <v>0</v>
      </c>
      <c r="W20" s="493">
        <v>0</v>
      </c>
      <c r="X20" s="493">
        <v>0</v>
      </c>
      <c r="Y20" s="493">
        <v>0</v>
      </c>
      <c r="Z20" s="493">
        <v>0</v>
      </c>
      <c r="AA20" s="493">
        <v>0</v>
      </c>
      <c r="AB20" s="493">
        <v>0</v>
      </c>
      <c r="AC20" s="493">
        <v>0</v>
      </c>
      <c r="AD20" s="493">
        <v>0</v>
      </c>
      <c r="AE20" s="493">
        <v>0</v>
      </c>
      <c r="AF20" s="493">
        <v>0</v>
      </c>
      <c r="AG20" s="493">
        <v>0</v>
      </c>
      <c r="AH20" s="493">
        <v>0</v>
      </c>
      <c r="AI20" s="493">
        <v>0</v>
      </c>
      <c r="AJ20" s="493">
        <v>0</v>
      </c>
      <c r="AK20" s="493">
        <v>0</v>
      </c>
      <c r="AL20" s="493">
        <v>0</v>
      </c>
      <c r="AM20" s="493">
        <v>0</v>
      </c>
      <c r="AN20" s="493">
        <v>0</v>
      </c>
      <c r="AO20" s="493">
        <v>0</v>
      </c>
      <c r="AP20" s="493">
        <v>0</v>
      </c>
      <c r="AQ20" s="493">
        <v>0</v>
      </c>
      <c r="AR20" s="493">
        <v>0</v>
      </c>
      <c r="AS20" s="493">
        <v>0</v>
      </c>
      <c r="AT20" s="493">
        <v>0</v>
      </c>
      <c r="AU20" s="493">
        <v>0</v>
      </c>
      <c r="AV20" s="493">
        <v>0</v>
      </c>
      <c r="AW20" s="493">
        <v>0</v>
      </c>
      <c r="AX20" s="493">
        <v>0</v>
      </c>
      <c r="AY20" s="493">
        <v>0</v>
      </c>
      <c r="AZ20" s="493">
        <v>0</v>
      </c>
      <c r="BA20" s="493">
        <v>0</v>
      </c>
      <c r="BB20" s="493">
        <v>0</v>
      </c>
      <c r="BC20" s="493">
        <v>0</v>
      </c>
      <c r="BD20" s="493">
        <v>0</v>
      </c>
      <c r="BE20" s="493">
        <v>0</v>
      </c>
      <c r="BF20" s="493">
        <v>0</v>
      </c>
      <c r="BG20" s="493">
        <v>0</v>
      </c>
      <c r="BH20" s="493">
        <v>0</v>
      </c>
      <c r="BI20" s="493">
        <v>0</v>
      </c>
      <c r="BJ20" s="493">
        <v>0</v>
      </c>
      <c r="BK20" s="493">
        <v>0</v>
      </c>
      <c r="BL20" s="493">
        <v>0</v>
      </c>
      <c r="BM20" s="493">
        <v>0</v>
      </c>
      <c r="BN20" s="493">
        <v>0</v>
      </c>
      <c r="BO20" s="493">
        <v>0</v>
      </c>
      <c r="BP20" s="493">
        <v>0</v>
      </c>
      <c r="BQ20" s="493">
        <v>0</v>
      </c>
      <c r="BR20" s="493">
        <v>0</v>
      </c>
      <c r="BS20" s="493">
        <v>0</v>
      </c>
      <c r="BT20" s="493">
        <v>0</v>
      </c>
      <c r="BU20" s="493">
        <v>0</v>
      </c>
      <c r="BV20" s="493">
        <v>0</v>
      </c>
      <c r="BW20" s="493">
        <v>0</v>
      </c>
      <c r="BX20" s="493">
        <v>0</v>
      </c>
      <c r="BY20" s="493">
        <v>0</v>
      </c>
      <c r="BZ20" s="493">
        <v>0</v>
      </c>
      <c r="CA20" s="493">
        <v>0</v>
      </c>
      <c r="CB20" s="493">
        <v>0</v>
      </c>
      <c r="CC20" s="493">
        <v>0</v>
      </c>
      <c r="CD20" s="493">
        <v>0</v>
      </c>
      <c r="CE20" s="493">
        <v>0</v>
      </c>
      <c r="CF20" s="493">
        <v>0</v>
      </c>
      <c r="CG20" s="493">
        <v>0</v>
      </c>
      <c r="CH20" s="493">
        <v>0</v>
      </c>
      <c r="CI20" s="493">
        <v>0</v>
      </c>
      <c r="CJ20" s="493">
        <v>0</v>
      </c>
      <c r="CK20" s="493">
        <v>0</v>
      </c>
      <c r="CL20" s="493">
        <v>0</v>
      </c>
      <c r="CM20" s="493">
        <v>0</v>
      </c>
      <c r="CN20" s="493">
        <v>0</v>
      </c>
      <c r="CO20" s="493">
        <v>0</v>
      </c>
      <c r="CP20" s="493">
        <v>0</v>
      </c>
      <c r="CQ20" s="493">
        <v>0</v>
      </c>
      <c r="CR20" s="493">
        <v>0</v>
      </c>
      <c r="CS20" s="493">
        <v>0</v>
      </c>
      <c r="CT20" s="493">
        <v>0</v>
      </c>
      <c r="CU20" s="493">
        <v>0</v>
      </c>
      <c r="CV20" s="493">
        <v>0</v>
      </c>
      <c r="CW20" s="493">
        <v>0</v>
      </c>
      <c r="CX20" s="493">
        <v>0</v>
      </c>
      <c r="CY20" s="493">
        <v>0</v>
      </c>
      <c r="CZ20" s="493">
        <v>0</v>
      </c>
      <c r="DA20" s="493">
        <v>0</v>
      </c>
      <c r="DB20" s="493">
        <v>0</v>
      </c>
      <c r="DC20" s="493">
        <v>0</v>
      </c>
      <c r="DD20" s="493">
        <v>0</v>
      </c>
      <c r="DE20" s="493">
        <v>0</v>
      </c>
      <c r="DF20" s="493">
        <v>0</v>
      </c>
      <c r="DG20" s="493">
        <v>0</v>
      </c>
      <c r="DH20" s="493">
        <v>0</v>
      </c>
      <c r="DI20" s="493">
        <v>0</v>
      </c>
      <c r="DJ20" s="493">
        <v>0</v>
      </c>
      <c r="DK20" s="493">
        <v>0</v>
      </c>
      <c r="DL20" s="493">
        <v>0</v>
      </c>
      <c r="DM20" s="493">
        <v>0</v>
      </c>
      <c r="DN20" s="493">
        <v>0</v>
      </c>
      <c r="DO20" s="493">
        <v>0</v>
      </c>
      <c r="DP20" s="493">
        <v>0</v>
      </c>
      <c r="DQ20" s="493">
        <v>0</v>
      </c>
      <c r="DR20" s="493">
        <v>0</v>
      </c>
      <c r="DS20" s="493">
        <v>0</v>
      </c>
      <c r="DT20" s="493">
        <v>0</v>
      </c>
      <c r="DU20" s="493">
        <v>0</v>
      </c>
      <c r="DV20" s="493">
        <v>0</v>
      </c>
      <c r="DW20" s="493">
        <v>0</v>
      </c>
      <c r="DX20" s="493">
        <v>0</v>
      </c>
      <c r="DY20" s="493">
        <v>0</v>
      </c>
      <c r="DZ20" s="493">
        <v>0</v>
      </c>
      <c r="EA20" s="493">
        <v>0</v>
      </c>
      <c r="EB20" s="493">
        <v>0</v>
      </c>
      <c r="EC20" s="493">
        <v>0</v>
      </c>
      <c r="ED20" s="493">
        <v>0</v>
      </c>
      <c r="EE20" s="493">
        <v>0</v>
      </c>
      <c r="EF20" s="493">
        <v>0</v>
      </c>
      <c r="EG20" s="493">
        <v>0</v>
      </c>
      <c r="EH20" s="493">
        <v>0</v>
      </c>
      <c r="EI20" s="493">
        <v>0</v>
      </c>
      <c r="EJ20" s="493">
        <v>0</v>
      </c>
      <c r="EK20" s="493">
        <v>0</v>
      </c>
      <c r="EL20" s="493">
        <v>0</v>
      </c>
      <c r="EM20" s="493">
        <v>0</v>
      </c>
      <c r="EN20" s="493">
        <v>0</v>
      </c>
      <c r="EO20" s="493">
        <v>0</v>
      </c>
      <c r="EP20" s="493">
        <v>0</v>
      </c>
      <c r="EQ20" s="493">
        <v>0</v>
      </c>
      <c r="ER20" s="493">
        <v>0</v>
      </c>
      <c r="ES20" s="493">
        <v>0</v>
      </c>
      <c r="ET20" s="493">
        <v>0</v>
      </c>
      <c r="EU20" s="493">
        <v>0</v>
      </c>
      <c r="EV20" s="493">
        <v>0</v>
      </c>
      <c r="EW20" s="493">
        <v>0</v>
      </c>
      <c r="EX20" s="493">
        <v>0</v>
      </c>
      <c r="EY20" s="493">
        <v>0</v>
      </c>
      <c r="EZ20" s="493">
        <v>0</v>
      </c>
      <c r="FA20" s="493">
        <v>0</v>
      </c>
      <c r="FB20" s="493">
        <v>0</v>
      </c>
      <c r="FC20" s="493">
        <v>0</v>
      </c>
      <c r="FD20" s="493">
        <v>0</v>
      </c>
      <c r="FE20" s="493">
        <v>0</v>
      </c>
      <c r="FF20" s="493">
        <v>0</v>
      </c>
      <c r="FG20" s="493">
        <v>0</v>
      </c>
      <c r="FH20" s="493">
        <v>0</v>
      </c>
      <c r="FI20" s="493">
        <v>0</v>
      </c>
      <c r="FJ20" s="45">
        <v>0</v>
      </c>
    </row>
    <row r="21" spans="1:166">
      <c r="A21" s="501" t="s">
        <v>1066</v>
      </c>
      <c r="B21" s="491" t="s">
        <v>1185</v>
      </c>
      <c r="C21" s="498" t="s">
        <v>1183</v>
      </c>
      <c r="D21" s="498" t="s">
        <v>14</v>
      </c>
      <c r="E21" s="498" t="s">
        <v>532</v>
      </c>
      <c r="F21" s="491" t="s">
        <v>245</v>
      </c>
      <c r="G21" s="491" t="s">
        <v>1181</v>
      </c>
      <c r="H21" s="499" t="s">
        <v>260</v>
      </c>
      <c r="I21" s="491">
        <v>0</v>
      </c>
      <c r="J21" s="491" t="s">
        <v>539</v>
      </c>
      <c r="K21" s="491">
        <v>0</v>
      </c>
      <c r="L21" s="491" t="s">
        <v>980</v>
      </c>
      <c r="M21" s="491">
        <v>2</v>
      </c>
      <c r="N21" s="491">
        <v>0</v>
      </c>
      <c r="O21" s="498">
        <v>10000000</v>
      </c>
      <c r="P21" s="495">
        <f t="shared" si="5"/>
        <v>20000000</v>
      </c>
      <c r="Q21" s="493">
        <v>0</v>
      </c>
      <c r="R21" s="493">
        <v>0</v>
      </c>
      <c r="S21" s="491">
        <v>0</v>
      </c>
      <c r="T21" s="497">
        <v>1</v>
      </c>
      <c r="U21" s="491">
        <v>0</v>
      </c>
      <c r="V21" s="493">
        <v>0</v>
      </c>
      <c r="W21" s="493">
        <v>0</v>
      </c>
      <c r="X21" s="493">
        <v>0</v>
      </c>
      <c r="Y21" s="493">
        <v>0</v>
      </c>
      <c r="Z21" s="493">
        <v>0</v>
      </c>
      <c r="AA21" s="493">
        <v>0</v>
      </c>
      <c r="AB21" s="493">
        <v>0</v>
      </c>
      <c r="AC21" s="493">
        <v>0</v>
      </c>
      <c r="AD21" s="493">
        <v>0</v>
      </c>
      <c r="AE21" s="493">
        <v>0</v>
      </c>
      <c r="AF21" s="493">
        <v>0</v>
      </c>
      <c r="AG21" s="493">
        <v>0</v>
      </c>
      <c r="AH21" s="493">
        <v>0</v>
      </c>
      <c r="AI21" s="493">
        <v>0</v>
      </c>
      <c r="AJ21" s="493">
        <v>0</v>
      </c>
      <c r="AK21" s="493">
        <v>0</v>
      </c>
      <c r="AL21" s="493">
        <v>0</v>
      </c>
      <c r="AM21" s="493">
        <v>0</v>
      </c>
      <c r="AN21" s="493">
        <v>0</v>
      </c>
      <c r="AO21" s="493">
        <v>0</v>
      </c>
      <c r="AP21" s="493">
        <v>0</v>
      </c>
      <c r="AQ21" s="493">
        <v>0</v>
      </c>
      <c r="AR21" s="493">
        <v>0</v>
      </c>
      <c r="AS21" s="493">
        <v>0</v>
      </c>
      <c r="AT21" s="493">
        <v>0</v>
      </c>
      <c r="AU21" s="493">
        <v>0</v>
      </c>
      <c r="AV21" s="493">
        <v>0</v>
      </c>
      <c r="AW21" s="493">
        <v>0</v>
      </c>
      <c r="AX21" s="493">
        <v>0</v>
      </c>
      <c r="AY21" s="493">
        <v>0</v>
      </c>
      <c r="AZ21" s="493">
        <v>0</v>
      </c>
      <c r="BA21" s="493">
        <v>0</v>
      </c>
      <c r="BB21" s="493">
        <v>0</v>
      </c>
      <c r="BC21" s="493">
        <v>0</v>
      </c>
      <c r="BD21" s="493">
        <v>0</v>
      </c>
      <c r="BE21" s="493">
        <v>0</v>
      </c>
      <c r="BF21" s="493">
        <v>0</v>
      </c>
      <c r="BG21" s="493">
        <v>0</v>
      </c>
      <c r="BH21" s="493">
        <v>0</v>
      </c>
      <c r="BI21" s="493">
        <v>0</v>
      </c>
      <c r="BJ21" s="493">
        <v>0</v>
      </c>
      <c r="BK21" s="493">
        <v>0</v>
      </c>
      <c r="BL21" s="493">
        <v>0</v>
      </c>
      <c r="BM21" s="493">
        <v>0</v>
      </c>
      <c r="BN21" s="493">
        <v>0</v>
      </c>
      <c r="BO21" s="493">
        <v>0</v>
      </c>
      <c r="BP21" s="493">
        <v>0</v>
      </c>
      <c r="BQ21" s="493">
        <v>0</v>
      </c>
      <c r="BR21" s="493">
        <v>0</v>
      </c>
      <c r="BS21" s="493">
        <v>0</v>
      </c>
      <c r="BT21" s="493">
        <v>0</v>
      </c>
      <c r="BU21" s="493">
        <v>0</v>
      </c>
      <c r="BV21" s="493">
        <v>0</v>
      </c>
      <c r="BW21" s="493">
        <v>0</v>
      </c>
      <c r="BX21" s="493">
        <v>0</v>
      </c>
      <c r="BY21" s="493">
        <v>0</v>
      </c>
      <c r="BZ21" s="493">
        <v>0</v>
      </c>
      <c r="CA21" s="493">
        <v>0</v>
      </c>
      <c r="CB21" s="493">
        <v>0</v>
      </c>
      <c r="CC21" s="493">
        <v>0</v>
      </c>
      <c r="CD21" s="493">
        <v>0</v>
      </c>
      <c r="CE21" s="493">
        <v>0</v>
      </c>
      <c r="CF21" s="493">
        <v>0</v>
      </c>
      <c r="CG21" s="493">
        <v>0</v>
      </c>
      <c r="CH21" s="493">
        <v>0</v>
      </c>
      <c r="CI21" s="493">
        <v>0</v>
      </c>
      <c r="CJ21" s="493">
        <v>0</v>
      </c>
      <c r="CK21" s="493">
        <v>0</v>
      </c>
      <c r="CL21" s="493">
        <v>0</v>
      </c>
      <c r="CM21" s="493">
        <v>0</v>
      </c>
      <c r="CN21" s="493">
        <v>0</v>
      </c>
      <c r="CO21" s="493">
        <v>0</v>
      </c>
      <c r="CP21" s="493">
        <v>0</v>
      </c>
      <c r="CQ21" s="493">
        <v>0</v>
      </c>
      <c r="CR21" s="493">
        <v>0</v>
      </c>
      <c r="CS21" s="493">
        <v>0</v>
      </c>
      <c r="CT21" s="493">
        <v>0</v>
      </c>
      <c r="CU21" s="493">
        <v>0</v>
      </c>
      <c r="CV21" s="493">
        <v>0</v>
      </c>
      <c r="CW21" s="493">
        <v>0</v>
      </c>
      <c r="CX21" s="493">
        <v>0</v>
      </c>
      <c r="CY21" s="493">
        <v>0</v>
      </c>
      <c r="CZ21" s="493">
        <v>0</v>
      </c>
      <c r="DA21" s="493">
        <v>0</v>
      </c>
      <c r="DB21" s="493">
        <v>0</v>
      </c>
      <c r="DC21" s="493">
        <v>0</v>
      </c>
      <c r="DD21" s="493">
        <v>0</v>
      </c>
      <c r="DE21" s="493">
        <v>0</v>
      </c>
      <c r="DF21" s="493">
        <v>0</v>
      </c>
      <c r="DG21" s="493">
        <v>0</v>
      </c>
      <c r="DH21" s="493">
        <v>0</v>
      </c>
      <c r="DI21" s="493">
        <v>0</v>
      </c>
      <c r="DJ21" s="493">
        <v>0</v>
      </c>
      <c r="DK21" s="493">
        <v>0</v>
      </c>
      <c r="DL21" s="493">
        <v>0</v>
      </c>
      <c r="DM21" s="493">
        <v>0</v>
      </c>
      <c r="DN21" s="493">
        <v>0</v>
      </c>
      <c r="DO21" s="493">
        <v>0</v>
      </c>
      <c r="DP21" s="493">
        <v>0</v>
      </c>
      <c r="DQ21" s="493">
        <v>0</v>
      </c>
      <c r="DR21" s="493">
        <v>0</v>
      </c>
      <c r="DS21" s="493">
        <v>0</v>
      </c>
      <c r="DT21" s="493">
        <v>0</v>
      </c>
      <c r="DU21" s="493">
        <v>0</v>
      </c>
      <c r="DV21" s="493">
        <v>0</v>
      </c>
      <c r="DW21" s="493">
        <v>0</v>
      </c>
      <c r="DX21" s="493">
        <v>0</v>
      </c>
      <c r="DY21" s="493">
        <v>0</v>
      </c>
      <c r="DZ21" s="493">
        <v>0</v>
      </c>
      <c r="EA21" s="493">
        <v>0</v>
      </c>
      <c r="EB21" s="493">
        <v>0</v>
      </c>
      <c r="EC21" s="493">
        <v>0</v>
      </c>
      <c r="ED21" s="493">
        <v>0</v>
      </c>
      <c r="EE21" s="493">
        <v>0</v>
      </c>
      <c r="EF21" s="493">
        <v>0</v>
      </c>
      <c r="EG21" s="493">
        <v>0</v>
      </c>
      <c r="EH21" s="493">
        <v>0</v>
      </c>
      <c r="EI21" s="493">
        <v>0</v>
      </c>
      <c r="EJ21" s="493">
        <v>0</v>
      </c>
      <c r="EK21" s="493">
        <v>0</v>
      </c>
      <c r="EL21" s="493">
        <v>0</v>
      </c>
      <c r="EM21" s="493">
        <v>0</v>
      </c>
      <c r="EN21" s="493">
        <v>0</v>
      </c>
      <c r="EO21" s="493">
        <v>0</v>
      </c>
      <c r="EP21" s="493">
        <v>0</v>
      </c>
      <c r="EQ21" s="493">
        <v>0</v>
      </c>
      <c r="ER21" s="493">
        <v>0</v>
      </c>
      <c r="ES21" s="493">
        <v>0</v>
      </c>
      <c r="ET21" s="493">
        <v>0</v>
      </c>
      <c r="EU21" s="493">
        <v>0</v>
      </c>
      <c r="EV21" s="493">
        <v>0</v>
      </c>
      <c r="EW21" s="493">
        <v>0</v>
      </c>
      <c r="EX21" s="493">
        <v>0</v>
      </c>
      <c r="EY21" s="493">
        <v>0</v>
      </c>
      <c r="EZ21" s="493">
        <v>0</v>
      </c>
      <c r="FA21" s="493">
        <v>0</v>
      </c>
      <c r="FB21" s="493">
        <v>0</v>
      </c>
      <c r="FC21" s="493">
        <v>0</v>
      </c>
      <c r="FD21" s="493">
        <v>0</v>
      </c>
      <c r="FE21" s="493">
        <v>0</v>
      </c>
      <c r="FF21" s="493">
        <v>0</v>
      </c>
      <c r="FG21" s="493">
        <v>0</v>
      </c>
      <c r="FH21" s="493">
        <v>0</v>
      </c>
      <c r="FI21" s="493">
        <v>0</v>
      </c>
      <c r="FJ21" s="45">
        <v>0</v>
      </c>
    </row>
    <row r="22" spans="1:166">
      <c r="A22" s="501" t="s">
        <v>1067</v>
      </c>
      <c r="B22" s="491" t="s">
        <v>1185</v>
      </c>
      <c r="C22" s="498" t="s">
        <v>1183</v>
      </c>
      <c r="D22" s="498" t="s">
        <v>14</v>
      </c>
      <c r="E22" s="498" t="s">
        <v>532</v>
      </c>
      <c r="F22" s="491" t="s">
        <v>245</v>
      </c>
      <c r="G22" s="491" t="s">
        <v>1182</v>
      </c>
      <c r="H22" s="499" t="s">
        <v>260</v>
      </c>
      <c r="I22" s="491">
        <v>0</v>
      </c>
      <c r="J22" s="491" t="s">
        <v>539</v>
      </c>
      <c r="K22" s="491">
        <v>0</v>
      </c>
      <c r="L22" s="491" t="s">
        <v>980</v>
      </c>
      <c r="M22" s="491">
        <v>2</v>
      </c>
      <c r="N22" s="491">
        <v>0</v>
      </c>
      <c r="O22" s="498">
        <v>10000000</v>
      </c>
      <c r="P22" s="495">
        <f t="shared" si="5"/>
        <v>20000000</v>
      </c>
      <c r="Q22" s="493">
        <v>0</v>
      </c>
      <c r="R22" s="493">
        <v>0</v>
      </c>
      <c r="S22" s="491">
        <v>0</v>
      </c>
      <c r="T22" s="497">
        <v>1</v>
      </c>
      <c r="U22" s="491">
        <v>0</v>
      </c>
      <c r="V22" s="493">
        <v>0</v>
      </c>
      <c r="W22" s="493">
        <v>0</v>
      </c>
      <c r="X22" s="493">
        <v>0</v>
      </c>
      <c r="Y22" s="493">
        <v>0</v>
      </c>
      <c r="Z22" s="493">
        <v>0</v>
      </c>
      <c r="AA22" s="493">
        <v>0</v>
      </c>
      <c r="AB22" s="493">
        <v>0</v>
      </c>
      <c r="AC22" s="493">
        <v>0</v>
      </c>
      <c r="AD22" s="493">
        <v>0</v>
      </c>
      <c r="AE22" s="493">
        <v>0</v>
      </c>
      <c r="AF22" s="493">
        <v>0</v>
      </c>
      <c r="AG22" s="493">
        <v>0</v>
      </c>
      <c r="AH22" s="493">
        <v>0</v>
      </c>
      <c r="AI22" s="493">
        <v>0</v>
      </c>
      <c r="AJ22" s="493">
        <v>0</v>
      </c>
      <c r="AK22" s="493">
        <v>0</v>
      </c>
      <c r="AL22" s="493">
        <v>0</v>
      </c>
      <c r="AM22" s="493">
        <v>0</v>
      </c>
      <c r="AN22" s="493">
        <v>0</v>
      </c>
      <c r="AO22" s="493">
        <v>0</v>
      </c>
      <c r="AP22" s="493">
        <v>0</v>
      </c>
      <c r="AQ22" s="493">
        <v>0</v>
      </c>
      <c r="AR22" s="493">
        <v>0</v>
      </c>
      <c r="AS22" s="493">
        <v>0</v>
      </c>
      <c r="AT22" s="493">
        <v>0</v>
      </c>
      <c r="AU22" s="493">
        <v>0</v>
      </c>
      <c r="AV22" s="493">
        <v>0</v>
      </c>
      <c r="AW22" s="493">
        <v>0</v>
      </c>
      <c r="AX22" s="493">
        <v>0</v>
      </c>
      <c r="AY22" s="493">
        <v>0</v>
      </c>
      <c r="AZ22" s="493">
        <v>0</v>
      </c>
      <c r="BA22" s="493">
        <v>0</v>
      </c>
      <c r="BB22" s="493">
        <v>0</v>
      </c>
      <c r="BC22" s="493">
        <v>0</v>
      </c>
      <c r="BD22" s="493">
        <v>0</v>
      </c>
      <c r="BE22" s="493">
        <v>0</v>
      </c>
      <c r="BF22" s="493">
        <v>0</v>
      </c>
      <c r="BG22" s="493">
        <v>0</v>
      </c>
      <c r="BH22" s="493">
        <v>0</v>
      </c>
      <c r="BI22" s="493">
        <v>0</v>
      </c>
      <c r="BJ22" s="493">
        <v>0</v>
      </c>
      <c r="BK22" s="493">
        <v>0</v>
      </c>
      <c r="BL22" s="493">
        <v>0</v>
      </c>
      <c r="BM22" s="493">
        <v>0</v>
      </c>
      <c r="BN22" s="493">
        <v>0</v>
      </c>
      <c r="BO22" s="493">
        <v>0</v>
      </c>
      <c r="BP22" s="493">
        <v>0</v>
      </c>
      <c r="BQ22" s="493">
        <v>0</v>
      </c>
      <c r="BR22" s="493">
        <v>0</v>
      </c>
      <c r="BS22" s="493">
        <v>0</v>
      </c>
      <c r="BT22" s="493">
        <v>0</v>
      </c>
      <c r="BU22" s="493">
        <v>0</v>
      </c>
      <c r="BV22" s="493">
        <v>0</v>
      </c>
      <c r="BW22" s="493">
        <v>0</v>
      </c>
      <c r="BX22" s="493">
        <v>0</v>
      </c>
      <c r="BY22" s="493">
        <v>0</v>
      </c>
      <c r="BZ22" s="493">
        <v>0</v>
      </c>
      <c r="CA22" s="493">
        <v>0</v>
      </c>
      <c r="CB22" s="493">
        <v>0</v>
      </c>
      <c r="CC22" s="493">
        <v>0</v>
      </c>
      <c r="CD22" s="493">
        <v>0</v>
      </c>
      <c r="CE22" s="493">
        <v>0</v>
      </c>
      <c r="CF22" s="493">
        <v>0</v>
      </c>
      <c r="CG22" s="493">
        <v>0</v>
      </c>
      <c r="CH22" s="493">
        <v>0</v>
      </c>
      <c r="CI22" s="493">
        <v>0</v>
      </c>
      <c r="CJ22" s="493">
        <v>0</v>
      </c>
      <c r="CK22" s="493">
        <v>0</v>
      </c>
      <c r="CL22" s="493">
        <v>0</v>
      </c>
      <c r="CM22" s="493">
        <v>0</v>
      </c>
      <c r="CN22" s="493">
        <v>0</v>
      </c>
      <c r="CO22" s="493">
        <v>0</v>
      </c>
      <c r="CP22" s="493">
        <v>0</v>
      </c>
      <c r="CQ22" s="493">
        <v>0</v>
      </c>
      <c r="CR22" s="493">
        <v>0</v>
      </c>
      <c r="CS22" s="493">
        <v>0</v>
      </c>
      <c r="CT22" s="493">
        <v>0</v>
      </c>
      <c r="CU22" s="493">
        <v>0</v>
      </c>
      <c r="CV22" s="493">
        <v>0</v>
      </c>
      <c r="CW22" s="493">
        <v>0</v>
      </c>
      <c r="CX22" s="493">
        <v>0</v>
      </c>
      <c r="CY22" s="493">
        <v>0</v>
      </c>
      <c r="CZ22" s="493">
        <v>0</v>
      </c>
      <c r="DA22" s="493">
        <v>0</v>
      </c>
      <c r="DB22" s="493">
        <v>0</v>
      </c>
      <c r="DC22" s="493">
        <v>0</v>
      </c>
      <c r="DD22" s="493">
        <v>0</v>
      </c>
      <c r="DE22" s="493">
        <v>0</v>
      </c>
      <c r="DF22" s="493">
        <v>0</v>
      </c>
      <c r="DG22" s="493">
        <v>0</v>
      </c>
      <c r="DH22" s="493">
        <v>0</v>
      </c>
      <c r="DI22" s="493">
        <v>0</v>
      </c>
      <c r="DJ22" s="493">
        <v>0</v>
      </c>
      <c r="DK22" s="493">
        <v>0</v>
      </c>
      <c r="DL22" s="493">
        <v>0</v>
      </c>
      <c r="DM22" s="493">
        <v>0</v>
      </c>
      <c r="DN22" s="493">
        <v>0</v>
      </c>
      <c r="DO22" s="493">
        <v>0</v>
      </c>
      <c r="DP22" s="493">
        <v>0</v>
      </c>
      <c r="DQ22" s="493">
        <v>0</v>
      </c>
      <c r="DR22" s="493">
        <v>0</v>
      </c>
      <c r="DS22" s="493">
        <v>0</v>
      </c>
      <c r="DT22" s="493">
        <v>0</v>
      </c>
      <c r="DU22" s="493">
        <v>0</v>
      </c>
      <c r="DV22" s="493">
        <v>0</v>
      </c>
      <c r="DW22" s="493">
        <v>0</v>
      </c>
      <c r="DX22" s="493">
        <v>0</v>
      </c>
      <c r="DY22" s="493">
        <v>0</v>
      </c>
      <c r="DZ22" s="493">
        <v>0</v>
      </c>
      <c r="EA22" s="493">
        <v>0</v>
      </c>
      <c r="EB22" s="493">
        <v>0</v>
      </c>
      <c r="EC22" s="493">
        <v>0</v>
      </c>
      <c r="ED22" s="493">
        <v>0</v>
      </c>
      <c r="EE22" s="493">
        <v>0</v>
      </c>
      <c r="EF22" s="493">
        <v>0</v>
      </c>
      <c r="EG22" s="493">
        <v>0</v>
      </c>
      <c r="EH22" s="493">
        <v>0</v>
      </c>
      <c r="EI22" s="493">
        <v>0</v>
      </c>
      <c r="EJ22" s="493">
        <v>0</v>
      </c>
      <c r="EK22" s="493">
        <v>0</v>
      </c>
      <c r="EL22" s="493">
        <v>0</v>
      </c>
      <c r="EM22" s="493">
        <v>0</v>
      </c>
      <c r="EN22" s="493">
        <v>0</v>
      </c>
      <c r="EO22" s="493">
        <v>0</v>
      </c>
      <c r="EP22" s="493">
        <v>0</v>
      </c>
      <c r="EQ22" s="493">
        <v>0</v>
      </c>
      <c r="ER22" s="493">
        <v>0</v>
      </c>
      <c r="ES22" s="493">
        <v>0</v>
      </c>
      <c r="ET22" s="493">
        <v>0</v>
      </c>
      <c r="EU22" s="493">
        <v>0</v>
      </c>
      <c r="EV22" s="493">
        <v>0</v>
      </c>
      <c r="EW22" s="493">
        <v>0</v>
      </c>
      <c r="EX22" s="493">
        <v>0</v>
      </c>
      <c r="EY22" s="493">
        <v>0</v>
      </c>
      <c r="EZ22" s="493">
        <v>0</v>
      </c>
      <c r="FA22" s="493">
        <v>0</v>
      </c>
      <c r="FB22" s="493">
        <v>0</v>
      </c>
      <c r="FC22" s="493">
        <v>0</v>
      </c>
      <c r="FD22" s="493">
        <v>0</v>
      </c>
      <c r="FE22" s="493">
        <v>0</v>
      </c>
      <c r="FF22" s="493">
        <v>0</v>
      </c>
      <c r="FG22" s="493">
        <v>0</v>
      </c>
      <c r="FH22" s="493">
        <v>0</v>
      </c>
      <c r="FI22" s="493">
        <v>0</v>
      </c>
      <c r="FJ22" s="45">
        <v>0</v>
      </c>
    </row>
    <row r="23" spans="1:166">
      <c r="A23" s="501" t="s">
        <v>1068</v>
      </c>
      <c r="B23" s="491" t="s">
        <v>1185</v>
      </c>
      <c r="C23" s="498" t="s">
        <v>1183</v>
      </c>
      <c r="D23" s="498" t="s">
        <v>152</v>
      </c>
      <c r="E23" s="498" t="s">
        <v>153</v>
      </c>
      <c r="F23" s="491" t="s">
        <v>1462</v>
      </c>
      <c r="G23" s="491" t="s">
        <v>1463</v>
      </c>
      <c r="H23" s="499">
        <v>0</v>
      </c>
      <c r="I23" s="491">
        <v>0</v>
      </c>
      <c r="J23" s="491" t="s">
        <v>539</v>
      </c>
      <c r="K23" s="491">
        <v>0</v>
      </c>
      <c r="L23" s="491" t="s">
        <v>852</v>
      </c>
      <c r="M23" s="491">
        <v>32</v>
      </c>
      <c r="N23" s="491">
        <v>0</v>
      </c>
      <c r="O23" s="491">
        <v>0</v>
      </c>
      <c r="P23" s="495">
        <v>0</v>
      </c>
      <c r="Q23" s="493">
        <v>5</v>
      </c>
      <c r="R23" s="493">
        <v>32</v>
      </c>
      <c r="S23" s="491">
        <v>0.375</v>
      </c>
      <c r="T23" s="497">
        <v>1</v>
      </c>
      <c r="U23" s="491">
        <v>0</v>
      </c>
      <c r="V23" s="493">
        <v>4500000</v>
      </c>
      <c r="W23" s="493">
        <v>144000000</v>
      </c>
      <c r="X23" s="493">
        <v>31500000</v>
      </c>
      <c r="Y23" s="493">
        <v>54000000</v>
      </c>
      <c r="Z23" s="493">
        <v>54000000</v>
      </c>
      <c r="AA23" s="493">
        <v>4500000</v>
      </c>
      <c r="AB23" s="493">
        <v>0</v>
      </c>
      <c r="AC23" s="493">
        <v>0</v>
      </c>
      <c r="AD23" s="493">
        <v>0</v>
      </c>
      <c r="AE23" s="493">
        <v>0</v>
      </c>
      <c r="AF23" s="493">
        <v>0</v>
      </c>
      <c r="AG23" s="493">
        <v>0</v>
      </c>
      <c r="AH23" s="493">
        <v>0</v>
      </c>
      <c r="AI23" s="500">
        <v>0</v>
      </c>
      <c r="AJ23" s="500">
        <v>0</v>
      </c>
      <c r="AK23" s="500">
        <v>0</v>
      </c>
      <c r="AL23" s="500">
        <v>0</v>
      </c>
      <c r="AM23" s="500">
        <v>0</v>
      </c>
      <c r="AN23" s="493">
        <v>4500000</v>
      </c>
      <c r="AO23" s="493">
        <v>4500000</v>
      </c>
      <c r="AP23" s="493">
        <v>4500000</v>
      </c>
      <c r="AQ23" s="493">
        <v>4500000</v>
      </c>
      <c r="AR23" s="493">
        <v>4500000</v>
      </c>
      <c r="AS23" s="493">
        <v>4500000</v>
      </c>
      <c r="AT23" s="493">
        <v>4500000</v>
      </c>
      <c r="AU23" s="493">
        <v>4500000</v>
      </c>
      <c r="AV23" s="493">
        <v>4500000</v>
      </c>
      <c r="AW23" s="493">
        <v>4500000</v>
      </c>
      <c r="AX23" s="493">
        <v>4500000</v>
      </c>
      <c r="AY23" s="493">
        <v>4500000</v>
      </c>
      <c r="AZ23" s="493">
        <v>4500000</v>
      </c>
      <c r="BA23" s="493">
        <v>4500000</v>
      </c>
      <c r="BB23" s="493">
        <v>4500000</v>
      </c>
      <c r="BC23" s="493">
        <v>4500000</v>
      </c>
      <c r="BD23" s="493">
        <v>4500000</v>
      </c>
      <c r="BE23" s="493">
        <v>4500000</v>
      </c>
      <c r="BF23" s="493">
        <v>4500000</v>
      </c>
      <c r="BG23" s="493">
        <v>4500000</v>
      </c>
      <c r="BH23" s="493">
        <v>4500000</v>
      </c>
      <c r="BI23" s="493">
        <v>4500000</v>
      </c>
      <c r="BJ23" s="493">
        <v>4500000</v>
      </c>
      <c r="BK23" s="493">
        <v>4500000</v>
      </c>
      <c r="BL23" s="493">
        <v>4500000</v>
      </c>
      <c r="BM23" s="493">
        <v>4500000</v>
      </c>
      <c r="BN23" s="493">
        <v>4500000</v>
      </c>
      <c r="BO23" s="493">
        <v>4500000</v>
      </c>
      <c r="BP23" s="493">
        <v>4500000</v>
      </c>
      <c r="BQ23" s="493">
        <v>4500000</v>
      </c>
      <c r="BR23" s="493">
        <v>4500000</v>
      </c>
      <c r="BS23" s="493">
        <v>4500000</v>
      </c>
      <c r="BT23" s="493">
        <v>0</v>
      </c>
      <c r="BU23" s="493">
        <v>0</v>
      </c>
      <c r="BV23" s="493">
        <v>0</v>
      </c>
      <c r="BW23" s="493">
        <v>0</v>
      </c>
      <c r="BX23" s="493">
        <v>0</v>
      </c>
      <c r="BY23" s="493">
        <v>0</v>
      </c>
      <c r="BZ23" s="493">
        <v>0</v>
      </c>
      <c r="CA23" s="493">
        <v>0</v>
      </c>
      <c r="CB23" s="493">
        <v>0</v>
      </c>
      <c r="CC23" s="493">
        <v>0</v>
      </c>
      <c r="CD23" s="493">
        <v>0</v>
      </c>
      <c r="CE23" s="493">
        <v>0</v>
      </c>
      <c r="CF23" s="493">
        <v>0</v>
      </c>
      <c r="CG23" s="493">
        <v>0</v>
      </c>
      <c r="CH23" s="493">
        <v>0</v>
      </c>
      <c r="CI23" s="493">
        <v>0</v>
      </c>
      <c r="CJ23" s="493">
        <v>0</v>
      </c>
      <c r="CK23" s="493">
        <v>0</v>
      </c>
      <c r="CL23" s="493">
        <v>0</v>
      </c>
      <c r="CM23" s="493">
        <v>0</v>
      </c>
      <c r="CN23" s="493">
        <v>0</v>
      </c>
      <c r="CO23" s="493">
        <v>0</v>
      </c>
      <c r="CP23" s="493">
        <v>0</v>
      </c>
      <c r="CQ23" s="493">
        <v>0</v>
      </c>
      <c r="CR23" s="493">
        <v>0</v>
      </c>
      <c r="CS23" s="493">
        <v>0</v>
      </c>
      <c r="CT23" s="493">
        <v>0</v>
      </c>
      <c r="CU23" s="493">
        <v>0</v>
      </c>
      <c r="CV23" s="493">
        <v>0</v>
      </c>
      <c r="CW23" s="493">
        <v>0</v>
      </c>
      <c r="CX23" s="493">
        <v>0</v>
      </c>
      <c r="CY23" s="493">
        <v>0</v>
      </c>
      <c r="CZ23" s="493">
        <v>0</v>
      </c>
      <c r="DA23" s="493">
        <v>0</v>
      </c>
      <c r="DB23" s="493">
        <v>0</v>
      </c>
      <c r="DC23" s="493">
        <v>0</v>
      </c>
      <c r="DD23" s="493">
        <v>0</v>
      </c>
      <c r="DE23" s="493">
        <v>0</v>
      </c>
      <c r="DF23" s="493">
        <v>0</v>
      </c>
      <c r="DG23" s="493">
        <v>0</v>
      </c>
      <c r="DH23" s="493">
        <v>0</v>
      </c>
      <c r="DI23" s="493">
        <v>0</v>
      </c>
      <c r="DJ23" s="493">
        <v>0</v>
      </c>
      <c r="DK23" s="493">
        <v>0</v>
      </c>
      <c r="DL23" s="493">
        <v>0</v>
      </c>
      <c r="DM23" s="493">
        <v>0</v>
      </c>
      <c r="DN23" s="493">
        <v>0</v>
      </c>
      <c r="DO23" s="493">
        <v>0</v>
      </c>
      <c r="DP23" s="493">
        <v>0</v>
      </c>
      <c r="DQ23" s="493">
        <v>0</v>
      </c>
      <c r="DR23" s="493">
        <v>0</v>
      </c>
      <c r="DS23" s="493">
        <v>0</v>
      </c>
      <c r="DT23" s="493">
        <v>0</v>
      </c>
      <c r="DU23" s="493">
        <v>0</v>
      </c>
      <c r="DV23" s="493">
        <v>0</v>
      </c>
      <c r="DW23" s="493">
        <v>0</v>
      </c>
      <c r="DX23" s="493">
        <v>0</v>
      </c>
      <c r="DY23" s="493">
        <v>0</v>
      </c>
      <c r="DZ23" s="493">
        <v>0</v>
      </c>
      <c r="EA23" s="493">
        <v>0</v>
      </c>
      <c r="EB23" s="493">
        <v>0</v>
      </c>
      <c r="EC23" s="493">
        <v>0</v>
      </c>
      <c r="ED23" s="493">
        <v>0</v>
      </c>
      <c r="EE23" s="493">
        <v>0</v>
      </c>
      <c r="EF23" s="493">
        <v>0</v>
      </c>
      <c r="EG23" s="493">
        <v>0</v>
      </c>
      <c r="EH23" s="493">
        <v>0</v>
      </c>
      <c r="EI23" s="493">
        <v>0</v>
      </c>
      <c r="EJ23" s="493">
        <v>0</v>
      </c>
      <c r="EK23" s="493">
        <v>0</v>
      </c>
      <c r="EL23" s="493">
        <v>0</v>
      </c>
      <c r="EM23" s="493">
        <v>0</v>
      </c>
      <c r="EN23" s="493">
        <v>0</v>
      </c>
      <c r="EO23" s="493">
        <v>0</v>
      </c>
      <c r="EP23" s="493">
        <v>0</v>
      </c>
      <c r="EQ23" s="493">
        <v>0</v>
      </c>
      <c r="ER23" s="493">
        <v>0</v>
      </c>
      <c r="ES23" s="493">
        <v>0</v>
      </c>
      <c r="ET23" s="493">
        <v>0</v>
      </c>
      <c r="EU23" s="493">
        <v>0</v>
      </c>
      <c r="EV23" s="493">
        <v>0</v>
      </c>
      <c r="EW23" s="493">
        <v>0</v>
      </c>
      <c r="EX23" s="493">
        <v>0</v>
      </c>
      <c r="EY23" s="493">
        <v>0</v>
      </c>
      <c r="EZ23" s="493">
        <v>0</v>
      </c>
      <c r="FA23" s="493">
        <v>0</v>
      </c>
      <c r="FB23" s="493">
        <v>0</v>
      </c>
      <c r="FC23" s="493">
        <v>0</v>
      </c>
      <c r="FD23" s="493">
        <v>0</v>
      </c>
      <c r="FE23" s="493">
        <v>0</v>
      </c>
      <c r="FF23" s="493">
        <v>0</v>
      </c>
      <c r="FG23" s="493">
        <v>0</v>
      </c>
      <c r="FH23" s="493">
        <v>0</v>
      </c>
      <c r="FI23" s="493">
        <v>0</v>
      </c>
      <c r="FJ23" s="45">
        <v>0</v>
      </c>
    </row>
    <row r="24" spans="1:166">
      <c r="A24" s="501" t="s">
        <v>1069</v>
      </c>
      <c r="B24" s="491" t="s">
        <v>1185</v>
      </c>
      <c r="C24" s="498" t="s">
        <v>1183</v>
      </c>
      <c r="D24" s="498" t="s">
        <v>14</v>
      </c>
      <c r="E24" s="498" t="s">
        <v>979</v>
      </c>
      <c r="F24" s="491" t="s">
        <v>1464</v>
      </c>
      <c r="G24" s="491" t="s">
        <v>689</v>
      </c>
      <c r="H24" s="499" t="s">
        <v>1465</v>
      </c>
      <c r="I24" s="491" t="s">
        <v>1466</v>
      </c>
      <c r="J24" s="491" t="s">
        <v>1084</v>
      </c>
      <c r="K24" s="491">
        <v>0</v>
      </c>
      <c r="L24" s="491" t="s">
        <v>734</v>
      </c>
      <c r="M24" s="491">
        <v>2</v>
      </c>
      <c r="N24" s="491">
        <v>0</v>
      </c>
      <c r="O24" s="498">
        <v>4674140</v>
      </c>
      <c r="P24" s="495">
        <f t="shared" si="5"/>
        <v>9348280</v>
      </c>
      <c r="Q24" s="493">
        <v>36</v>
      </c>
      <c r="R24" s="493">
        <v>84</v>
      </c>
      <c r="S24" s="491">
        <v>0.04</v>
      </c>
      <c r="T24" s="497">
        <v>1</v>
      </c>
      <c r="U24" s="491">
        <v>0</v>
      </c>
      <c r="V24" s="493">
        <v>31160.933333333334</v>
      </c>
      <c r="W24" s="493">
        <v>2617518.4000000008</v>
      </c>
      <c r="X24" s="493">
        <v>0</v>
      </c>
      <c r="Y24" s="493">
        <v>0</v>
      </c>
      <c r="Z24" s="493">
        <v>0</v>
      </c>
      <c r="AA24" s="493">
        <v>373931.20000000013</v>
      </c>
      <c r="AB24" s="493">
        <v>373931.20000000013</v>
      </c>
      <c r="AC24" s="493">
        <v>373931.20000000013</v>
      </c>
      <c r="AD24" s="493">
        <v>373931.20000000013</v>
      </c>
      <c r="AE24" s="493">
        <v>373931.20000000013</v>
      </c>
      <c r="AF24" s="493">
        <v>373931.20000000013</v>
      </c>
      <c r="AG24" s="493">
        <v>373931.20000000013</v>
      </c>
      <c r="AH24" s="493">
        <v>0</v>
      </c>
      <c r="AI24" s="500">
        <v>0</v>
      </c>
      <c r="AJ24" s="500">
        <v>0</v>
      </c>
      <c r="AK24" s="500">
        <v>0</v>
      </c>
      <c r="AL24" s="500">
        <v>0</v>
      </c>
      <c r="AM24" s="500">
        <v>0</v>
      </c>
      <c r="AN24" s="500">
        <v>0</v>
      </c>
      <c r="AO24" s="500">
        <v>0</v>
      </c>
      <c r="AP24" s="500">
        <v>0</v>
      </c>
      <c r="AQ24" s="500">
        <v>0</v>
      </c>
      <c r="AR24" s="500">
        <v>0</v>
      </c>
      <c r="AS24" s="500">
        <v>0</v>
      </c>
      <c r="AT24" s="500">
        <v>0</v>
      </c>
      <c r="AU24" s="500">
        <v>0</v>
      </c>
      <c r="AV24" s="500">
        <v>0</v>
      </c>
      <c r="AW24" s="500">
        <v>0</v>
      </c>
      <c r="AX24" s="500">
        <v>0</v>
      </c>
      <c r="AY24" s="500">
        <v>0</v>
      </c>
      <c r="AZ24" s="500">
        <v>0</v>
      </c>
      <c r="BA24" s="500">
        <v>0</v>
      </c>
      <c r="BB24" s="500">
        <v>0</v>
      </c>
      <c r="BC24" s="500">
        <v>0</v>
      </c>
      <c r="BD24" s="500">
        <v>0</v>
      </c>
      <c r="BE24" s="500">
        <v>0</v>
      </c>
      <c r="BF24" s="500">
        <v>0</v>
      </c>
      <c r="BG24" s="500">
        <v>0</v>
      </c>
      <c r="BH24" s="500">
        <v>0</v>
      </c>
      <c r="BI24" s="500">
        <v>0</v>
      </c>
      <c r="BJ24" s="500">
        <v>0</v>
      </c>
      <c r="BK24" s="500">
        <v>0</v>
      </c>
      <c r="BL24" s="500">
        <v>0</v>
      </c>
      <c r="BM24" s="500">
        <v>0</v>
      </c>
      <c r="BN24" s="500">
        <v>0</v>
      </c>
      <c r="BO24" s="500">
        <v>0</v>
      </c>
      <c r="BP24" s="500">
        <v>0</v>
      </c>
      <c r="BQ24" s="500">
        <v>0</v>
      </c>
      <c r="BR24" s="500">
        <v>0</v>
      </c>
      <c r="BS24" s="493">
        <v>31160.933333333334</v>
      </c>
      <c r="BT24" s="493">
        <v>31160.933333333334</v>
      </c>
      <c r="BU24" s="493">
        <v>31160.933333333334</v>
      </c>
      <c r="BV24" s="493">
        <v>31160.933333333334</v>
      </c>
      <c r="BW24" s="493">
        <v>31160.933333333334</v>
      </c>
      <c r="BX24" s="493">
        <v>31160.933333333334</v>
      </c>
      <c r="BY24" s="493">
        <v>31160.933333333334</v>
      </c>
      <c r="BZ24" s="493">
        <v>31160.933333333334</v>
      </c>
      <c r="CA24" s="493">
        <v>31160.933333333334</v>
      </c>
      <c r="CB24" s="493">
        <v>31160.933333333334</v>
      </c>
      <c r="CC24" s="493">
        <v>31160.933333333334</v>
      </c>
      <c r="CD24" s="493">
        <v>31160.933333333334</v>
      </c>
      <c r="CE24" s="493">
        <v>31160.933333333334</v>
      </c>
      <c r="CF24" s="493">
        <v>31160.933333333334</v>
      </c>
      <c r="CG24" s="493">
        <v>31160.933333333334</v>
      </c>
      <c r="CH24" s="493">
        <v>31160.933333333334</v>
      </c>
      <c r="CI24" s="493">
        <v>31160.933333333334</v>
      </c>
      <c r="CJ24" s="493">
        <v>31160.933333333334</v>
      </c>
      <c r="CK24" s="493">
        <v>31160.933333333334</v>
      </c>
      <c r="CL24" s="493">
        <v>31160.933333333334</v>
      </c>
      <c r="CM24" s="493">
        <v>31160.933333333334</v>
      </c>
      <c r="CN24" s="493">
        <v>31160.933333333334</v>
      </c>
      <c r="CO24" s="493">
        <v>31160.933333333334</v>
      </c>
      <c r="CP24" s="493">
        <v>31160.933333333334</v>
      </c>
      <c r="CQ24" s="493">
        <v>31160.933333333334</v>
      </c>
      <c r="CR24" s="493">
        <v>31160.933333333334</v>
      </c>
      <c r="CS24" s="493">
        <v>31160.933333333334</v>
      </c>
      <c r="CT24" s="493">
        <v>31160.933333333334</v>
      </c>
      <c r="CU24" s="493">
        <v>31160.933333333334</v>
      </c>
      <c r="CV24" s="493">
        <v>31160.933333333334</v>
      </c>
      <c r="CW24" s="493">
        <v>31160.933333333334</v>
      </c>
      <c r="CX24" s="493">
        <v>31160.933333333334</v>
      </c>
      <c r="CY24" s="493">
        <v>31160.933333333334</v>
      </c>
      <c r="CZ24" s="493">
        <v>31160.933333333334</v>
      </c>
      <c r="DA24" s="493">
        <v>31160.933333333334</v>
      </c>
      <c r="DB24" s="493">
        <v>31160.933333333334</v>
      </c>
      <c r="DC24" s="493">
        <v>31160.933333333334</v>
      </c>
      <c r="DD24" s="493">
        <v>31160.933333333334</v>
      </c>
      <c r="DE24" s="493">
        <v>31160.933333333334</v>
      </c>
      <c r="DF24" s="493">
        <v>31160.933333333334</v>
      </c>
      <c r="DG24" s="493">
        <v>31160.933333333334</v>
      </c>
      <c r="DH24" s="493">
        <v>31160.933333333334</v>
      </c>
      <c r="DI24" s="493">
        <v>31160.933333333334</v>
      </c>
      <c r="DJ24" s="493">
        <v>31160.933333333334</v>
      </c>
      <c r="DK24" s="493">
        <v>31160.933333333334</v>
      </c>
      <c r="DL24" s="493">
        <v>31160.933333333334</v>
      </c>
      <c r="DM24" s="493">
        <v>31160.933333333334</v>
      </c>
      <c r="DN24" s="493">
        <v>31160.933333333334</v>
      </c>
      <c r="DO24" s="493">
        <v>31160.933333333334</v>
      </c>
      <c r="DP24" s="493">
        <v>31160.933333333334</v>
      </c>
      <c r="DQ24" s="493">
        <v>31160.933333333334</v>
      </c>
      <c r="DR24" s="493">
        <v>31160.933333333334</v>
      </c>
      <c r="DS24" s="493">
        <v>31160.933333333334</v>
      </c>
      <c r="DT24" s="493">
        <v>31160.933333333334</v>
      </c>
      <c r="DU24" s="493">
        <v>31160.933333333334</v>
      </c>
      <c r="DV24" s="493">
        <v>31160.933333333334</v>
      </c>
      <c r="DW24" s="493">
        <v>31160.933333333334</v>
      </c>
      <c r="DX24" s="493">
        <v>31160.933333333334</v>
      </c>
      <c r="DY24" s="493">
        <v>31160.933333333334</v>
      </c>
      <c r="DZ24" s="493">
        <v>31160.933333333334</v>
      </c>
      <c r="EA24" s="493">
        <v>31160.933333333334</v>
      </c>
      <c r="EB24" s="493">
        <v>31160.933333333334</v>
      </c>
      <c r="EC24" s="493">
        <v>31160.933333333334</v>
      </c>
      <c r="ED24" s="493">
        <v>31160.933333333334</v>
      </c>
      <c r="EE24" s="493">
        <v>31160.933333333334</v>
      </c>
      <c r="EF24" s="493">
        <v>31160.933333333334</v>
      </c>
      <c r="EG24" s="493">
        <v>31160.933333333334</v>
      </c>
      <c r="EH24" s="493">
        <v>31160.933333333334</v>
      </c>
      <c r="EI24" s="493">
        <v>31160.933333333334</v>
      </c>
      <c r="EJ24" s="493">
        <v>31160.933333333334</v>
      </c>
      <c r="EK24" s="493">
        <v>31160.933333333334</v>
      </c>
      <c r="EL24" s="493">
        <v>31160.933333333334</v>
      </c>
      <c r="EM24" s="493">
        <v>31160.933333333334</v>
      </c>
      <c r="EN24" s="493">
        <v>31160.933333333334</v>
      </c>
      <c r="EO24" s="493">
        <v>31160.933333333334</v>
      </c>
      <c r="EP24" s="493">
        <v>31160.933333333334</v>
      </c>
      <c r="EQ24" s="493">
        <v>31160.933333333334</v>
      </c>
      <c r="ER24" s="493">
        <v>31160.933333333334</v>
      </c>
      <c r="ES24" s="493">
        <v>31160.933333333334</v>
      </c>
      <c r="ET24" s="493">
        <v>31160.933333333334</v>
      </c>
      <c r="EU24" s="493">
        <v>31160.933333333334</v>
      </c>
      <c r="EV24" s="493">
        <v>31160.933333333334</v>
      </c>
      <c r="EW24" s="493">
        <v>31160.933333333334</v>
      </c>
      <c r="EX24" s="493">
        <v>31160.933333333334</v>
      </c>
      <c r="EY24" s="493">
        <v>0</v>
      </c>
      <c r="EZ24" s="493">
        <v>0</v>
      </c>
      <c r="FA24" s="493">
        <v>0</v>
      </c>
      <c r="FB24" s="493">
        <v>0</v>
      </c>
      <c r="FC24" s="493">
        <v>0</v>
      </c>
      <c r="FD24" s="493">
        <v>0</v>
      </c>
      <c r="FE24" s="493">
        <v>0</v>
      </c>
      <c r="FF24" s="493">
        <v>0</v>
      </c>
      <c r="FG24" s="493">
        <v>0</v>
      </c>
      <c r="FH24" s="493">
        <v>0</v>
      </c>
      <c r="FI24" s="493">
        <v>0</v>
      </c>
      <c r="FJ24" s="45">
        <v>0</v>
      </c>
    </row>
    <row r="25" spans="1:166">
      <c r="A25" s="501" t="s">
        <v>1070</v>
      </c>
      <c r="B25" s="491" t="s">
        <v>1185</v>
      </c>
      <c r="C25" s="498" t="s">
        <v>1183</v>
      </c>
      <c r="D25" s="498" t="s">
        <v>14</v>
      </c>
      <c r="E25" s="498" t="s">
        <v>979</v>
      </c>
      <c r="F25" s="491" t="s">
        <v>1467</v>
      </c>
      <c r="G25" s="491" t="s">
        <v>689</v>
      </c>
      <c r="H25" s="499" t="s">
        <v>1465</v>
      </c>
      <c r="I25" s="491" t="s">
        <v>1466</v>
      </c>
      <c r="J25" s="491" t="s">
        <v>1084</v>
      </c>
      <c r="K25" s="491">
        <v>0</v>
      </c>
      <c r="L25" s="491" t="s">
        <v>734</v>
      </c>
      <c r="M25" s="491">
        <v>2</v>
      </c>
      <c r="N25" s="491">
        <v>0</v>
      </c>
      <c r="O25" s="498">
        <v>4674140</v>
      </c>
      <c r="P25" s="495">
        <f t="shared" si="5"/>
        <v>9348280</v>
      </c>
      <c r="Q25" s="493">
        <v>36</v>
      </c>
      <c r="R25" s="493">
        <v>84</v>
      </c>
      <c r="S25" s="491">
        <v>0.04</v>
      </c>
      <c r="T25" s="497">
        <v>1</v>
      </c>
      <c r="U25" s="491">
        <v>0</v>
      </c>
      <c r="V25" s="493">
        <v>31160.933333333334</v>
      </c>
      <c r="W25" s="493">
        <v>2617518.4000000008</v>
      </c>
      <c r="X25" s="493">
        <v>0</v>
      </c>
      <c r="Y25" s="493">
        <v>0</v>
      </c>
      <c r="Z25" s="493">
        <v>0</v>
      </c>
      <c r="AA25" s="493">
        <v>373931.20000000013</v>
      </c>
      <c r="AB25" s="493">
        <v>373931.20000000013</v>
      </c>
      <c r="AC25" s="493">
        <v>373931.20000000013</v>
      </c>
      <c r="AD25" s="493">
        <v>373931.20000000013</v>
      </c>
      <c r="AE25" s="493">
        <v>373931.20000000013</v>
      </c>
      <c r="AF25" s="493">
        <v>373931.20000000013</v>
      </c>
      <c r="AG25" s="493">
        <v>373931.20000000013</v>
      </c>
      <c r="AH25" s="493">
        <v>0</v>
      </c>
      <c r="AI25" s="500">
        <v>0</v>
      </c>
      <c r="AJ25" s="500">
        <v>0</v>
      </c>
      <c r="AK25" s="500">
        <v>0</v>
      </c>
      <c r="AL25" s="500">
        <v>0</v>
      </c>
      <c r="AM25" s="500">
        <v>0</v>
      </c>
      <c r="AN25" s="500">
        <v>0</v>
      </c>
      <c r="AO25" s="500">
        <v>0</v>
      </c>
      <c r="AP25" s="500">
        <v>0</v>
      </c>
      <c r="AQ25" s="500">
        <v>0</v>
      </c>
      <c r="AR25" s="500">
        <v>0</v>
      </c>
      <c r="AS25" s="500">
        <v>0</v>
      </c>
      <c r="AT25" s="500">
        <v>0</v>
      </c>
      <c r="AU25" s="500">
        <v>0</v>
      </c>
      <c r="AV25" s="500">
        <v>0</v>
      </c>
      <c r="AW25" s="500">
        <v>0</v>
      </c>
      <c r="AX25" s="500">
        <v>0</v>
      </c>
      <c r="AY25" s="500">
        <v>0</v>
      </c>
      <c r="AZ25" s="500">
        <v>0</v>
      </c>
      <c r="BA25" s="500">
        <v>0</v>
      </c>
      <c r="BB25" s="500">
        <v>0</v>
      </c>
      <c r="BC25" s="500">
        <v>0</v>
      </c>
      <c r="BD25" s="500">
        <v>0</v>
      </c>
      <c r="BE25" s="500">
        <v>0</v>
      </c>
      <c r="BF25" s="500">
        <v>0</v>
      </c>
      <c r="BG25" s="500">
        <v>0</v>
      </c>
      <c r="BH25" s="500">
        <v>0</v>
      </c>
      <c r="BI25" s="500">
        <v>0</v>
      </c>
      <c r="BJ25" s="500">
        <v>0</v>
      </c>
      <c r="BK25" s="500">
        <v>0</v>
      </c>
      <c r="BL25" s="500">
        <v>0</v>
      </c>
      <c r="BM25" s="500">
        <v>0</v>
      </c>
      <c r="BN25" s="500">
        <v>0</v>
      </c>
      <c r="BO25" s="500">
        <v>0</v>
      </c>
      <c r="BP25" s="500">
        <v>0</v>
      </c>
      <c r="BQ25" s="500">
        <v>0</v>
      </c>
      <c r="BR25" s="500">
        <v>0</v>
      </c>
      <c r="BS25" s="493">
        <v>31160.933333333334</v>
      </c>
      <c r="BT25" s="493">
        <v>31160.933333333334</v>
      </c>
      <c r="BU25" s="493">
        <v>31160.933333333334</v>
      </c>
      <c r="BV25" s="493">
        <v>31160.933333333334</v>
      </c>
      <c r="BW25" s="493">
        <v>31160.933333333334</v>
      </c>
      <c r="BX25" s="493">
        <v>31160.933333333334</v>
      </c>
      <c r="BY25" s="493">
        <v>31160.933333333334</v>
      </c>
      <c r="BZ25" s="493">
        <v>31160.933333333334</v>
      </c>
      <c r="CA25" s="493">
        <v>31160.933333333334</v>
      </c>
      <c r="CB25" s="493">
        <v>31160.933333333334</v>
      </c>
      <c r="CC25" s="493">
        <v>31160.933333333334</v>
      </c>
      <c r="CD25" s="493">
        <v>31160.933333333334</v>
      </c>
      <c r="CE25" s="493">
        <v>31160.933333333334</v>
      </c>
      <c r="CF25" s="493">
        <v>31160.933333333334</v>
      </c>
      <c r="CG25" s="493">
        <v>31160.933333333334</v>
      </c>
      <c r="CH25" s="493">
        <v>31160.933333333334</v>
      </c>
      <c r="CI25" s="493">
        <v>31160.933333333334</v>
      </c>
      <c r="CJ25" s="493">
        <v>31160.933333333334</v>
      </c>
      <c r="CK25" s="493">
        <v>31160.933333333334</v>
      </c>
      <c r="CL25" s="493">
        <v>31160.933333333334</v>
      </c>
      <c r="CM25" s="493">
        <v>31160.933333333334</v>
      </c>
      <c r="CN25" s="493">
        <v>31160.933333333334</v>
      </c>
      <c r="CO25" s="493">
        <v>31160.933333333334</v>
      </c>
      <c r="CP25" s="493">
        <v>31160.933333333334</v>
      </c>
      <c r="CQ25" s="493">
        <v>31160.933333333334</v>
      </c>
      <c r="CR25" s="493">
        <v>31160.933333333334</v>
      </c>
      <c r="CS25" s="493">
        <v>31160.933333333334</v>
      </c>
      <c r="CT25" s="493">
        <v>31160.933333333334</v>
      </c>
      <c r="CU25" s="493">
        <v>31160.933333333334</v>
      </c>
      <c r="CV25" s="493">
        <v>31160.933333333334</v>
      </c>
      <c r="CW25" s="493">
        <v>31160.933333333334</v>
      </c>
      <c r="CX25" s="493">
        <v>31160.933333333334</v>
      </c>
      <c r="CY25" s="493">
        <v>31160.933333333334</v>
      </c>
      <c r="CZ25" s="493">
        <v>31160.933333333334</v>
      </c>
      <c r="DA25" s="493">
        <v>31160.933333333334</v>
      </c>
      <c r="DB25" s="493">
        <v>31160.933333333334</v>
      </c>
      <c r="DC25" s="493">
        <v>31160.933333333334</v>
      </c>
      <c r="DD25" s="493">
        <v>31160.933333333334</v>
      </c>
      <c r="DE25" s="493">
        <v>31160.933333333334</v>
      </c>
      <c r="DF25" s="493">
        <v>31160.933333333334</v>
      </c>
      <c r="DG25" s="493">
        <v>31160.933333333334</v>
      </c>
      <c r="DH25" s="493">
        <v>31160.933333333334</v>
      </c>
      <c r="DI25" s="493">
        <v>31160.933333333334</v>
      </c>
      <c r="DJ25" s="493">
        <v>31160.933333333334</v>
      </c>
      <c r="DK25" s="493">
        <v>31160.933333333334</v>
      </c>
      <c r="DL25" s="493">
        <v>31160.933333333334</v>
      </c>
      <c r="DM25" s="493">
        <v>31160.933333333334</v>
      </c>
      <c r="DN25" s="493">
        <v>31160.933333333334</v>
      </c>
      <c r="DO25" s="493">
        <v>31160.933333333334</v>
      </c>
      <c r="DP25" s="493">
        <v>31160.933333333334</v>
      </c>
      <c r="DQ25" s="493">
        <v>31160.933333333334</v>
      </c>
      <c r="DR25" s="493">
        <v>31160.933333333334</v>
      </c>
      <c r="DS25" s="493">
        <v>31160.933333333334</v>
      </c>
      <c r="DT25" s="493">
        <v>31160.933333333334</v>
      </c>
      <c r="DU25" s="493">
        <v>31160.933333333334</v>
      </c>
      <c r="DV25" s="493">
        <v>31160.933333333334</v>
      </c>
      <c r="DW25" s="493">
        <v>31160.933333333334</v>
      </c>
      <c r="DX25" s="493">
        <v>31160.933333333334</v>
      </c>
      <c r="DY25" s="493">
        <v>31160.933333333334</v>
      </c>
      <c r="DZ25" s="493">
        <v>31160.933333333334</v>
      </c>
      <c r="EA25" s="493">
        <v>31160.933333333334</v>
      </c>
      <c r="EB25" s="493">
        <v>31160.933333333334</v>
      </c>
      <c r="EC25" s="493">
        <v>31160.933333333334</v>
      </c>
      <c r="ED25" s="493">
        <v>31160.933333333334</v>
      </c>
      <c r="EE25" s="493">
        <v>31160.933333333334</v>
      </c>
      <c r="EF25" s="493">
        <v>31160.933333333334</v>
      </c>
      <c r="EG25" s="493">
        <v>31160.933333333334</v>
      </c>
      <c r="EH25" s="493">
        <v>31160.933333333334</v>
      </c>
      <c r="EI25" s="493">
        <v>31160.933333333334</v>
      </c>
      <c r="EJ25" s="493">
        <v>31160.933333333334</v>
      </c>
      <c r="EK25" s="493">
        <v>31160.933333333334</v>
      </c>
      <c r="EL25" s="493">
        <v>31160.933333333334</v>
      </c>
      <c r="EM25" s="493">
        <v>31160.933333333334</v>
      </c>
      <c r="EN25" s="493">
        <v>31160.933333333334</v>
      </c>
      <c r="EO25" s="493">
        <v>31160.933333333334</v>
      </c>
      <c r="EP25" s="493">
        <v>31160.933333333334</v>
      </c>
      <c r="EQ25" s="493">
        <v>31160.933333333334</v>
      </c>
      <c r="ER25" s="493">
        <v>31160.933333333334</v>
      </c>
      <c r="ES25" s="493">
        <v>31160.933333333334</v>
      </c>
      <c r="ET25" s="493">
        <v>31160.933333333334</v>
      </c>
      <c r="EU25" s="493">
        <v>31160.933333333334</v>
      </c>
      <c r="EV25" s="493">
        <v>31160.933333333334</v>
      </c>
      <c r="EW25" s="493">
        <v>31160.933333333334</v>
      </c>
      <c r="EX25" s="493">
        <v>31160.933333333334</v>
      </c>
      <c r="EY25" s="493">
        <v>0</v>
      </c>
      <c r="EZ25" s="493">
        <v>0</v>
      </c>
      <c r="FA25" s="493">
        <v>0</v>
      </c>
      <c r="FB25" s="493">
        <v>0</v>
      </c>
      <c r="FC25" s="493">
        <v>0</v>
      </c>
      <c r="FD25" s="493">
        <v>0</v>
      </c>
      <c r="FE25" s="493">
        <v>0</v>
      </c>
      <c r="FF25" s="493">
        <v>0</v>
      </c>
      <c r="FG25" s="493">
        <v>0</v>
      </c>
      <c r="FH25" s="493">
        <v>0</v>
      </c>
      <c r="FI25" s="493">
        <v>0</v>
      </c>
      <c r="FJ25" s="45">
        <v>0</v>
      </c>
    </row>
    <row r="26" spans="1:166">
      <c r="A26" s="501" t="s">
        <v>1071</v>
      </c>
      <c r="B26" s="491" t="s">
        <v>1185</v>
      </c>
      <c r="C26" s="498" t="s">
        <v>1183</v>
      </c>
      <c r="D26" s="498" t="s">
        <v>14</v>
      </c>
      <c r="E26" s="498" t="s">
        <v>979</v>
      </c>
      <c r="F26" s="491" t="s">
        <v>1468</v>
      </c>
      <c r="G26" s="491" t="s">
        <v>689</v>
      </c>
      <c r="H26" s="499" t="s">
        <v>1469</v>
      </c>
      <c r="I26" s="491" t="s">
        <v>1466</v>
      </c>
      <c r="J26" s="491" t="s">
        <v>1084</v>
      </c>
      <c r="K26" s="491">
        <v>0</v>
      </c>
      <c r="L26" s="491" t="s">
        <v>734</v>
      </c>
      <c r="M26" s="491">
        <v>2</v>
      </c>
      <c r="N26" s="491">
        <v>0</v>
      </c>
      <c r="O26" s="498">
        <v>8053430</v>
      </c>
      <c r="P26" s="495">
        <f t="shared" si="5"/>
        <v>16106860</v>
      </c>
      <c r="Q26" s="493">
        <v>36</v>
      </c>
      <c r="R26" s="493">
        <v>84</v>
      </c>
      <c r="S26" s="491">
        <v>0.04</v>
      </c>
      <c r="T26" s="497">
        <v>1</v>
      </c>
      <c r="U26" s="491">
        <v>0</v>
      </c>
      <c r="V26" s="493">
        <v>53689.533333333333</v>
      </c>
      <c r="W26" s="493">
        <v>4509920.8</v>
      </c>
      <c r="X26" s="493">
        <v>0</v>
      </c>
      <c r="Y26" s="493">
        <v>0</v>
      </c>
      <c r="Z26" s="493">
        <v>0</v>
      </c>
      <c r="AA26" s="493">
        <v>644274.4</v>
      </c>
      <c r="AB26" s="493">
        <v>644274.4</v>
      </c>
      <c r="AC26" s="493">
        <v>644274.4</v>
      </c>
      <c r="AD26" s="493">
        <v>644274.4</v>
      </c>
      <c r="AE26" s="493">
        <v>644274.4</v>
      </c>
      <c r="AF26" s="493">
        <v>644274.4</v>
      </c>
      <c r="AG26" s="493">
        <v>644274.4</v>
      </c>
      <c r="AH26" s="493">
        <v>0</v>
      </c>
      <c r="AI26" s="500">
        <v>0</v>
      </c>
      <c r="AJ26" s="500">
        <v>0</v>
      </c>
      <c r="AK26" s="500">
        <v>0</v>
      </c>
      <c r="AL26" s="500">
        <v>0</v>
      </c>
      <c r="AM26" s="500">
        <v>0</v>
      </c>
      <c r="AN26" s="500">
        <v>0</v>
      </c>
      <c r="AO26" s="500">
        <v>0</v>
      </c>
      <c r="AP26" s="500">
        <v>0</v>
      </c>
      <c r="AQ26" s="500">
        <v>0</v>
      </c>
      <c r="AR26" s="500">
        <v>0</v>
      </c>
      <c r="AS26" s="500">
        <v>0</v>
      </c>
      <c r="AT26" s="500">
        <v>0</v>
      </c>
      <c r="AU26" s="500">
        <v>0</v>
      </c>
      <c r="AV26" s="500">
        <v>0</v>
      </c>
      <c r="AW26" s="500">
        <v>0</v>
      </c>
      <c r="AX26" s="500">
        <v>0</v>
      </c>
      <c r="AY26" s="500">
        <v>0</v>
      </c>
      <c r="AZ26" s="500">
        <v>0</v>
      </c>
      <c r="BA26" s="500">
        <v>0</v>
      </c>
      <c r="BB26" s="500">
        <v>0</v>
      </c>
      <c r="BC26" s="500">
        <v>0</v>
      </c>
      <c r="BD26" s="500">
        <v>0</v>
      </c>
      <c r="BE26" s="500">
        <v>0</v>
      </c>
      <c r="BF26" s="500">
        <v>0</v>
      </c>
      <c r="BG26" s="500">
        <v>0</v>
      </c>
      <c r="BH26" s="500">
        <v>0</v>
      </c>
      <c r="BI26" s="500">
        <v>0</v>
      </c>
      <c r="BJ26" s="500">
        <v>0</v>
      </c>
      <c r="BK26" s="500">
        <v>0</v>
      </c>
      <c r="BL26" s="500">
        <v>0</v>
      </c>
      <c r="BM26" s="500">
        <v>0</v>
      </c>
      <c r="BN26" s="500">
        <v>0</v>
      </c>
      <c r="BO26" s="500">
        <v>0</v>
      </c>
      <c r="BP26" s="500">
        <v>0</v>
      </c>
      <c r="BQ26" s="500">
        <v>0</v>
      </c>
      <c r="BR26" s="500">
        <v>0</v>
      </c>
      <c r="BS26" s="493">
        <v>53689.533333333333</v>
      </c>
      <c r="BT26" s="493">
        <v>53689.533333333333</v>
      </c>
      <c r="BU26" s="493">
        <v>53689.533333333333</v>
      </c>
      <c r="BV26" s="493">
        <v>53689.533333333333</v>
      </c>
      <c r="BW26" s="493">
        <v>53689.533333333333</v>
      </c>
      <c r="BX26" s="493">
        <v>53689.533333333333</v>
      </c>
      <c r="BY26" s="493">
        <v>53689.533333333333</v>
      </c>
      <c r="BZ26" s="493">
        <v>53689.533333333333</v>
      </c>
      <c r="CA26" s="493">
        <v>53689.533333333333</v>
      </c>
      <c r="CB26" s="493">
        <v>53689.533333333333</v>
      </c>
      <c r="CC26" s="493">
        <v>53689.533333333333</v>
      </c>
      <c r="CD26" s="493">
        <v>53689.533333333333</v>
      </c>
      <c r="CE26" s="493">
        <v>53689.533333333333</v>
      </c>
      <c r="CF26" s="493">
        <v>53689.533333333333</v>
      </c>
      <c r="CG26" s="493">
        <v>53689.533333333333</v>
      </c>
      <c r="CH26" s="493">
        <v>53689.533333333333</v>
      </c>
      <c r="CI26" s="493">
        <v>53689.533333333333</v>
      </c>
      <c r="CJ26" s="493">
        <v>53689.533333333333</v>
      </c>
      <c r="CK26" s="493">
        <v>53689.533333333333</v>
      </c>
      <c r="CL26" s="493">
        <v>53689.533333333333</v>
      </c>
      <c r="CM26" s="493">
        <v>53689.533333333333</v>
      </c>
      <c r="CN26" s="493">
        <v>53689.533333333333</v>
      </c>
      <c r="CO26" s="493">
        <v>53689.533333333333</v>
      </c>
      <c r="CP26" s="493">
        <v>53689.533333333333</v>
      </c>
      <c r="CQ26" s="493">
        <v>53689.533333333333</v>
      </c>
      <c r="CR26" s="493">
        <v>53689.533333333333</v>
      </c>
      <c r="CS26" s="493">
        <v>53689.533333333333</v>
      </c>
      <c r="CT26" s="493">
        <v>53689.533333333333</v>
      </c>
      <c r="CU26" s="493">
        <v>53689.533333333333</v>
      </c>
      <c r="CV26" s="493">
        <v>53689.533333333333</v>
      </c>
      <c r="CW26" s="493">
        <v>53689.533333333333</v>
      </c>
      <c r="CX26" s="493">
        <v>53689.533333333333</v>
      </c>
      <c r="CY26" s="493">
        <v>53689.533333333333</v>
      </c>
      <c r="CZ26" s="493">
        <v>53689.533333333333</v>
      </c>
      <c r="DA26" s="493">
        <v>53689.533333333333</v>
      </c>
      <c r="DB26" s="493">
        <v>53689.533333333333</v>
      </c>
      <c r="DC26" s="493">
        <v>53689.533333333333</v>
      </c>
      <c r="DD26" s="493">
        <v>53689.533333333333</v>
      </c>
      <c r="DE26" s="493">
        <v>53689.533333333333</v>
      </c>
      <c r="DF26" s="493">
        <v>53689.533333333333</v>
      </c>
      <c r="DG26" s="493">
        <v>53689.533333333333</v>
      </c>
      <c r="DH26" s="493">
        <v>53689.533333333333</v>
      </c>
      <c r="DI26" s="493">
        <v>53689.533333333333</v>
      </c>
      <c r="DJ26" s="493">
        <v>53689.533333333333</v>
      </c>
      <c r="DK26" s="493">
        <v>53689.533333333333</v>
      </c>
      <c r="DL26" s="493">
        <v>53689.533333333333</v>
      </c>
      <c r="DM26" s="493">
        <v>53689.533333333333</v>
      </c>
      <c r="DN26" s="493">
        <v>53689.533333333333</v>
      </c>
      <c r="DO26" s="493">
        <v>53689.533333333333</v>
      </c>
      <c r="DP26" s="493">
        <v>53689.533333333333</v>
      </c>
      <c r="DQ26" s="493">
        <v>53689.533333333333</v>
      </c>
      <c r="DR26" s="493">
        <v>53689.533333333333</v>
      </c>
      <c r="DS26" s="493">
        <v>53689.533333333333</v>
      </c>
      <c r="DT26" s="493">
        <v>53689.533333333333</v>
      </c>
      <c r="DU26" s="493">
        <v>53689.533333333333</v>
      </c>
      <c r="DV26" s="493">
        <v>53689.533333333333</v>
      </c>
      <c r="DW26" s="493">
        <v>53689.533333333333</v>
      </c>
      <c r="DX26" s="493">
        <v>53689.533333333333</v>
      </c>
      <c r="DY26" s="493">
        <v>53689.533333333333</v>
      </c>
      <c r="DZ26" s="493">
        <v>53689.533333333333</v>
      </c>
      <c r="EA26" s="493">
        <v>53689.533333333333</v>
      </c>
      <c r="EB26" s="493">
        <v>53689.533333333333</v>
      </c>
      <c r="EC26" s="493">
        <v>53689.533333333333</v>
      </c>
      <c r="ED26" s="493">
        <v>53689.533333333333</v>
      </c>
      <c r="EE26" s="493">
        <v>53689.533333333333</v>
      </c>
      <c r="EF26" s="493">
        <v>53689.533333333333</v>
      </c>
      <c r="EG26" s="493">
        <v>53689.533333333333</v>
      </c>
      <c r="EH26" s="493">
        <v>53689.533333333333</v>
      </c>
      <c r="EI26" s="493">
        <v>53689.533333333333</v>
      </c>
      <c r="EJ26" s="493">
        <v>53689.533333333333</v>
      </c>
      <c r="EK26" s="493">
        <v>53689.533333333333</v>
      </c>
      <c r="EL26" s="493">
        <v>53689.533333333333</v>
      </c>
      <c r="EM26" s="493">
        <v>53689.533333333333</v>
      </c>
      <c r="EN26" s="493">
        <v>53689.533333333333</v>
      </c>
      <c r="EO26" s="493">
        <v>53689.533333333333</v>
      </c>
      <c r="EP26" s="493">
        <v>53689.533333333333</v>
      </c>
      <c r="EQ26" s="493">
        <v>53689.533333333333</v>
      </c>
      <c r="ER26" s="493">
        <v>53689.533333333333</v>
      </c>
      <c r="ES26" s="493">
        <v>53689.533333333333</v>
      </c>
      <c r="ET26" s="493">
        <v>53689.533333333333</v>
      </c>
      <c r="EU26" s="493">
        <v>53689.533333333333</v>
      </c>
      <c r="EV26" s="493">
        <v>53689.533333333333</v>
      </c>
      <c r="EW26" s="493">
        <v>53689.533333333333</v>
      </c>
      <c r="EX26" s="493">
        <v>53689.533333333333</v>
      </c>
      <c r="EY26" s="493">
        <v>0</v>
      </c>
      <c r="EZ26" s="493">
        <v>0</v>
      </c>
      <c r="FA26" s="493">
        <v>0</v>
      </c>
      <c r="FB26" s="493">
        <v>0</v>
      </c>
      <c r="FC26" s="493">
        <v>0</v>
      </c>
      <c r="FD26" s="493">
        <v>0</v>
      </c>
      <c r="FE26" s="493">
        <v>0</v>
      </c>
      <c r="FF26" s="493">
        <v>0</v>
      </c>
      <c r="FG26" s="493">
        <v>0</v>
      </c>
      <c r="FH26" s="493">
        <v>0</v>
      </c>
      <c r="FI26" s="493">
        <v>0</v>
      </c>
      <c r="FJ26" s="45">
        <v>0</v>
      </c>
    </row>
    <row r="27" spans="1:166">
      <c r="A27" s="501" t="s">
        <v>1072</v>
      </c>
      <c r="B27" s="491" t="s">
        <v>1185</v>
      </c>
      <c r="C27" s="498" t="s">
        <v>1183</v>
      </c>
      <c r="D27" s="498" t="s">
        <v>14</v>
      </c>
      <c r="E27" s="498" t="s">
        <v>979</v>
      </c>
      <c r="F27" s="491" t="s">
        <v>702</v>
      </c>
      <c r="G27" s="491" t="s">
        <v>703</v>
      </c>
      <c r="H27" s="499" t="s">
        <v>1470</v>
      </c>
      <c r="I27" s="491" t="s">
        <v>1466</v>
      </c>
      <c r="J27" s="491" t="s">
        <v>1084</v>
      </c>
      <c r="K27" s="491">
        <v>0</v>
      </c>
      <c r="L27" s="491" t="s">
        <v>734</v>
      </c>
      <c r="M27" s="491">
        <v>1</v>
      </c>
      <c r="N27" s="491">
        <v>0</v>
      </c>
      <c r="O27" s="498">
        <v>29000000</v>
      </c>
      <c r="P27" s="495">
        <f t="shared" si="5"/>
        <v>29000000</v>
      </c>
      <c r="Q27" s="493">
        <v>36</v>
      </c>
      <c r="R27" s="493">
        <v>84</v>
      </c>
      <c r="S27" s="491">
        <v>0.08</v>
      </c>
      <c r="T27" s="497">
        <v>1</v>
      </c>
      <c r="U27" s="491">
        <v>0</v>
      </c>
      <c r="V27" s="493">
        <v>193333.33333333334</v>
      </c>
      <c r="W27" s="493">
        <v>16240000</v>
      </c>
      <c r="X27" s="493">
        <v>0</v>
      </c>
      <c r="Y27" s="493">
        <v>0</v>
      </c>
      <c r="Z27" s="493">
        <v>0</v>
      </c>
      <c r="AA27" s="493">
        <v>2320000</v>
      </c>
      <c r="AB27" s="493">
        <v>2320000</v>
      </c>
      <c r="AC27" s="493">
        <v>2320000</v>
      </c>
      <c r="AD27" s="493">
        <v>2320000</v>
      </c>
      <c r="AE27" s="493">
        <v>2320000</v>
      </c>
      <c r="AF27" s="493">
        <v>2320000</v>
      </c>
      <c r="AG27" s="493">
        <v>2320000</v>
      </c>
      <c r="AH27" s="493">
        <v>0</v>
      </c>
      <c r="AI27" s="500">
        <v>0</v>
      </c>
      <c r="AJ27" s="500">
        <v>0</v>
      </c>
      <c r="AK27" s="500">
        <v>0</v>
      </c>
      <c r="AL27" s="500">
        <v>0</v>
      </c>
      <c r="AM27" s="500">
        <v>0</v>
      </c>
      <c r="AN27" s="500">
        <v>0</v>
      </c>
      <c r="AO27" s="500">
        <v>0</v>
      </c>
      <c r="AP27" s="500">
        <v>0</v>
      </c>
      <c r="AQ27" s="500">
        <v>0</v>
      </c>
      <c r="AR27" s="500">
        <v>0</v>
      </c>
      <c r="AS27" s="500">
        <v>0</v>
      </c>
      <c r="AT27" s="500">
        <v>0</v>
      </c>
      <c r="AU27" s="500">
        <v>0</v>
      </c>
      <c r="AV27" s="500">
        <v>0</v>
      </c>
      <c r="AW27" s="500">
        <v>0</v>
      </c>
      <c r="AX27" s="500">
        <v>0</v>
      </c>
      <c r="AY27" s="500">
        <v>0</v>
      </c>
      <c r="AZ27" s="500">
        <v>0</v>
      </c>
      <c r="BA27" s="500">
        <v>0</v>
      </c>
      <c r="BB27" s="500">
        <v>0</v>
      </c>
      <c r="BC27" s="500">
        <v>0</v>
      </c>
      <c r="BD27" s="500">
        <v>0</v>
      </c>
      <c r="BE27" s="500">
        <v>0</v>
      </c>
      <c r="BF27" s="500">
        <v>0</v>
      </c>
      <c r="BG27" s="500">
        <v>0</v>
      </c>
      <c r="BH27" s="500">
        <v>0</v>
      </c>
      <c r="BI27" s="500">
        <v>0</v>
      </c>
      <c r="BJ27" s="500">
        <v>0</v>
      </c>
      <c r="BK27" s="500">
        <v>0</v>
      </c>
      <c r="BL27" s="500">
        <v>0</v>
      </c>
      <c r="BM27" s="500">
        <v>0</v>
      </c>
      <c r="BN27" s="500">
        <v>0</v>
      </c>
      <c r="BO27" s="500">
        <v>0</v>
      </c>
      <c r="BP27" s="500">
        <v>0</v>
      </c>
      <c r="BQ27" s="500">
        <v>0</v>
      </c>
      <c r="BR27" s="500">
        <v>0</v>
      </c>
      <c r="BS27" s="493">
        <v>193333.33333333334</v>
      </c>
      <c r="BT27" s="493">
        <v>193333.33333333334</v>
      </c>
      <c r="BU27" s="493">
        <v>193333.33333333334</v>
      </c>
      <c r="BV27" s="493">
        <v>193333.33333333334</v>
      </c>
      <c r="BW27" s="493">
        <v>193333.33333333334</v>
      </c>
      <c r="BX27" s="493">
        <v>193333.33333333334</v>
      </c>
      <c r="BY27" s="493">
        <v>193333.33333333334</v>
      </c>
      <c r="BZ27" s="493">
        <v>193333.33333333334</v>
      </c>
      <c r="CA27" s="493">
        <v>193333.33333333334</v>
      </c>
      <c r="CB27" s="493">
        <v>193333.33333333334</v>
      </c>
      <c r="CC27" s="493">
        <v>193333.33333333334</v>
      </c>
      <c r="CD27" s="493">
        <v>193333.33333333334</v>
      </c>
      <c r="CE27" s="493">
        <v>193333.33333333334</v>
      </c>
      <c r="CF27" s="493">
        <v>193333.33333333334</v>
      </c>
      <c r="CG27" s="493">
        <v>193333.33333333334</v>
      </c>
      <c r="CH27" s="493">
        <v>193333.33333333334</v>
      </c>
      <c r="CI27" s="493">
        <v>193333.33333333334</v>
      </c>
      <c r="CJ27" s="493">
        <v>193333.33333333334</v>
      </c>
      <c r="CK27" s="493">
        <v>193333.33333333334</v>
      </c>
      <c r="CL27" s="493">
        <v>193333.33333333334</v>
      </c>
      <c r="CM27" s="493">
        <v>193333.33333333334</v>
      </c>
      <c r="CN27" s="493">
        <v>193333.33333333334</v>
      </c>
      <c r="CO27" s="493">
        <v>193333.33333333334</v>
      </c>
      <c r="CP27" s="493">
        <v>193333.33333333334</v>
      </c>
      <c r="CQ27" s="493">
        <v>193333.33333333334</v>
      </c>
      <c r="CR27" s="493">
        <v>193333.33333333334</v>
      </c>
      <c r="CS27" s="493">
        <v>193333.33333333334</v>
      </c>
      <c r="CT27" s="493">
        <v>193333.33333333334</v>
      </c>
      <c r="CU27" s="493">
        <v>193333.33333333334</v>
      </c>
      <c r="CV27" s="493">
        <v>193333.33333333334</v>
      </c>
      <c r="CW27" s="493">
        <v>193333.33333333334</v>
      </c>
      <c r="CX27" s="493">
        <v>193333.33333333334</v>
      </c>
      <c r="CY27" s="493">
        <v>193333.33333333334</v>
      </c>
      <c r="CZ27" s="493">
        <v>193333.33333333334</v>
      </c>
      <c r="DA27" s="493">
        <v>193333.33333333334</v>
      </c>
      <c r="DB27" s="493">
        <v>193333.33333333334</v>
      </c>
      <c r="DC27" s="493">
        <v>193333.33333333334</v>
      </c>
      <c r="DD27" s="493">
        <v>193333.33333333334</v>
      </c>
      <c r="DE27" s="493">
        <v>193333.33333333334</v>
      </c>
      <c r="DF27" s="493">
        <v>193333.33333333334</v>
      </c>
      <c r="DG27" s="493">
        <v>193333.33333333334</v>
      </c>
      <c r="DH27" s="493">
        <v>193333.33333333334</v>
      </c>
      <c r="DI27" s="493">
        <v>193333.33333333334</v>
      </c>
      <c r="DJ27" s="493">
        <v>193333.33333333334</v>
      </c>
      <c r="DK27" s="493">
        <v>193333.33333333334</v>
      </c>
      <c r="DL27" s="493">
        <v>193333.33333333334</v>
      </c>
      <c r="DM27" s="493">
        <v>193333.33333333334</v>
      </c>
      <c r="DN27" s="493">
        <v>193333.33333333334</v>
      </c>
      <c r="DO27" s="493">
        <v>193333.33333333334</v>
      </c>
      <c r="DP27" s="493">
        <v>193333.33333333334</v>
      </c>
      <c r="DQ27" s="493">
        <v>193333.33333333334</v>
      </c>
      <c r="DR27" s="493">
        <v>193333.33333333334</v>
      </c>
      <c r="DS27" s="493">
        <v>193333.33333333334</v>
      </c>
      <c r="DT27" s="493">
        <v>193333.33333333334</v>
      </c>
      <c r="DU27" s="493">
        <v>193333.33333333334</v>
      </c>
      <c r="DV27" s="493">
        <v>193333.33333333334</v>
      </c>
      <c r="DW27" s="493">
        <v>193333.33333333334</v>
      </c>
      <c r="DX27" s="493">
        <v>193333.33333333334</v>
      </c>
      <c r="DY27" s="493">
        <v>193333.33333333334</v>
      </c>
      <c r="DZ27" s="493">
        <v>193333.33333333334</v>
      </c>
      <c r="EA27" s="493">
        <v>193333.33333333334</v>
      </c>
      <c r="EB27" s="493">
        <v>193333.33333333334</v>
      </c>
      <c r="EC27" s="493">
        <v>193333.33333333334</v>
      </c>
      <c r="ED27" s="493">
        <v>193333.33333333334</v>
      </c>
      <c r="EE27" s="493">
        <v>193333.33333333334</v>
      </c>
      <c r="EF27" s="493">
        <v>193333.33333333334</v>
      </c>
      <c r="EG27" s="493">
        <v>193333.33333333334</v>
      </c>
      <c r="EH27" s="493">
        <v>193333.33333333334</v>
      </c>
      <c r="EI27" s="493">
        <v>193333.33333333334</v>
      </c>
      <c r="EJ27" s="493">
        <v>193333.33333333334</v>
      </c>
      <c r="EK27" s="493">
        <v>193333.33333333334</v>
      </c>
      <c r="EL27" s="493">
        <v>193333.33333333334</v>
      </c>
      <c r="EM27" s="493">
        <v>193333.33333333334</v>
      </c>
      <c r="EN27" s="493">
        <v>193333.33333333334</v>
      </c>
      <c r="EO27" s="493">
        <v>193333.33333333334</v>
      </c>
      <c r="EP27" s="493">
        <v>193333.33333333334</v>
      </c>
      <c r="EQ27" s="493">
        <v>193333.33333333334</v>
      </c>
      <c r="ER27" s="493">
        <v>193333.33333333334</v>
      </c>
      <c r="ES27" s="493">
        <v>193333.33333333334</v>
      </c>
      <c r="ET27" s="493">
        <v>193333.33333333334</v>
      </c>
      <c r="EU27" s="493">
        <v>193333.33333333334</v>
      </c>
      <c r="EV27" s="493">
        <v>193333.33333333334</v>
      </c>
      <c r="EW27" s="493">
        <v>193333.33333333334</v>
      </c>
      <c r="EX27" s="493">
        <v>193333.33333333334</v>
      </c>
      <c r="EY27" s="493">
        <v>0</v>
      </c>
      <c r="EZ27" s="493">
        <v>0</v>
      </c>
      <c r="FA27" s="493">
        <v>0</v>
      </c>
      <c r="FB27" s="493">
        <v>0</v>
      </c>
      <c r="FC27" s="493">
        <v>0</v>
      </c>
      <c r="FD27" s="493">
        <v>0</v>
      </c>
      <c r="FE27" s="493">
        <v>0</v>
      </c>
      <c r="FF27" s="493">
        <v>0</v>
      </c>
      <c r="FG27" s="493">
        <v>0</v>
      </c>
      <c r="FH27" s="493">
        <v>0</v>
      </c>
      <c r="FI27" s="493">
        <v>0</v>
      </c>
      <c r="FJ27" s="45">
        <v>0</v>
      </c>
    </row>
    <row r="28" spans="1:166">
      <c r="A28" s="501" t="s">
        <v>1073</v>
      </c>
      <c r="B28" s="491" t="s">
        <v>1185</v>
      </c>
      <c r="C28" s="498" t="s">
        <v>1183</v>
      </c>
      <c r="D28" s="498" t="s">
        <v>14</v>
      </c>
      <c r="E28" s="498" t="s">
        <v>979</v>
      </c>
      <c r="F28" s="491" t="s">
        <v>1471</v>
      </c>
      <c r="G28" s="491" t="s">
        <v>1472</v>
      </c>
      <c r="H28" s="499" t="s">
        <v>1473</v>
      </c>
      <c r="I28" s="491" t="s">
        <v>1474</v>
      </c>
      <c r="J28" s="491" t="s">
        <v>1084</v>
      </c>
      <c r="K28" s="491">
        <v>0</v>
      </c>
      <c r="L28" s="491" t="s">
        <v>789</v>
      </c>
      <c r="M28" s="491">
        <v>6</v>
      </c>
      <c r="N28" s="491">
        <v>0</v>
      </c>
      <c r="O28" s="498">
        <v>1050000</v>
      </c>
      <c r="P28" s="495">
        <f t="shared" si="5"/>
        <v>6300000</v>
      </c>
      <c r="Q28" s="493">
        <v>12</v>
      </c>
      <c r="R28" s="493">
        <v>108</v>
      </c>
      <c r="S28" s="491">
        <v>2</v>
      </c>
      <c r="T28" s="497">
        <v>1</v>
      </c>
      <c r="U28" s="491">
        <v>0</v>
      </c>
      <c r="V28" s="493">
        <v>1050000</v>
      </c>
      <c r="W28" s="493">
        <v>113400000</v>
      </c>
      <c r="X28" s="493">
        <v>0</v>
      </c>
      <c r="Y28" s="493">
        <v>12600000</v>
      </c>
      <c r="Z28" s="493">
        <v>12600000</v>
      </c>
      <c r="AA28" s="493">
        <v>12600000</v>
      </c>
      <c r="AB28" s="493">
        <v>12600000</v>
      </c>
      <c r="AC28" s="493">
        <v>12600000</v>
      </c>
      <c r="AD28" s="493">
        <v>12600000</v>
      </c>
      <c r="AE28" s="493">
        <v>12600000</v>
      </c>
      <c r="AF28" s="493">
        <v>12600000</v>
      </c>
      <c r="AG28" s="493">
        <v>12600000</v>
      </c>
      <c r="AH28" s="493">
        <v>0</v>
      </c>
      <c r="AI28" s="500">
        <v>0</v>
      </c>
      <c r="AJ28" s="500">
        <v>0</v>
      </c>
      <c r="AK28" s="500">
        <v>0</v>
      </c>
      <c r="AL28" s="500">
        <v>0</v>
      </c>
      <c r="AM28" s="500">
        <v>0</v>
      </c>
      <c r="AN28" s="500">
        <v>0</v>
      </c>
      <c r="AO28" s="500">
        <v>0</v>
      </c>
      <c r="AP28" s="500">
        <v>0</v>
      </c>
      <c r="AQ28" s="500">
        <v>0</v>
      </c>
      <c r="AR28" s="500">
        <v>0</v>
      </c>
      <c r="AS28" s="500">
        <v>0</v>
      </c>
      <c r="AT28" s="500">
        <v>0</v>
      </c>
      <c r="AU28" s="493">
        <v>1050000</v>
      </c>
      <c r="AV28" s="493">
        <v>1050000</v>
      </c>
      <c r="AW28" s="493">
        <v>1050000</v>
      </c>
      <c r="AX28" s="493">
        <v>1050000</v>
      </c>
      <c r="AY28" s="493">
        <v>1050000</v>
      </c>
      <c r="AZ28" s="493">
        <v>1050000</v>
      </c>
      <c r="BA28" s="493">
        <v>1050000</v>
      </c>
      <c r="BB28" s="493">
        <v>1050000</v>
      </c>
      <c r="BC28" s="493">
        <v>1050000</v>
      </c>
      <c r="BD28" s="493">
        <v>1050000</v>
      </c>
      <c r="BE28" s="493">
        <v>1050000</v>
      </c>
      <c r="BF28" s="493">
        <v>1050000</v>
      </c>
      <c r="BG28" s="493">
        <v>1050000</v>
      </c>
      <c r="BH28" s="493">
        <v>1050000</v>
      </c>
      <c r="BI28" s="493">
        <v>1050000</v>
      </c>
      <c r="BJ28" s="493">
        <v>1050000</v>
      </c>
      <c r="BK28" s="493">
        <v>1050000</v>
      </c>
      <c r="BL28" s="493">
        <v>1050000</v>
      </c>
      <c r="BM28" s="493">
        <v>1050000</v>
      </c>
      <c r="BN28" s="493">
        <v>1050000</v>
      </c>
      <c r="BO28" s="493">
        <v>1050000</v>
      </c>
      <c r="BP28" s="493">
        <v>1050000</v>
      </c>
      <c r="BQ28" s="493">
        <v>1050000</v>
      </c>
      <c r="BR28" s="493">
        <v>1050000</v>
      </c>
      <c r="BS28" s="493">
        <v>1050000</v>
      </c>
      <c r="BT28" s="493">
        <v>1050000</v>
      </c>
      <c r="BU28" s="493">
        <v>1050000</v>
      </c>
      <c r="BV28" s="493">
        <v>1050000</v>
      </c>
      <c r="BW28" s="493">
        <v>1050000</v>
      </c>
      <c r="BX28" s="493">
        <v>1050000</v>
      </c>
      <c r="BY28" s="493">
        <v>1050000</v>
      </c>
      <c r="BZ28" s="493">
        <v>1050000</v>
      </c>
      <c r="CA28" s="493">
        <v>1050000</v>
      </c>
      <c r="CB28" s="493">
        <v>1050000</v>
      </c>
      <c r="CC28" s="493">
        <v>1050000</v>
      </c>
      <c r="CD28" s="493">
        <v>1050000</v>
      </c>
      <c r="CE28" s="493">
        <v>1050000</v>
      </c>
      <c r="CF28" s="493">
        <v>1050000</v>
      </c>
      <c r="CG28" s="493">
        <v>1050000</v>
      </c>
      <c r="CH28" s="493">
        <v>1050000</v>
      </c>
      <c r="CI28" s="493">
        <v>1050000</v>
      </c>
      <c r="CJ28" s="493">
        <v>1050000</v>
      </c>
      <c r="CK28" s="493">
        <v>1050000</v>
      </c>
      <c r="CL28" s="493">
        <v>1050000</v>
      </c>
      <c r="CM28" s="493">
        <v>1050000</v>
      </c>
      <c r="CN28" s="493">
        <v>1050000</v>
      </c>
      <c r="CO28" s="493">
        <v>1050000</v>
      </c>
      <c r="CP28" s="493">
        <v>1050000</v>
      </c>
      <c r="CQ28" s="493">
        <v>1050000</v>
      </c>
      <c r="CR28" s="493">
        <v>1050000</v>
      </c>
      <c r="CS28" s="493">
        <v>1050000</v>
      </c>
      <c r="CT28" s="493">
        <v>1050000</v>
      </c>
      <c r="CU28" s="493">
        <v>1050000</v>
      </c>
      <c r="CV28" s="493">
        <v>1050000</v>
      </c>
      <c r="CW28" s="493">
        <v>1050000</v>
      </c>
      <c r="CX28" s="493">
        <v>1050000</v>
      </c>
      <c r="CY28" s="493">
        <v>1050000</v>
      </c>
      <c r="CZ28" s="493">
        <v>1050000</v>
      </c>
      <c r="DA28" s="493">
        <v>1050000</v>
      </c>
      <c r="DB28" s="493">
        <v>1050000</v>
      </c>
      <c r="DC28" s="493">
        <v>1050000</v>
      </c>
      <c r="DD28" s="493">
        <v>1050000</v>
      </c>
      <c r="DE28" s="493">
        <v>1050000</v>
      </c>
      <c r="DF28" s="493">
        <v>1050000</v>
      </c>
      <c r="DG28" s="493">
        <v>1050000</v>
      </c>
      <c r="DH28" s="493">
        <v>1050000</v>
      </c>
      <c r="DI28" s="493">
        <v>1050000</v>
      </c>
      <c r="DJ28" s="493">
        <v>1050000</v>
      </c>
      <c r="DK28" s="493">
        <v>1050000</v>
      </c>
      <c r="DL28" s="493">
        <v>1050000</v>
      </c>
      <c r="DM28" s="493">
        <v>1050000</v>
      </c>
      <c r="DN28" s="493">
        <v>1050000</v>
      </c>
      <c r="DO28" s="493">
        <v>1050000</v>
      </c>
      <c r="DP28" s="493">
        <v>1050000</v>
      </c>
      <c r="DQ28" s="493">
        <v>1050000</v>
      </c>
      <c r="DR28" s="493">
        <v>1050000</v>
      </c>
      <c r="DS28" s="493">
        <v>1050000</v>
      </c>
      <c r="DT28" s="493">
        <v>1050000</v>
      </c>
      <c r="DU28" s="493">
        <v>1050000</v>
      </c>
      <c r="DV28" s="493">
        <v>1050000</v>
      </c>
      <c r="DW28" s="493">
        <v>1050000</v>
      </c>
      <c r="DX28" s="493">
        <v>1050000</v>
      </c>
      <c r="DY28" s="493">
        <v>1050000</v>
      </c>
      <c r="DZ28" s="493">
        <v>1050000</v>
      </c>
      <c r="EA28" s="493">
        <v>1050000</v>
      </c>
      <c r="EB28" s="493">
        <v>1050000</v>
      </c>
      <c r="EC28" s="493">
        <v>1050000</v>
      </c>
      <c r="ED28" s="493">
        <v>1050000</v>
      </c>
      <c r="EE28" s="493">
        <v>1050000</v>
      </c>
      <c r="EF28" s="493">
        <v>1050000</v>
      </c>
      <c r="EG28" s="493">
        <v>1050000</v>
      </c>
      <c r="EH28" s="493">
        <v>1050000</v>
      </c>
      <c r="EI28" s="493">
        <v>1050000</v>
      </c>
      <c r="EJ28" s="493">
        <v>1050000</v>
      </c>
      <c r="EK28" s="493">
        <v>1050000</v>
      </c>
      <c r="EL28" s="493">
        <v>1050000</v>
      </c>
      <c r="EM28" s="493">
        <v>1050000</v>
      </c>
      <c r="EN28" s="493">
        <v>1050000</v>
      </c>
      <c r="EO28" s="493">
        <v>1050000</v>
      </c>
      <c r="EP28" s="493">
        <v>1050000</v>
      </c>
      <c r="EQ28" s="493">
        <v>1050000</v>
      </c>
      <c r="ER28" s="493">
        <v>1050000</v>
      </c>
      <c r="ES28" s="493">
        <v>1050000</v>
      </c>
      <c r="ET28" s="493">
        <v>1050000</v>
      </c>
      <c r="EU28" s="493">
        <v>1050000</v>
      </c>
      <c r="EV28" s="493">
        <v>1050000</v>
      </c>
      <c r="EW28" s="493">
        <v>1050000</v>
      </c>
      <c r="EX28" s="493">
        <v>1050000</v>
      </c>
      <c r="EY28" s="493">
        <v>0</v>
      </c>
      <c r="EZ28" s="493">
        <v>0</v>
      </c>
      <c r="FA28" s="493">
        <v>0</v>
      </c>
      <c r="FB28" s="493">
        <v>0</v>
      </c>
      <c r="FC28" s="493">
        <v>0</v>
      </c>
      <c r="FD28" s="493">
        <v>0</v>
      </c>
      <c r="FE28" s="493">
        <v>0</v>
      </c>
      <c r="FF28" s="493">
        <v>0</v>
      </c>
      <c r="FG28" s="493">
        <v>0</v>
      </c>
      <c r="FH28" s="493">
        <v>0</v>
      </c>
      <c r="FI28" s="493">
        <v>0</v>
      </c>
      <c r="FJ28" s="45">
        <v>0</v>
      </c>
    </row>
    <row r="29" spans="1:166">
      <c r="A29" s="501" t="s">
        <v>1074</v>
      </c>
      <c r="B29" s="491" t="s">
        <v>1185</v>
      </c>
      <c r="C29" s="498" t="s">
        <v>1183</v>
      </c>
      <c r="D29" s="498" t="s">
        <v>14</v>
      </c>
      <c r="E29" s="498" t="s">
        <v>979</v>
      </c>
      <c r="F29" s="491" t="s">
        <v>728</v>
      </c>
      <c r="G29" s="491" t="s">
        <v>729</v>
      </c>
      <c r="H29" s="499" t="s">
        <v>1475</v>
      </c>
      <c r="I29" s="491" t="s">
        <v>1084</v>
      </c>
      <c r="J29" s="491" t="s">
        <v>1084</v>
      </c>
      <c r="K29" s="491">
        <v>0</v>
      </c>
      <c r="L29" s="491" t="s">
        <v>734</v>
      </c>
      <c r="M29" s="491">
        <v>6</v>
      </c>
      <c r="N29" s="491">
        <v>0</v>
      </c>
      <c r="O29" s="498">
        <v>100000</v>
      </c>
      <c r="P29" s="495">
        <f t="shared" si="5"/>
        <v>600000</v>
      </c>
      <c r="Q29" s="493">
        <v>0</v>
      </c>
      <c r="R29" s="493">
        <v>0</v>
      </c>
      <c r="S29" s="491">
        <v>0</v>
      </c>
      <c r="T29" s="497">
        <v>1</v>
      </c>
      <c r="U29" s="491">
        <v>0</v>
      </c>
      <c r="V29" s="493">
        <v>0</v>
      </c>
      <c r="W29" s="493">
        <v>0</v>
      </c>
      <c r="X29" s="493">
        <v>0</v>
      </c>
      <c r="Y29" s="493">
        <v>0</v>
      </c>
      <c r="Z29" s="493">
        <v>0</v>
      </c>
      <c r="AA29" s="493">
        <v>0</v>
      </c>
      <c r="AB29" s="493">
        <v>0</v>
      </c>
      <c r="AC29" s="493">
        <v>0</v>
      </c>
      <c r="AD29" s="493">
        <v>0</v>
      </c>
      <c r="AE29" s="493">
        <v>0</v>
      </c>
      <c r="AF29" s="493">
        <v>0</v>
      </c>
      <c r="AG29" s="493">
        <v>0</v>
      </c>
      <c r="AH29" s="493">
        <v>0</v>
      </c>
      <c r="AI29" s="493">
        <v>0</v>
      </c>
      <c r="AJ29" s="493">
        <v>0</v>
      </c>
      <c r="AK29" s="493">
        <v>0</v>
      </c>
      <c r="AL29" s="493">
        <v>0</v>
      </c>
      <c r="AM29" s="493">
        <v>0</v>
      </c>
      <c r="AN29" s="493">
        <v>0</v>
      </c>
      <c r="AO29" s="493">
        <v>0</v>
      </c>
      <c r="AP29" s="493">
        <v>0</v>
      </c>
      <c r="AQ29" s="493">
        <v>0</v>
      </c>
      <c r="AR29" s="493">
        <v>0</v>
      </c>
      <c r="AS29" s="493">
        <v>0</v>
      </c>
      <c r="AT29" s="493">
        <v>0</v>
      </c>
      <c r="AU29" s="493">
        <v>0</v>
      </c>
      <c r="AV29" s="493">
        <v>0</v>
      </c>
      <c r="AW29" s="493">
        <v>0</v>
      </c>
      <c r="AX29" s="493">
        <v>0</v>
      </c>
      <c r="AY29" s="493">
        <v>0</v>
      </c>
      <c r="AZ29" s="493">
        <v>0</v>
      </c>
      <c r="BA29" s="493">
        <v>0</v>
      </c>
      <c r="BB29" s="493">
        <v>0</v>
      </c>
      <c r="BC29" s="493">
        <v>0</v>
      </c>
      <c r="BD29" s="493">
        <v>0</v>
      </c>
      <c r="BE29" s="493">
        <v>0</v>
      </c>
      <c r="BF29" s="493">
        <v>0</v>
      </c>
      <c r="BG29" s="493">
        <v>0</v>
      </c>
      <c r="BH29" s="493">
        <v>0</v>
      </c>
      <c r="BI29" s="493">
        <v>0</v>
      </c>
      <c r="BJ29" s="493">
        <v>0</v>
      </c>
      <c r="BK29" s="493">
        <v>0</v>
      </c>
      <c r="BL29" s="493">
        <v>0</v>
      </c>
      <c r="BM29" s="493">
        <v>0</v>
      </c>
      <c r="BN29" s="493">
        <v>0</v>
      </c>
      <c r="BO29" s="493">
        <v>0</v>
      </c>
      <c r="BP29" s="493">
        <v>0</v>
      </c>
      <c r="BQ29" s="493">
        <v>0</v>
      </c>
      <c r="BR29" s="493">
        <v>0</v>
      </c>
      <c r="BS29" s="493">
        <v>0</v>
      </c>
      <c r="BT29" s="493">
        <v>0</v>
      </c>
      <c r="BU29" s="493">
        <v>0</v>
      </c>
      <c r="BV29" s="493">
        <v>0</v>
      </c>
      <c r="BW29" s="493">
        <v>0</v>
      </c>
      <c r="BX29" s="493">
        <v>0</v>
      </c>
      <c r="BY29" s="493">
        <v>0</v>
      </c>
      <c r="BZ29" s="493">
        <v>0</v>
      </c>
      <c r="CA29" s="493">
        <v>0</v>
      </c>
      <c r="CB29" s="493">
        <v>0</v>
      </c>
      <c r="CC29" s="493">
        <v>0</v>
      </c>
      <c r="CD29" s="493">
        <v>0</v>
      </c>
      <c r="CE29" s="493">
        <v>0</v>
      </c>
      <c r="CF29" s="493">
        <v>0</v>
      </c>
      <c r="CG29" s="493">
        <v>0</v>
      </c>
      <c r="CH29" s="493">
        <v>0</v>
      </c>
      <c r="CI29" s="493">
        <v>0</v>
      </c>
      <c r="CJ29" s="493">
        <v>0</v>
      </c>
      <c r="CK29" s="493">
        <v>0</v>
      </c>
      <c r="CL29" s="493">
        <v>0</v>
      </c>
      <c r="CM29" s="493">
        <v>0</v>
      </c>
      <c r="CN29" s="493">
        <v>0</v>
      </c>
      <c r="CO29" s="493">
        <v>0</v>
      </c>
      <c r="CP29" s="493">
        <v>0</v>
      </c>
      <c r="CQ29" s="493">
        <v>0</v>
      </c>
      <c r="CR29" s="493">
        <v>0</v>
      </c>
      <c r="CS29" s="493">
        <v>0</v>
      </c>
      <c r="CT29" s="493">
        <v>0</v>
      </c>
      <c r="CU29" s="493">
        <v>0</v>
      </c>
      <c r="CV29" s="493">
        <v>0</v>
      </c>
      <c r="CW29" s="493">
        <v>0</v>
      </c>
      <c r="CX29" s="493">
        <v>0</v>
      </c>
      <c r="CY29" s="493">
        <v>0</v>
      </c>
      <c r="CZ29" s="493">
        <v>0</v>
      </c>
      <c r="DA29" s="493">
        <v>0</v>
      </c>
      <c r="DB29" s="493">
        <v>0</v>
      </c>
      <c r="DC29" s="493">
        <v>0</v>
      </c>
      <c r="DD29" s="493">
        <v>0</v>
      </c>
      <c r="DE29" s="493">
        <v>0</v>
      </c>
      <c r="DF29" s="493">
        <v>0</v>
      </c>
      <c r="DG29" s="493">
        <v>0</v>
      </c>
      <c r="DH29" s="493">
        <v>0</v>
      </c>
      <c r="DI29" s="493">
        <v>0</v>
      </c>
      <c r="DJ29" s="493">
        <v>0</v>
      </c>
      <c r="DK29" s="493">
        <v>0</v>
      </c>
      <c r="DL29" s="493">
        <v>0</v>
      </c>
      <c r="DM29" s="493">
        <v>0</v>
      </c>
      <c r="DN29" s="493">
        <v>0</v>
      </c>
      <c r="DO29" s="493">
        <v>0</v>
      </c>
      <c r="DP29" s="493">
        <v>0</v>
      </c>
      <c r="DQ29" s="493">
        <v>0</v>
      </c>
      <c r="DR29" s="493">
        <v>0</v>
      </c>
      <c r="DS29" s="493">
        <v>0</v>
      </c>
      <c r="DT29" s="493">
        <v>0</v>
      </c>
      <c r="DU29" s="493">
        <v>0</v>
      </c>
      <c r="DV29" s="493">
        <v>0</v>
      </c>
      <c r="DW29" s="493">
        <v>0</v>
      </c>
      <c r="DX29" s="493">
        <v>0</v>
      </c>
      <c r="DY29" s="493">
        <v>0</v>
      </c>
      <c r="DZ29" s="493">
        <v>0</v>
      </c>
      <c r="EA29" s="493">
        <v>0</v>
      </c>
      <c r="EB29" s="493">
        <v>0</v>
      </c>
      <c r="EC29" s="493">
        <v>0</v>
      </c>
      <c r="ED29" s="493">
        <v>0</v>
      </c>
      <c r="EE29" s="493">
        <v>0</v>
      </c>
      <c r="EF29" s="493">
        <v>0</v>
      </c>
      <c r="EG29" s="493">
        <v>0</v>
      </c>
      <c r="EH29" s="493">
        <v>0</v>
      </c>
      <c r="EI29" s="493">
        <v>0</v>
      </c>
      <c r="EJ29" s="493">
        <v>0</v>
      </c>
      <c r="EK29" s="493">
        <v>0</v>
      </c>
      <c r="EL29" s="493">
        <v>0</v>
      </c>
      <c r="EM29" s="493">
        <v>0</v>
      </c>
      <c r="EN29" s="493">
        <v>0</v>
      </c>
      <c r="EO29" s="493">
        <v>0</v>
      </c>
      <c r="EP29" s="493">
        <v>0</v>
      </c>
      <c r="EQ29" s="493">
        <v>0</v>
      </c>
      <c r="ER29" s="493">
        <v>0</v>
      </c>
      <c r="ES29" s="493">
        <v>0</v>
      </c>
      <c r="ET29" s="493">
        <v>0</v>
      </c>
      <c r="EU29" s="493">
        <v>0</v>
      </c>
      <c r="EV29" s="493">
        <v>0</v>
      </c>
      <c r="EW29" s="493">
        <v>0</v>
      </c>
      <c r="EX29" s="493">
        <v>0</v>
      </c>
      <c r="EY29" s="493">
        <v>0</v>
      </c>
      <c r="EZ29" s="493">
        <v>0</v>
      </c>
      <c r="FA29" s="493">
        <v>0</v>
      </c>
      <c r="FB29" s="493">
        <v>0</v>
      </c>
      <c r="FC29" s="493">
        <v>0</v>
      </c>
      <c r="FD29" s="493">
        <v>0</v>
      </c>
      <c r="FE29" s="493">
        <v>0</v>
      </c>
      <c r="FF29" s="493">
        <v>0</v>
      </c>
      <c r="FG29" s="493">
        <v>0</v>
      </c>
      <c r="FH29" s="493">
        <v>0</v>
      </c>
      <c r="FI29" s="493">
        <v>0</v>
      </c>
      <c r="FJ29" s="45">
        <v>0</v>
      </c>
    </row>
    <row r="30" spans="1:166">
      <c r="A30" s="501" t="s">
        <v>1075</v>
      </c>
      <c r="B30" s="491" t="s">
        <v>1185</v>
      </c>
      <c r="C30" s="498" t="s">
        <v>1183</v>
      </c>
      <c r="D30" s="498" t="s">
        <v>14</v>
      </c>
      <c r="E30" s="498" t="s">
        <v>979</v>
      </c>
      <c r="F30" s="491" t="s">
        <v>722</v>
      </c>
      <c r="G30" s="491" t="s">
        <v>723</v>
      </c>
      <c r="H30" s="499" t="s">
        <v>724</v>
      </c>
      <c r="I30" s="491" t="s">
        <v>1084</v>
      </c>
      <c r="J30" s="491" t="s">
        <v>1084</v>
      </c>
      <c r="K30" s="491">
        <v>0</v>
      </c>
      <c r="L30" s="491" t="s">
        <v>262</v>
      </c>
      <c r="M30" s="491">
        <v>4</v>
      </c>
      <c r="N30" s="491">
        <v>0</v>
      </c>
      <c r="O30" s="498">
        <v>250000</v>
      </c>
      <c r="P30" s="495">
        <f t="shared" si="5"/>
        <v>1000000</v>
      </c>
      <c r="Q30" s="493">
        <v>0</v>
      </c>
      <c r="R30" s="493">
        <v>0</v>
      </c>
      <c r="S30" s="491">
        <v>0</v>
      </c>
      <c r="T30" s="497">
        <v>1</v>
      </c>
      <c r="U30" s="491">
        <v>0</v>
      </c>
      <c r="V30" s="493">
        <v>0</v>
      </c>
      <c r="W30" s="493">
        <v>0</v>
      </c>
      <c r="X30" s="493">
        <v>0</v>
      </c>
      <c r="Y30" s="493">
        <v>0</v>
      </c>
      <c r="Z30" s="493">
        <v>0</v>
      </c>
      <c r="AA30" s="493">
        <v>0</v>
      </c>
      <c r="AB30" s="493">
        <v>0</v>
      </c>
      <c r="AC30" s="493">
        <v>0</v>
      </c>
      <c r="AD30" s="493">
        <v>0</v>
      </c>
      <c r="AE30" s="493">
        <v>0</v>
      </c>
      <c r="AF30" s="493">
        <v>0</v>
      </c>
      <c r="AG30" s="493">
        <v>0</v>
      </c>
      <c r="AH30" s="493">
        <v>0</v>
      </c>
      <c r="AI30" s="493">
        <v>0</v>
      </c>
      <c r="AJ30" s="493">
        <v>0</v>
      </c>
      <c r="AK30" s="493">
        <v>0</v>
      </c>
      <c r="AL30" s="493">
        <v>0</v>
      </c>
      <c r="AM30" s="493">
        <v>0</v>
      </c>
      <c r="AN30" s="493">
        <v>0</v>
      </c>
      <c r="AO30" s="493">
        <v>0</v>
      </c>
      <c r="AP30" s="493">
        <v>0</v>
      </c>
      <c r="AQ30" s="493">
        <v>0</v>
      </c>
      <c r="AR30" s="493">
        <v>0</v>
      </c>
      <c r="AS30" s="493">
        <v>0</v>
      </c>
      <c r="AT30" s="493">
        <v>0</v>
      </c>
      <c r="AU30" s="493">
        <v>0</v>
      </c>
      <c r="AV30" s="493">
        <v>0</v>
      </c>
      <c r="AW30" s="493">
        <v>0</v>
      </c>
      <c r="AX30" s="493">
        <v>0</v>
      </c>
      <c r="AY30" s="493">
        <v>0</v>
      </c>
      <c r="AZ30" s="493">
        <v>0</v>
      </c>
      <c r="BA30" s="493">
        <v>0</v>
      </c>
      <c r="BB30" s="493">
        <v>0</v>
      </c>
      <c r="BC30" s="493">
        <v>0</v>
      </c>
      <c r="BD30" s="493">
        <v>0</v>
      </c>
      <c r="BE30" s="493">
        <v>0</v>
      </c>
      <c r="BF30" s="493">
        <v>0</v>
      </c>
      <c r="BG30" s="493">
        <v>0</v>
      </c>
      <c r="BH30" s="493">
        <v>0</v>
      </c>
      <c r="BI30" s="493">
        <v>0</v>
      </c>
      <c r="BJ30" s="493">
        <v>0</v>
      </c>
      <c r="BK30" s="493">
        <v>0</v>
      </c>
      <c r="BL30" s="493">
        <v>0</v>
      </c>
      <c r="BM30" s="493">
        <v>0</v>
      </c>
      <c r="BN30" s="493">
        <v>0</v>
      </c>
      <c r="BO30" s="493">
        <v>0</v>
      </c>
      <c r="BP30" s="493">
        <v>0</v>
      </c>
      <c r="BQ30" s="493">
        <v>0</v>
      </c>
      <c r="BR30" s="493">
        <v>0</v>
      </c>
      <c r="BS30" s="493">
        <v>0</v>
      </c>
      <c r="BT30" s="493">
        <v>0</v>
      </c>
      <c r="BU30" s="493">
        <v>0</v>
      </c>
      <c r="BV30" s="493">
        <v>0</v>
      </c>
      <c r="BW30" s="493">
        <v>0</v>
      </c>
      <c r="BX30" s="493">
        <v>0</v>
      </c>
      <c r="BY30" s="493">
        <v>0</v>
      </c>
      <c r="BZ30" s="493">
        <v>0</v>
      </c>
      <c r="CA30" s="493">
        <v>0</v>
      </c>
      <c r="CB30" s="493">
        <v>0</v>
      </c>
      <c r="CC30" s="493">
        <v>0</v>
      </c>
      <c r="CD30" s="493">
        <v>0</v>
      </c>
      <c r="CE30" s="493">
        <v>0</v>
      </c>
      <c r="CF30" s="493">
        <v>0</v>
      </c>
      <c r="CG30" s="493">
        <v>0</v>
      </c>
      <c r="CH30" s="493">
        <v>0</v>
      </c>
      <c r="CI30" s="493">
        <v>0</v>
      </c>
      <c r="CJ30" s="493">
        <v>0</v>
      </c>
      <c r="CK30" s="493">
        <v>0</v>
      </c>
      <c r="CL30" s="493">
        <v>0</v>
      </c>
      <c r="CM30" s="493">
        <v>0</v>
      </c>
      <c r="CN30" s="493">
        <v>0</v>
      </c>
      <c r="CO30" s="493">
        <v>0</v>
      </c>
      <c r="CP30" s="493">
        <v>0</v>
      </c>
      <c r="CQ30" s="493">
        <v>0</v>
      </c>
      <c r="CR30" s="493">
        <v>0</v>
      </c>
      <c r="CS30" s="493">
        <v>0</v>
      </c>
      <c r="CT30" s="493">
        <v>0</v>
      </c>
      <c r="CU30" s="493">
        <v>0</v>
      </c>
      <c r="CV30" s="493">
        <v>0</v>
      </c>
      <c r="CW30" s="493">
        <v>0</v>
      </c>
      <c r="CX30" s="493">
        <v>0</v>
      </c>
      <c r="CY30" s="493">
        <v>0</v>
      </c>
      <c r="CZ30" s="493">
        <v>0</v>
      </c>
      <c r="DA30" s="493">
        <v>0</v>
      </c>
      <c r="DB30" s="493">
        <v>0</v>
      </c>
      <c r="DC30" s="493">
        <v>0</v>
      </c>
      <c r="DD30" s="493">
        <v>0</v>
      </c>
      <c r="DE30" s="493">
        <v>0</v>
      </c>
      <c r="DF30" s="493">
        <v>0</v>
      </c>
      <c r="DG30" s="493">
        <v>0</v>
      </c>
      <c r="DH30" s="493">
        <v>0</v>
      </c>
      <c r="DI30" s="493">
        <v>0</v>
      </c>
      <c r="DJ30" s="493">
        <v>0</v>
      </c>
      <c r="DK30" s="493">
        <v>0</v>
      </c>
      <c r="DL30" s="493">
        <v>0</v>
      </c>
      <c r="DM30" s="493">
        <v>0</v>
      </c>
      <c r="DN30" s="493">
        <v>0</v>
      </c>
      <c r="DO30" s="493">
        <v>0</v>
      </c>
      <c r="DP30" s="493">
        <v>0</v>
      </c>
      <c r="DQ30" s="493">
        <v>0</v>
      </c>
      <c r="DR30" s="493">
        <v>0</v>
      </c>
      <c r="DS30" s="493">
        <v>0</v>
      </c>
      <c r="DT30" s="493">
        <v>0</v>
      </c>
      <c r="DU30" s="493">
        <v>0</v>
      </c>
      <c r="DV30" s="493">
        <v>0</v>
      </c>
      <c r="DW30" s="493">
        <v>0</v>
      </c>
      <c r="DX30" s="493">
        <v>0</v>
      </c>
      <c r="DY30" s="493">
        <v>0</v>
      </c>
      <c r="DZ30" s="493">
        <v>0</v>
      </c>
      <c r="EA30" s="493">
        <v>0</v>
      </c>
      <c r="EB30" s="493">
        <v>0</v>
      </c>
      <c r="EC30" s="493">
        <v>0</v>
      </c>
      <c r="ED30" s="493">
        <v>0</v>
      </c>
      <c r="EE30" s="493">
        <v>0</v>
      </c>
      <c r="EF30" s="493">
        <v>0</v>
      </c>
      <c r="EG30" s="493">
        <v>0</v>
      </c>
      <c r="EH30" s="493">
        <v>0</v>
      </c>
      <c r="EI30" s="493">
        <v>0</v>
      </c>
      <c r="EJ30" s="493">
        <v>0</v>
      </c>
      <c r="EK30" s="493">
        <v>0</v>
      </c>
      <c r="EL30" s="493">
        <v>0</v>
      </c>
      <c r="EM30" s="493">
        <v>0</v>
      </c>
      <c r="EN30" s="493">
        <v>0</v>
      </c>
      <c r="EO30" s="493">
        <v>0</v>
      </c>
      <c r="EP30" s="493">
        <v>0</v>
      </c>
      <c r="EQ30" s="493">
        <v>0</v>
      </c>
      <c r="ER30" s="493">
        <v>0</v>
      </c>
      <c r="ES30" s="493">
        <v>0</v>
      </c>
      <c r="ET30" s="493">
        <v>0</v>
      </c>
      <c r="EU30" s="493">
        <v>0</v>
      </c>
      <c r="EV30" s="493">
        <v>0</v>
      </c>
      <c r="EW30" s="493">
        <v>0</v>
      </c>
      <c r="EX30" s="493">
        <v>0</v>
      </c>
      <c r="EY30" s="493">
        <v>0</v>
      </c>
      <c r="EZ30" s="493">
        <v>0</v>
      </c>
      <c r="FA30" s="493">
        <v>0</v>
      </c>
      <c r="FB30" s="493">
        <v>0</v>
      </c>
      <c r="FC30" s="493">
        <v>0</v>
      </c>
      <c r="FD30" s="493">
        <v>0</v>
      </c>
      <c r="FE30" s="493">
        <v>0</v>
      </c>
      <c r="FF30" s="493">
        <v>0</v>
      </c>
      <c r="FG30" s="493">
        <v>0</v>
      </c>
      <c r="FH30" s="493">
        <v>0</v>
      </c>
      <c r="FI30" s="493">
        <v>0</v>
      </c>
      <c r="FJ30" s="45">
        <v>0</v>
      </c>
    </row>
    <row r="31" spans="1:166">
      <c r="A31" s="501" t="s">
        <v>1076</v>
      </c>
      <c r="B31" s="491" t="s">
        <v>1185</v>
      </c>
      <c r="C31" s="498" t="s">
        <v>1183</v>
      </c>
      <c r="D31" s="498" t="s">
        <v>14</v>
      </c>
      <c r="E31" s="498" t="s">
        <v>979</v>
      </c>
      <c r="F31" s="491" t="s">
        <v>1191</v>
      </c>
      <c r="G31" s="491" t="s">
        <v>1192</v>
      </c>
      <c r="H31" s="499" t="s">
        <v>1193</v>
      </c>
      <c r="I31" s="491" t="s">
        <v>1476</v>
      </c>
      <c r="J31" s="491" t="s">
        <v>1084</v>
      </c>
      <c r="K31" s="491">
        <v>0</v>
      </c>
      <c r="L31" s="491" t="s">
        <v>734</v>
      </c>
      <c r="M31" s="491">
        <v>2</v>
      </c>
      <c r="N31" s="491">
        <v>0</v>
      </c>
      <c r="O31" s="498">
        <v>5300000</v>
      </c>
      <c r="P31" s="495">
        <f t="shared" si="5"/>
        <v>10600000</v>
      </c>
      <c r="Q31" s="493">
        <v>12</v>
      </c>
      <c r="R31" s="493">
        <v>108</v>
      </c>
      <c r="S31" s="491">
        <v>0.12</v>
      </c>
      <c r="T31" s="497">
        <v>1</v>
      </c>
      <c r="U31" s="491">
        <v>0</v>
      </c>
      <c r="V31" s="493">
        <v>106000</v>
      </c>
      <c r="W31" s="493">
        <v>11448000</v>
      </c>
      <c r="X31" s="493">
        <v>0</v>
      </c>
      <c r="Y31" s="493">
        <v>1272000</v>
      </c>
      <c r="Z31" s="493">
        <v>1272000</v>
      </c>
      <c r="AA31" s="493">
        <v>1272000</v>
      </c>
      <c r="AB31" s="493">
        <v>1272000</v>
      </c>
      <c r="AC31" s="493">
        <v>1272000</v>
      </c>
      <c r="AD31" s="493">
        <v>1272000</v>
      </c>
      <c r="AE31" s="493">
        <v>1272000</v>
      </c>
      <c r="AF31" s="493">
        <v>1272000</v>
      </c>
      <c r="AG31" s="493">
        <v>1272000</v>
      </c>
      <c r="AH31" s="493">
        <v>0</v>
      </c>
      <c r="AI31" s="500">
        <v>0</v>
      </c>
      <c r="AJ31" s="500">
        <v>0</v>
      </c>
      <c r="AK31" s="500">
        <v>0</v>
      </c>
      <c r="AL31" s="500">
        <v>0</v>
      </c>
      <c r="AM31" s="500">
        <v>0</v>
      </c>
      <c r="AN31" s="500">
        <v>0</v>
      </c>
      <c r="AO31" s="500">
        <v>0</v>
      </c>
      <c r="AP31" s="500">
        <v>0</v>
      </c>
      <c r="AQ31" s="500">
        <v>0</v>
      </c>
      <c r="AR31" s="500">
        <v>0</v>
      </c>
      <c r="AS31" s="500">
        <v>0</v>
      </c>
      <c r="AT31" s="500">
        <v>0</v>
      </c>
      <c r="AU31" s="493">
        <v>106000</v>
      </c>
      <c r="AV31" s="493">
        <v>106000</v>
      </c>
      <c r="AW31" s="493">
        <v>106000</v>
      </c>
      <c r="AX31" s="493">
        <v>106000</v>
      </c>
      <c r="AY31" s="493">
        <v>106000</v>
      </c>
      <c r="AZ31" s="493">
        <v>106000</v>
      </c>
      <c r="BA31" s="493">
        <v>106000</v>
      </c>
      <c r="BB31" s="493">
        <v>106000</v>
      </c>
      <c r="BC31" s="493">
        <v>106000</v>
      </c>
      <c r="BD31" s="493">
        <v>106000</v>
      </c>
      <c r="BE31" s="493">
        <v>106000</v>
      </c>
      <c r="BF31" s="493">
        <v>106000</v>
      </c>
      <c r="BG31" s="493">
        <v>106000</v>
      </c>
      <c r="BH31" s="493">
        <v>106000</v>
      </c>
      <c r="BI31" s="493">
        <v>106000</v>
      </c>
      <c r="BJ31" s="493">
        <v>106000</v>
      </c>
      <c r="BK31" s="493">
        <v>106000</v>
      </c>
      <c r="BL31" s="493">
        <v>106000</v>
      </c>
      <c r="BM31" s="493">
        <v>106000</v>
      </c>
      <c r="BN31" s="493">
        <v>106000</v>
      </c>
      <c r="BO31" s="493">
        <v>106000</v>
      </c>
      <c r="BP31" s="493">
        <v>106000</v>
      </c>
      <c r="BQ31" s="493">
        <v>106000</v>
      </c>
      <c r="BR31" s="493">
        <v>106000</v>
      </c>
      <c r="BS31" s="493">
        <v>106000</v>
      </c>
      <c r="BT31" s="493">
        <v>106000</v>
      </c>
      <c r="BU31" s="493">
        <v>106000</v>
      </c>
      <c r="BV31" s="493">
        <v>106000</v>
      </c>
      <c r="BW31" s="493">
        <v>106000</v>
      </c>
      <c r="BX31" s="493">
        <v>106000</v>
      </c>
      <c r="BY31" s="493">
        <v>106000</v>
      </c>
      <c r="BZ31" s="493">
        <v>106000</v>
      </c>
      <c r="CA31" s="493">
        <v>106000</v>
      </c>
      <c r="CB31" s="493">
        <v>106000</v>
      </c>
      <c r="CC31" s="493">
        <v>106000</v>
      </c>
      <c r="CD31" s="493">
        <v>106000</v>
      </c>
      <c r="CE31" s="493">
        <v>106000</v>
      </c>
      <c r="CF31" s="493">
        <v>106000</v>
      </c>
      <c r="CG31" s="493">
        <v>106000</v>
      </c>
      <c r="CH31" s="493">
        <v>106000</v>
      </c>
      <c r="CI31" s="493">
        <v>106000</v>
      </c>
      <c r="CJ31" s="493">
        <v>106000</v>
      </c>
      <c r="CK31" s="493">
        <v>106000</v>
      </c>
      <c r="CL31" s="493">
        <v>106000</v>
      </c>
      <c r="CM31" s="493">
        <v>106000</v>
      </c>
      <c r="CN31" s="493">
        <v>106000</v>
      </c>
      <c r="CO31" s="493">
        <v>106000</v>
      </c>
      <c r="CP31" s="493">
        <v>106000</v>
      </c>
      <c r="CQ31" s="493">
        <v>106000</v>
      </c>
      <c r="CR31" s="493">
        <v>106000</v>
      </c>
      <c r="CS31" s="493">
        <v>106000</v>
      </c>
      <c r="CT31" s="493">
        <v>106000</v>
      </c>
      <c r="CU31" s="493">
        <v>106000</v>
      </c>
      <c r="CV31" s="493">
        <v>106000</v>
      </c>
      <c r="CW31" s="493">
        <v>106000</v>
      </c>
      <c r="CX31" s="493">
        <v>106000</v>
      </c>
      <c r="CY31" s="493">
        <v>106000</v>
      </c>
      <c r="CZ31" s="493">
        <v>106000</v>
      </c>
      <c r="DA31" s="493">
        <v>106000</v>
      </c>
      <c r="DB31" s="493">
        <v>106000</v>
      </c>
      <c r="DC31" s="493">
        <v>106000</v>
      </c>
      <c r="DD31" s="493">
        <v>106000</v>
      </c>
      <c r="DE31" s="493">
        <v>106000</v>
      </c>
      <c r="DF31" s="493">
        <v>106000</v>
      </c>
      <c r="DG31" s="493">
        <v>106000</v>
      </c>
      <c r="DH31" s="493">
        <v>106000</v>
      </c>
      <c r="DI31" s="493">
        <v>106000</v>
      </c>
      <c r="DJ31" s="493">
        <v>106000</v>
      </c>
      <c r="DK31" s="493">
        <v>106000</v>
      </c>
      <c r="DL31" s="493">
        <v>106000</v>
      </c>
      <c r="DM31" s="493">
        <v>106000</v>
      </c>
      <c r="DN31" s="493">
        <v>106000</v>
      </c>
      <c r="DO31" s="493">
        <v>106000</v>
      </c>
      <c r="DP31" s="493">
        <v>106000</v>
      </c>
      <c r="DQ31" s="493">
        <v>106000</v>
      </c>
      <c r="DR31" s="493">
        <v>106000</v>
      </c>
      <c r="DS31" s="493">
        <v>106000</v>
      </c>
      <c r="DT31" s="493">
        <v>106000</v>
      </c>
      <c r="DU31" s="493">
        <v>106000</v>
      </c>
      <c r="DV31" s="493">
        <v>106000</v>
      </c>
      <c r="DW31" s="493">
        <v>106000</v>
      </c>
      <c r="DX31" s="493">
        <v>106000</v>
      </c>
      <c r="DY31" s="493">
        <v>106000</v>
      </c>
      <c r="DZ31" s="493">
        <v>106000</v>
      </c>
      <c r="EA31" s="493">
        <v>106000</v>
      </c>
      <c r="EB31" s="493">
        <v>106000</v>
      </c>
      <c r="EC31" s="493">
        <v>106000</v>
      </c>
      <c r="ED31" s="493">
        <v>106000</v>
      </c>
      <c r="EE31" s="493">
        <v>106000</v>
      </c>
      <c r="EF31" s="493">
        <v>106000</v>
      </c>
      <c r="EG31" s="493">
        <v>106000</v>
      </c>
      <c r="EH31" s="493">
        <v>106000</v>
      </c>
      <c r="EI31" s="493">
        <v>106000</v>
      </c>
      <c r="EJ31" s="493">
        <v>106000</v>
      </c>
      <c r="EK31" s="493">
        <v>106000</v>
      </c>
      <c r="EL31" s="493">
        <v>106000</v>
      </c>
      <c r="EM31" s="493">
        <v>106000</v>
      </c>
      <c r="EN31" s="493">
        <v>106000</v>
      </c>
      <c r="EO31" s="493">
        <v>106000</v>
      </c>
      <c r="EP31" s="493">
        <v>106000</v>
      </c>
      <c r="EQ31" s="493">
        <v>106000</v>
      </c>
      <c r="ER31" s="493">
        <v>106000</v>
      </c>
      <c r="ES31" s="493">
        <v>106000</v>
      </c>
      <c r="ET31" s="493">
        <v>106000</v>
      </c>
      <c r="EU31" s="493">
        <v>106000</v>
      </c>
      <c r="EV31" s="493">
        <v>106000</v>
      </c>
      <c r="EW31" s="493">
        <v>106000</v>
      </c>
      <c r="EX31" s="493">
        <v>106000</v>
      </c>
      <c r="EY31" s="493">
        <v>0</v>
      </c>
      <c r="EZ31" s="493">
        <v>0</v>
      </c>
      <c r="FA31" s="493">
        <v>0</v>
      </c>
      <c r="FB31" s="493">
        <v>0</v>
      </c>
      <c r="FC31" s="493">
        <v>0</v>
      </c>
      <c r="FD31" s="493">
        <v>0</v>
      </c>
      <c r="FE31" s="493">
        <v>0</v>
      </c>
      <c r="FF31" s="493">
        <v>0</v>
      </c>
      <c r="FG31" s="493">
        <v>0</v>
      </c>
      <c r="FH31" s="493">
        <v>0</v>
      </c>
      <c r="FI31" s="493">
        <v>0</v>
      </c>
      <c r="FJ31" s="45">
        <v>0</v>
      </c>
    </row>
    <row r="32" spans="1:166">
      <c r="A32" s="501" t="s">
        <v>1077</v>
      </c>
      <c r="B32" s="491" t="s">
        <v>1185</v>
      </c>
      <c r="C32" s="498" t="s">
        <v>1183</v>
      </c>
      <c r="D32" s="498" t="s">
        <v>14</v>
      </c>
      <c r="E32" s="498" t="s">
        <v>979</v>
      </c>
      <c r="F32" s="491" t="s">
        <v>1477</v>
      </c>
      <c r="G32" s="491" t="s">
        <v>689</v>
      </c>
      <c r="H32" s="499" t="s">
        <v>1478</v>
      </c>
      <c r="I32" s="491" t="s">
        <v>1466</v>
      </c>
      <c r="J32" s="491" t="s">
        <v>1084</v>
      </c>
      <c r="K32" s="491">
        <v>0</v>
      </c>
      <c r="L32" s="491" t="s">
        <v>734</v>
      </c>
      <c r="M32" s="491">
        <v>2</v>
      </c>
      <c r="N32" s="491">
        <v>0</v>
      </c>
      <c r="O32" s="498">
        <v>2327220</v>
      </c>
      <c r="P32" s="495">
        <f t="shared" si="5"/>
        <v>4654440</v>
      </c>
      <c r="Q32" s="493">
        <v>36</v>
      </c>
      <c r="R32" s="493">
        <v>84</v>
      </c>
      <c r="S32" s="491">
        <v>0.04</v>
      </c>
      <c r="T32" s="497">
        <v>1</v>
      </c>
      <c r="U32" s="491">
        <v>0</v>
      </c>
      <c r="V32" s="493">
        <v>15514.800000000001</v>
      </c>
      <c r="W32" s="493">
        <v>1303243.1999999997</v>
      </c>
      <c r="X32" s="493">
        <v>0</v>
      </c>
      <c r="Y32" s="493">
        <v>0</v>
      </c>
      <c r="Z32" s="493">
        <v>0</v>
      </c>
      <c r="AA32" s="493">
        <v>186177.59999999998</v>
      </c>
      <c r="AB32" s="493">
        <v>186177.59999999998</v>
      </c>
      <c r="AC32" s="493">
        <v>186177.59999999998</v>
      </c>
      <c r="AD32" s="493">
        <v>186177.59999999998</v>
      </c>
      <c r="AE32" s="493">
        <v>186177.59999999998</v>
      </c>
      <c r="AF32" s="493">
        <v>186177.59999999998</v>
      </c>
      <c r="AG32" s="493">
        <v>186177.59999999998</v>
      </c>
      <c r="AH32" s="493">
        <v>0</v>
      </c>
      <c r="AI32" s="500">
        <v>0</v>
      </c>
      <c r="AJ32" s="500">
        <v>0</v>
      </c>
      <c r="AK32" s="500">
        <v>0</v>
      </c>
      <c r="AL32" s="500">
        <v>0</v>
      </c>
      <c r="AM32" s="500">
        <v>0</v>
      </c>
      <c r="AN32" s="500">
        <v>0</v>
      </c>
      <c r="AO32" s="500">
        <v>0</v>
      </c>
      <c r="AP32" s="500">
        <v>0</v>
      </c>
      <c r="AQ32" s="500">
        <v>0</v>
      </c>
      <c r="AR32" s="500">
        <v>0</v>
      </c>
      <c r="AS32" s="500">
        <v>0</v>
      </c>
      <c r="AT32" s="500">
        <v>0</v>
      </c>
      <c r="AU32" s="500">
        <v>0</v>
      </c>
      <c r="AV32" s="500">
        <v>0</v>
      </c>
      <c r="AW32" s="500">
        <v>0</v>
      </c>
      <c r="AX32" s="500">
        <v>0</v>
      </c>
      <c r="AY32" s="500">
        <v>0</v>
      </c>
      <c r="AZ32" s="500">
        <v>0</v>
      </c>
      <c r="BA32" s="500">
        <v>0</v>
      </c>
      <c r="BB32" s="500">
        <v>0</v>
      </c>
      <c r="BC32" s="500">
        <v>0</v>
      </c>
      <c r="BD32" s="500">
        <v>0</v>
      </c>
      <c r="BE32" s="500">
        <v>0</v>
      </c>
      <c r="BF32" s="500">
        <v>0</v>
      </c>
      <c r="BG32" s="500">
        <v>0</v>
      </c>
      <c r="BH32" s="500">
        <v>0</v>
      </c>
      <c r="BI32" s="500">
        <v>0</v>
      </c>
      <c r="BJ32" s="500">
        <v>0</v>
      </c>
      <c r="BK32" s="500">
        <v>0</v>
      </c>
      <c r="BL32" s="500">
        <v>0</v>
      </c>
      <c r="BM32" s="500">
        <v>0</v>
      </c>
      <c r="BN32" s="500">
        <v>0</v>
      </c>
      <c r="BO32" s="500">
        <v>0</v>
      </c>
      <c r="BP32" s="500">
        <v>0</v>
      </c>
      <c r="BQ32" s="500">
        <v>0</v>
      </c>
      <c r="BR32" s="500">
        <v>0</v>
      </c>
      <c r="BS32" s="493">
        <v>15514.800000000001</v>
      </c>
      <c r="BT32" s="493">
        <v>15514.800000000001</v>
      </c>
      <c r="BU32" s="493">
        <v>15514.800000000001</v>
      </c>
      <c r="BV32" s="493">
        <v>15514.800000000001</v>
      </c>
      <c r="BW32" s="493">
        <v>15514.800000000001</v>
      </c>
      <c r="BX32" s="493">
        <v>15514.800000000001</v>
      </c>
      <c r="BY32" s="493">
        <v>15514.800000000001</v>
      </c>
      <c r="BZ32" s="493">
        <v>15514.800000000001</v>
      </c>
      <c r="CA32" s="493">
        <v>15514.800000000001</v>
      </c>
      <c r="CB32" s="493">
        <v>15514.800000000001</v>
      </c>
      <c r="CC32" s="493">
        <v>15514.800000000001</v>
      </c>
      <c r="CD32" s="493">
        <v>15514.800000000001</v>
      </c>
      <c r="CE32" s="493">
        <v>15514.800000000001</v>
      </c>
      <c r="CF32" s="493">
        <v>15514.800000000001</v>
      </c>
      <c r="CG32" s="493">
        <v>15514.800000000001</v>
      </c>
      <c r="CH32" s="493">
        <v>15514.800000000001</v>
      </c>
      <c r="CI32" s="493">
        <v>15514.800000000001</v>
      </c>
      <c r="CJ32" s="493">
        <v>15514.800000000001</v>
      </c>
      <c r="CK32" s="493">
        <v>15514.800000000001</v>
      </c>
      <c r="CL32" s="493">
        <v>15514.800000000001</v>
      </c>
      <c r="CM32" s="493">
        <v>15514.800000000001</v>
      </c>
      <c r="CN32" s="493">
        <v>15514.800000000001</v>
      </c>
      <c r="CO32" s="493">
        <v>15514.800000000001</v>
      </c>
      <c r="CP32" s="493">
        <v>15514.800000000001</v>
      </c>
      <c r="CQ32" s="493">
        <v>15514.800000000001</v>
      </c>
      <c r="CR32" s="493">
        <v>15514.800000000001</v>
      </c>
      <c r="CS32" s="493">
        <v>15514.800000000001</v>
      </c>
      <c r="CT32" s="493">
        <v>15514.800000000001</v>
      </c>
      <c r="CU32" s="493">
        <v>15514.800000000001</v>
      </c>
      <c r="CV32" s="493">
        <v>15514.800000000001</v>
      </c>
      <c r="CW32" s="493">
        <v>15514.800000000001</v>
      </c>
      <c r="CX32" s="493">
        <v>15514.800000000001</v>
      </c>
      <c r="CY32" s="493">
        <v>15514.800000000001</v>
      </c>
      <c r="CZ32" s="493">
        <v>15514.800000000001</v>
      </c>
      <c r="DA32" s="493">
        <v>15514.800000000001</v>
      </c>
      <c r="DB32" s="493">
        <v>15514.800000000001</v>
      </c>
      <c r="DC32" s="493">
        <v>15514.800000000001</v>
      </c>
      <c r="DD32" s="493">
        <v>15514.800000000001</v>
      </c>
      <c r="DE32" s="493">
        <v>15514.800000000001</v>
      </c>
      <c r="DF32" s="493">
        <v>15514.800000000001</v>
      </c>
      <c r="DG32" s="493">
        <v>15514.800000000001</v>
      </c>
      <c r="DH32" s="493">
        <v>15514.800000000001</v>
      </c>
      <c r="DI32" s="493">
        <v>15514.800000000001</v>
      </c>
      <c r="DJ32" s="493">
        <v>15514.800000000001</v>
      </c>
      <c r="DK32" s="493">
        <v>15514.800000000001</v>
      </c>
      <c r="DL32" s="493">
        <v>15514.800000000001</v>
      </c>
      <c r="DM32" s="493">
        <v>15514.800000000001</v>
      </c>
      <c r="DN32" s="493">
        <v>15514.800000000001</v>
      </c>
      <c r="DO32" s="493">
        <v>15514.800000000001</v>
      </c>
      <c r="DP32" s="493">
        <v>15514.800000000001</v>
      </c>
      <c r="DQ32" s="493">
        <v>15514.800000000001</v>
      </c>
      <c r="DR32" s="493">
        <v>15514.800000000001</v>
      </c>
      <c r="DS32" s="493">
        <v>15514.800000000001</v>
      </c>
      <c r="DT32" s="493">
        <v>15514.800000000001</v>
      </c>
      <c r="DU32" s="493">
        <v>15514.800000000001</v>
      </c>
      <c r="DV32" s="493">
        <v>15514.800000000001</v>
      </c>
      <c r="DW32" s="493">
        <v>15514.800000000001</v>
      </c>
      <c r="DX32" s="493">
        <v>15514.800000000001</v>
      </c>
      <c r="DY32" s="493">
        <v>15514.800000000001</v>
      </c>
      <c r="DZ32" s="493">
        <v>15514.800000000001</v>
      </c>
      <c r="EA32" s="493">
        <v>15514.800000000001</v>
      </c>
      <c r="EB32" s="493">
        <v>15514.800000000001</v>
      </c>
      <c r="EC32" s="493">
        <v>15514.800000000001</v>
      </c>
      <c r="ED32" s="493">
        <v>15514.800000000001</v>
      </c>
      <c r="EE32" s="493">
        <v>15514.800000000001</v>
      </c>
      <c r="EF32" s="493">
        <v>15514.800000000001</v>
      </c>
      <c r="EG32" s="493">
        <v>15514.800000000001</v>
      </c>
      <c r="EH32" s="493">
        <v>15514.800000000001</v>
      </c>
      <c r="EI32" s="493">
        <v>15514.800000000001</v>
      </c>
      <c r="EJ32" s="493">
        <v>15514.800000000001</v>
      </c>
      <c r="EK32" s="493">
        <v>15514.800000000001</v>
      </c>
      <c r="EL32" s="493">
        <v>15514.800000000001</v>
      </c>
      <c r="EM32" s="493">
        <v>15514.800000000001</v>
      </c>
      <c r="EN32" s="493">
        <v>15514.800000000001</v>
      </c>
      <c r="EO32" s="493">
        <v>15514.800000000001</v>
      </c>
      <c r="EP32" s="493">
        <v>15514.800000000001</v>
      </c>
      <c r="EQ32" s="493">
        <v>15514.800000000001</v>
      </c>
      <c r="ER32" s="493">
        <v>15514.800000000001</v>
      </c>
      <c r="ES32" s="493">
        <v>15514.800000000001</v>
      </c>
      <c r="ET32" s="493">
        <v>15514.800000000001</v>
      </c>
      <c r="EU32" s="493">
        <v>15514.800000000001</v>
      </c>
      <c r="EV32" s="493">
        <v>15514.800000000001</v>
      </c>
      <c r="EW32" s="493">
        <v>15514.800000000001</v>
      </c>
      <c r="EX32" s="493">
        <v>15514.800000000001</v>
      </c>
      <c r="EY32" s="493">
        <v>0</v>
      </c>
      <c r="EZ32" s="493">
        <v>0</v>
      </c>
      <c r="FA32" s="493">
        <v>0</v>
      </c>
      <c r="FB32" s="493">
        <v>0</v>
      </c>
      <c r="FC32" s="493">
        <v>0</v>
      </c>
      <c r="FD32" s="493">
        <v>0</v>
      </c>
      <c r="FE32" s="493">
        <v>0</v>
      </c>
      <c r="FF32" s="493">
        <v>0</v>
      </c>
      <c r="FG32" s="493">
        <v>0</v>
      </c>
      <c r="FH32" s="493">
        <v>0</v>
      </c>
      <c r="FI32" s="493">
        <v>0</v>
      </c>
      <c r="FJ32" s="45">
        <v>0</v>
      </c>
    </row>
    <row r="33" spans="1:166">
      <c r="A33" s="501" t="s">
        <v>1078</v>
      </c>
      <c r="B33" s="491" t="s">
        <v>1185</v>
      </c>
      <c r="C33" s="498" t="s">
        <v>1183</v>
      </c>
      <c r="D33" s="498" t="s">
        <v>14</v>
      </c>
      <c r="E33" s="498" t="s">
        <v>977</v>
      </c>
      <c r="F33" s="491" t="s">
        <v>780</v>
      </c>
      <c r="G33" s="491" t="s">
        <v>781</v>
      </c>
      <c r="H33" s="499" t="s">
        <v>782</v>
      </c>
      <c r="I33" s="491" t="s">
        <v>1479</v>
      </c>
      <c r="J33" s="491" t="s">
        <v>1084</v>
      </c>
      <c r="K33" s="491">
        <v>0</v>
      </c>
      <c r="L33" s="491" t="s">
        <v>789</v>
      </c>
      <c r="M33" s="491">
        <v>2</v>
      </c>
      <c r="N33" s="491">
        <v>0</v>
      </c>
      <c r="O33" s="498">
        <v>5000000</v>
      </c>
      <c r="P33" s="495">
        <f t="shared" si="5"/>
        <v>10000000</v>
      </c>
      <c r="Q33" s="493">
        <v>12</v>
      </c>
      <c r="R33" s="493">
        <v>108</v>
      </c>
      <c r="S33" s="491">
        <v>0.12</v>
      </c>
      <c r="T33" s="497">
        <v>1</v>
      </c>
      <c r="U33" s="491">
        <v>0</v>
      </c>
      <c r="V33" s="493">
        <v>100000</v>
      </c>
      <c r="W33" s="493">
        <v>10800000</v>
      </c>
      <c r="X33" s="493">
        <v>0</v>
      </c>
      <c r="Y33" s="493">
        <v>1200000</v>
      </c>
      <c r="Z33" s="493">
        <v>1200000</v>
      </c>
      <c r="AA33" s="493">
        <v>1200000</v>
      </c>
      <c r="AB33" s="493">
        <v>1200000</v>
      </c>
      <c r="AC33" s="493">
        <v>1200000</v>
      </c>
      <c r="AD33" s="493">
        <v>1200000</v>
      </c>
      <c r="AE33" s="493">
        <v>1200000</v>
      </c>
      <c r="AF33" s="493">
        <v>1200000</v>
      </c>
      <c r="AG33" s="493">
        <v>1200000</v>
      </c>
      <c r="AH33" s="493">
        <v>0</v>
      </c>
      <c r="AI33" s="500">
        <v>0</v>
      </c>
      <c r="AJ33" s="500">
        <v>0</v>
      </c>
      <c r="AK33" s="500">
        <v>0</v>
      </c>
      <c r="AL33" s="500">
        <v>0</v>
      </c>
      <c r="AM33" s="500">
        <v>0</v>
      </c>
      <c r="AN33" s="500">
        <v>0</v>
      </c>
      <c r="AO33" s="500">
        <v>0</v>
      </c>
      <c r="AP33" s="500">
        <v>0</v>
      </c>
      <c r="AQ33" s="500">
        <v>0</v>
      </c>
      <c r="AR33" s="500">
        <v>0</v>
      </c>
      <c r="AS33" s="500">
        <v>0</v>
      </c>
      <c r="AT33" s="500">
        <v>0</v>
      </c>
      <c r="AU33" s="493">
        <v>100000</v>
      </c>
      <c r="AV33" s="493">
        <v>100000</v>
      </c>
      <c r="AW33" s="493">
        <v>100000</v>
      </c>
      <c r="AX33" s="493">
        <v>100000</v>
      </c>
      <c r="AY33" s="493">
        <v>100000</v>
      </c>
      <c r="AZ33" s="493">
        <v>100000</v>
      </c>
      <c r="BA33" s="493">
        <v>100000</v>
      </c>
      <c r="BB33" s="493">
        <v>100000</v>
      </c>
      <c r="BC33" s="493">
        <v>100000</v>
      </c>
      <c r="BD33" s="493">
        <v>100000</v>
      </c>
      <c r="BE33" s="493">
        <v>100000</v>
      </c>
      <c r="BF33" s="493">
        <v>100000</v>
      </c>
      <c r="BG33" s="493">
        <v>100000</v>
      </c>
      <c r="BH33" s="493">
        <v>100000</v>
      </c>
      <c r="BI33" s="493">
        <v>100000</v>
      </c>
      <c r="BJ33" s="493">
        <v>100000</v>
      </c>
      <c r="BK33" s="493">
        <v>100000</v>
      </c>
      <c r="BL33" s="493">
        <v>100000</v>
      </c>
      <c r="BM33" s="493">
        <v>100000</v>
      </c>
      <c r="BN33" s="493">
        <v>100000</v>
      </c>
      <c r="BO33" s="493">
        <v>100000</v>
      </c>
      <c r="BP33" s="493">
        <v>100000</v>
      </c>
      <c r="BQ33" s="493">
        <v>100000</v>
      </c>
      <c r="BR33" s="493">
        <v>100000</v>
      </c>
      <c r="BS33" s="493">
        <v>100000</v>
      </c>
      <c r="BT33" s="493">
        <v>100000</v>
      </c>
      <c r="BU33" s="493">
        <v>100000</v>
      </c>
      <c r="BV33" s="493">
        <v>100000</v>
      </c>
      <c r="BW33" s="493">
        <v>100000</v>
      </c>
      <c r="BX33" s="493">
        <v>100000</v>
      </c>
      <c r="BY33" s="493">
        <v>100000</v>
      </c>
      <c r="BZ33" s="493">
        <v>100000</v>
      </c>
      <c r="CA33" s="493">
        <v>100000</v>
      </c>
      <c r="CB33" s="493">
        <v>100000</v>
      </c>
      <c r="CC33" s="493">
        <v>100000</v>
      </c>
      <c r="CD33" s="493">
        <v>100000</v>
      </c>
      <c r="CE33" s="493">
        <v>100000</v>
      </c>
      <c r="CF33" s="493">
        <v>100000</v>
      </c>
      <c r="CG33" s="493">
        <v>100000</v>
      </c>
      <c r="CH33" s="493">
        <v>100000</v>
      </c>
      <c r="CI33" s="493">
        <v>100000</v>
      </c>
      <c r="CJ33" s="493">
        <v>100000</v>
      </c>
      <c r="CK33" s="493">
        <v>100000</v>
      </c>
      <c r="CL33" s="493">
        <v>100000</v>
      </c>
      <c r="CM33" s="493">
        <v>100000</v>
      </c>
      <c r="CN33" s="493">
        <v>100000</v>
      </c>
      <c r="CO33" s="493">
        <v>100000</v>
      </c>
      <c r="CP33" s="493">
        <v>100000</v>
      </c>
      <c r="CQ33" s="493">
        <v>100000</v>
      </c>
      <c r="CR33" s="493">
        <v>100000</v>
      </c>
      <c r="CS33" s="493">
        <v>100000</v>
      </c>
      <c r="CT33" s="493">
        <v>100000</v>
      </c>
      <c r="CU33" s="493">
        <v>100000</v>
      </c>
      <c r="CV33" s="493">
        <v>100000</v>
      </c>
      <c r="CW33" s="493">
        <v>100000</v>
      </c>
      <c r="CX33" s="493">
        <v>100000</v>
      </c>
      <c r="CY33" s="493">
        <v>100000</v>
      </c>
      <c r="CZ33" s="493">
        <v>100000</v>
      </c>
      <c r="DA33" s="493">
        <v>100000</v>
      </c>
      <c r="DB33" s="493">
        <v>100000</v>
      </c>
      <c r="DC33" s="493">
        <v>100000</v>
      </c>
      <c r="DD33" s="493">
        <v>100000</v>
      </c>
      <c r="DE33" s="493">
        <v>100000</v>
      </c>
      <c r="DF33" s="493">
        <v>100000</v>
      </c>
      <c r="DG33" s="493">
        <v>100000</v>
      </c>
      <c r="DH33" s="493">
        <v>100000</v>
      </c>
      <c r="DI33" s="493">
        <v>100000</v>
      </c>
      <c r="DJ33" s="493">
        <v>100000</v>
      </c>
      <c r="DK33" s="493">
        <v>100000</v>
      </c>
      <c r="DL33" s="493">
        <v>100000</v>
      </c>
      <c r="DM33" s="493">
        <v>100000</v>
      </c>
      <c r="DN33" s="493">
        <v>100000</v>
      </c>
      <c r="DO33" s="493">
        <v>100000</v>
      </c>
      <c r="DP33" s="493">
        <v>100000</v>
      </c>
      <c r="DQ33" s="493">
        <v>100000</v>
      </c>
      <c r="DR33" s="493">
        <v>100000</v>
      </c>
      <c r="DS33" s="493">
        <v>100000</v>
      </c>
      <c r="DT33" s="493">
        <v>100000</v>
      </c>
      <c r="DU33" s="493">
        <v>100000</v>
      </c>
      <c r="DV33" s="493">
        <v>100000</v>
      </c>
      <c r="DW33" s="493">
        <v>100000</v>
      </c>
      <c r="DX33" s="493">
        <v>100000</v>
      </c>
      <c r="DY33" s="493">
        <v>100000</v>
      </c>
      <c r="DZ33" s="493">
        <v>100000</v>
      </c>
      <c r="EA33" s="493">
        <v>100000</v>
      </c>
      <c r="EB33" s="493">
        <v>100000</v>
      </c>
      <c r="EC33" s="493">
        <v>100000</v>
      </c>
      <c r="ED33" s="493">
        <v>100000</v>
      </c>
      <c r="EE33" s="493">
        <v>100000</v>
      </c>
      <c r="EF33" s="493">
        <v>100000</v>
      </c>
      <c r="EG33" s="493">
        <v>100000</v>
      </c>
      <c r="EH33" s="493">
        <v>100000</v>
      </c>
      <c r="EI33" s="493">
        <v>100000</v>
      </c>
      <c r="EJ33" s="493">
        <v>100000</v>
      </c>
      <c r="EK33" s="493">
        <v>100000</v>
      </c>
      <c r="EL33" s="493">
        <v>100000</v>
      </c>
      <c r="EM33" s="493">
        <v>100000</v>
      </c>
      <c r="EN33" s="493">
        <v>100000</v>
      </c>
      <c r="EO33" s="493">
        <v>100000</v>
      </c>
      <c r="EP33" s="493">
        <v>100000</v>
      </c>
      <c r="EQ33" s="493">
        <v>100000</v>
      </c>
      <c r="ER33" s="493">
        <v>100000</v>
      </c>
      <c r="ES33" s="493">
        <v>100000</v>
      </c>
      <c r="ET33" s="493">
        <v>100000</v>
      </c>
      <c r="EU33" s="493">
        <v>100000</v>
      </c>
      <c r="EV33" s="493">
        <v>100000</v>
      </c>
      <c r="EW33" s="493">
        <v>100000</v>
      </c>
      <c r="EX33" s="493">
        <v>100000</v>
      </c>
      <c r="EY33" s="493">
        <v>0</v>
      </c>
      <c r="EZ33" s="493">
        <v>0</v>
      </c>
      <c r="FA33" s="493">
        <v>0</v>
      </c>
      <c r="FB33" s="493">
        <v>0</v>
      </c>
      <c r="FC33" s="493">
        <v>0</v>
      </c>
      <c r="FD33" s="493">
        <v>0</v>
      </c>
      <c r="FE33" s="493">
        <v>0</v>
      </c>
      <c r="FF33" s="493">
        <v>0</v>
      </c>
      <c r="FG33" s="493">
        <v>0</v>
      </c>
      <c r="FH33" s="493">
        <v>0</v>
      </c>
      <c r="FI33" s="493">
        <v>0</v>
      </c>
      <c r="FJ33" s="45">
        <v>0</v>
      </c>
    </row>
    <row r="34" spans="1:166">
      <c r="A34" s="501" t="s">
        <v>1079</v>
      </c>
      <c r="B34" s="491" t="s">
        <v>1185</v>
      </c>
      <c r="C34" s="498" t="s">
        <v>1183</v>
      </c>
      <c r="D34" s="498" t="s">
        <v>14</v>
      </c>
      <c r="E34" s="498" t="s">
        <v>977</v>
      </c>
      <c r="F34" s="491" t="s">
        <v>618</v>
      </c>
      <c r="G34" s="491" t="s">
        <v>1480</v>
      </c>
      <c r="H34" s="499" t="s">
        <v>1480</v>
      </c>
      <c r="I34" s="491" t="s">
        <v>1481</v>
      </c>
      <c r="J34" s="491" t="s">
        <v>539</v>
      </c>
      <c r="K34" s="491">
        <v>0</v>
      </c>
      <c r="L34" s="491" t="s">
        <v>590</v>
      </c>
      <c r="M34" s="491">
        <v>1</v>
      </c>
      <c r="N34" s="491">
        <v>0</v>
      </c>
      <c r="O34" s="498">
        <v>48000000</v>
      </c>
      <c r="P34" s="495">
        <f t="shared" si="5"/>
        <v>48000000</v>
      </c>
      <c r="Q34" s="493">
        <v>19</v>
      </c>
      <c r="R34" s="493">
        <v>101</v>
      </c>
      <c r="S34" s="491">
        <v>0.12</v>
      </c>
      <c r="T34" s="497">
        <v>1</v>
      </c>
      <c r="U34" s="491">
        <v>0</v>
      </c>
      <c r="V34" s="493">
        <v>480000</v>
      </c>
      <c r="W34" s="493">
        <v>48480000</v>
      </c>
      <c r="X34" s="493">
        <v>0</v>
      </c>
      <c r="Y34" s="493">
        <v>2400000</v>
      </c>
      <c r="Z34" s="493">
        <v>5760000</v>
      </c>
      <c r="AA34" s="493">
        <v>5760000</v>
      </c>
      <c r="AB34" s="493">
        <v>5760000</v>
      </c>
      <c r="AC34" s="493">
        <v>5760000</v>
      </c>
      <c r="AD34" s="493">
        <v>5760000</v>
      </c>
      <c r="AE34" s="493">
        <v>5760000</v>
      </c>
      <c r="AF34" s="493">
        <v>5760000</v>
      </c>
      <c r="AG34" s="493">
        <v>5760000</v>
      </c>
      <c r="AH34" s="493">
        <v>0</v>
      </c>
      <c r="AI34" s="500">
        <v>0</v>
      </c>
      <c r="AJ34" s="500">
        <v>0</v>
      </c>
      <c r="AK34" s="500">
        <v>0</v>
      </c>
      <c r="AL34" s="500">
        <v>0</v>
      </c>
      <c r="AM34" s="500">
        <v>0</v>
      </c>
      <c r="AN34" s="500">
        <v>0</v>
      </c>
      <c r="AO34" s="500">
        <v>0</v>
      </c>
      <c r="AP34" s="500">
        <v>0</v>
      </c>
      <c r="AQ34" s="500">
        <v>0</v>
      </c>
      <c r="AR34" s="500">
        <v>0</v>
      </c>
      <c r="AS34" s="500">
        <v>0</v>
      </c>
      <c r="AT34" s="500">
        <v>0</v>
      </c>
      <c r="AU34" s="500">
        <v>0</v>
      </c>
      <c r="AV34" s="500">
        <v>0</v>
      </c>
      <c r="AW34" s="500">
        <v>0</v>
      </c>
      <c r="AX34" s="500">
        <v>0</v>
      </c>
      <c r="AY34" s="500">
        <v>0</v>
      </c>
      <c r="AZ34" s="500">
        <v>0</v>
      </c>
      <c r="BA34" s="500">
        <v>0</v>
      </c>
      <c r="BB34" s="493">
        <v>480000</v>
      </c>
      <c r="BC34" s="493">
        <v>480000</v>
      </c>
      <c r="BD34" s="493">
        <v>480000</v>
      </c>
      <c r="BE34" s="493">
        <v>480000</v>
      </c>
      <c r="BF34" s="493">
        <v>480000</v>
      </c>
      <c r="BG34" s="493">
        <v>480000</v>
      </c>
      <c r="BH34" s="493">
        <v>480000</v>
      </c>
      <c r="BI34" s="493">
        <v>480000</v>
      </c>
      <c r="BJ34" s="493">
        <v>480000</v>
      </c>
      <c r="BK34" s="493">
        <v>480000</v>
      </c>
      <c r="BL34" s="493">
        <v>480000</v>
      </c>
      <c r="BM34" s="493">
        <v>480000</v>
      </c>
      <c r="BN34" s="493">
        <v>480000</v>
      </c>
      <c r="BO34" s="493">
        <v>480000</v>
      </c>
      <c r="BP34" s="493">
        <v>480000</v>
      </c>
      <c r="BQ34" s="493">
        <v>480000</v>
      </c>
      <c r="BR34" s="493">
        <v>480000</v>
      </c>
      <c r="BS34" s="493">
        <v>480000</v>
      </c>
      <c r="BT34" s="493">
        <v>480000</v>
      </c>
      <c r="BU34" s="493">
        <v>480000</v>
      </c>
      <c r="BV34" s="493">
        <v>480000</v>
      </c>
      <c r="BW34" s="493">
        <v>480000</v>
      </c>
      <c r="BX34" s="493">
        <v>480000</v>
      </c>
      <c r="BY34" s="493">
        <v>480000</v>
      </c>
      <c r="BZ34" s="493">
        <v>480000</v>
      </c>
      <c r="CA34" s="493">
        <v>480000</v>
      </c>
      <c r="CB34" s="493">
        <v>480000</v>
      </c>
      <c r="CC34" s="493">
        <v>480000</v>
      </c>
      <c r="CD34" s="493">
        <v>480000</v>
      </c>
      <c r="CE34" s="493">
        <v>480000</v>
      </c>
      <c r="CF34" s="493">
        <v>480000</v>
      </c>
      <c r="CG34" s="493">
        <v>480000</v>
      </c>
      <c r="CH34" s="493">
        <v>480000</v>
      </c>
      <c r="CI34" s="493">
        <v>480000</v>
      </c>
      <c r="CJ34" s="493">
        <v>480000</v>
      </c>
      <c r="CK34" s="493">
        <v>480000</v>
      </c>
      <c r="CL34" s="493">
        <v>480000</v>
      </c>
      <c r="CM34" s="493">
        <v>480000</v>
      </c>
      <c r="CN34" s="493">
        <v>480000</v>
      </c>
      <c r="CO34" s="493">
        <v>480000</v>
      </c>
      <c r="CP34" s="493">
        <v>480000</v>
      </c>
      <c r="CQ34" s="493">
        <v>480000</v>
      </c>
      <c r="CR34" s="493">
        <v>480000</v>
      </c>
      <c r="CS34" s="493">
        <v>480000</v>
      </c>
      <c r="CT34" s="493">
        <v>480000</v>
      </c>
      <c r="CU34" s="493">
        <v>480000</v>
      </c>
      <c r="CV34" s="493">
        <v>480000</v>
      </c>
      <c r="CW34" s="493">
        <v>480000</v>
      </c>
      <c r="CX34" s="493">
        <v>480000</v>
      </c>
      <c r="CY34" s="493">
        <v>480000</v>
      </c>
      <c r="CZ34" s="493">
        <v>480000</v>
      </c>
      <c r="DA34" s="493">
        <v>480000</v>
      </c>
      <c r="DB34" s="493">
        <v>480000</v>
      </c>
      <c r="DC34" s="493">
        <v>480000</v>
      </c>
      <c r="DD34" s="493">
        <v>480000</v>
      </c>
      <c r="DE34" s="493">
        <v>480000</v>
      </c>
      <c r="DF34" s="493">
        <v>480000</v>
      </c>
      <c r="DG34" s="493">
        <v>480000</v>
      </c>
      <c r="DH34" s="493">
        <v>480000</v>
      </c>
      <c r="DI34" s="493">
        <v>480000</v>
      </c>
      <c r="DJ34" s="493">
        <v>480000</v>
      </c>
      <c r="DK34" s="493">
        <v>480000</v>
      </c>
      <c r="DL34" s="493">
        <v>480000</v>
      </c>
      <c r="DM34" s="493">
        <v>480000</v>
      </c>
      <c r="DN34" s="493">
        <v>480000</v>
      </c>
      <c r="DO34" s="493">
        <v>480000</v>
      </c>
      <c r="DP34" s="493">
        <v>480000</v>
      </c>
      <c r="DQ34" s="493">
        <v>480000</v>
      </c>
      <c r="DR34" s="493">
        <v>480000</v>
      </c>
      <c r="DS34" s="493">
        <v>480000</v>
      </c>
      <c r="DT34" s="493">
        <v>480000</v>
      </c>
      <c r="DU34" s="493">
        <v>480000</v>
      </c>
      <c r="DV34" s="493">
        <v>480000</v>
      </c>
      <c r="DW34" s="493">
        <v>480000</v>
      </c>
      <c r="DX34" s="493">
        <v>480000</v>
      </c>
      <c r="DY34" s="493">
        <v>480000</v>
      </c>
      <c r="DZ34" s="493">
        <v>480000</v>
      </c>
      <c r="EA34" s="493">
        <v>480000</v>
      </c>
      <c r="EB34" s="493">
        <v>480000</v>
      </c>
      <c r="EC34" s="493">
        <v>480000</v>
      </c>
      <c r="ED34" s="493">
        <v>480000</v>
      </c>
      <c r="EE34" s="493">
        <v>480000</v>
      </c>
      <c r="EF34" s="493">
        <v>480000</v>
      </c>
      <c r="EG34" s="493">
        <v>480000</v>
      </c>
      <c r="EH34" s="493">
        <v>480000</v>
      </c>
      <c r="EI34" s="493">
        <v>480000</v>
      </c>
      <c r="EJ34" s="493">
        <v>480000</v>
      </c>
      <c r="EK34" s="493">
        <v>480000</v>
      </c>
      <c r="EL34" s="493">
        <v>480000</v>
      </c>
      <c r="EM34" s="493">
        <v>480000</v>
      </c>
      <c r="EN34" s="493">
        <v>480000</v>
      </c>
      <c r="EO34" s="493">
        <v>480000</v>
      </c>
      <c r="EP34" s="493">
        <v>480000</v>
      </c>
      <c r="EQ34" s="493">
        <v>480000</v>
      </c>
      <c r="ER34" s="493">
        <v>480000</v>
      </c>
      <c r="ES34" s="493">
        <v>480000</v>
      </c>
      <c r="ET34" s="493">
        <v>480000</v>
      </c>
      <c r="EU34" s="493">
        <v>480000</v>
      </c>
      <c r="EV34" s="493">
        <v>480000</v>
      </c>
      <c r="EW34" s="493">
        <v>480000</v>
      </c>
      <c r="EX34" s="493">
        <v>480000</v>
      </c>
      <c r="EY34" s="493">
        <v>0</v>
      </c>
      <c r="EZ34" s="493">
        <v>0</v>
      </c>
      <c r="FA34" s="493">
        <v>0</v>
      </c>
      <c r="FB34" s="493">
        <v>0</v>
      </c>
      <c r="FC34" s="493">
        <v>0</v>
      </c>
      <c r="FD34" s="493">
        <v>0</v>
      </c>
      <c r="FE34" s="493">
        <v>0</v>
      </c>
      <c r="FF34" s="493">
        <v>0</v>
      </c>
      <c r="FG34" s="493">
        <v>0</v>
      </c>
      <c r="FH34" s="493">
        <v>0</v>
      </c>
      <c r="FI34" s="493">
        <v>0</v>
      </c>
      <c r="FJ34" s="45">
        <v>0</v>
      </c>
    </row>
    <row r="35" spans="1:166">
      <c r="A35" s="501" t="s">
        <v>1080</v>
      </c>
      <c r="B35" s="491" t="s">
        <v>1185</v>
      </c>
      <c r="C35" s="498" t="s">
        <v>1183</v>
      </c>
      <c r="D35" s="498" t="s">
        <v>14</v>
      </c>
      <c r="E35" s="498" t="s">
        <v>977</v>
      </c>
      <c r="F35" s="491" t="s">
        <v>780</v>
      </c>
      <c r="G35" s="491" t="s">
        <v>781</v>
      </c>
      <c r="H35" s="499" t="s">
        <v>782</v>
      </c>
      <c r="I35" s="491" t="s">
        <v>1479</v>
      </c>
      <c r="J35" s="491" t="s">
        <v>1084</v>
      </c>
      <c r="K35" s="491">
        <v>0</v>
      </c>
      <c r="L35" s="491" t="s">
        <v>789</v>
      </c>
      <c r="M35" s="491">
        <v>4</v>
      </c>
      <c r="N35" s="491">
        <v>0</v>
      </c>
      <c r="O35" s="498">
        <v>5000000</v>
      </c>
      <c r="P35" s="495">
        <f t="shared" si="5"/>
        <v>20000000</v>
      </c>
      <c r="Q35" s="493">
        <v>12</v>
      </c>
      <c r="R35" s="493">
        <v>108</v>
      </c>
      <c r="S35" s="491">
        <v>0.12</v>
      </c>
      <c r="T35" s="497">
        <v>1</v>
      </c>
      <c r="U35" s="491">
        <v>0</v>
      </c>
      <c r="V35" s="493">
        <v>200000</v>
      </c>
      <c r="W35" s="493">
        <v>21600000</v>
      </c>
      <c r="X35" s="493">
        <v>0</v>
      </c>
      <c r="Y35" s="493">
        <v>2400000</v>
      </c>
      <c r="Z35" s="493">
        <v>2400000</v>
      </c>
      <c r="AA35" s="493">
        <v>2400000</v>
      </c>
      <c r="AB35" s="493">
        <v>2400000</v>
      </c>
      <c r="AC35" s="493">
        <v>2400000</v>
      </c>
      <c r="AD35" s="493">
        <v>2400000</v>
      </c>
      <c r="AE35" s="493">
        <v>2400000</v>
      </c>
      <c r="AF35" s="493">
        <v>2400000</v>
      </c>
      <c r="AG35" s="493">
        <v>2400000</v>
      </c>
      <c r="AH35" s="493">
        <v>0</v>
      </c>
      <c r="AI35" s="500">
        <v>0</v>
      </c>
      <c r="AJ35" s="500">
        <v>0</v>
      </c>
      <c r="AK35" s="500">
        <v>0</v>
      </c>
      <c r="AL35" s="500">
        <v>0</v>
      </c>
      <c r="AM35" s="500">
        <v>0</v>
      </c>
      <c r="AN35" s="500">
        <v>0</v>
      </c>
      <c r="AO35" s="500">
        <v>0</v>
      </c>
      <c r="AP35" s="500">
        <v>0</v>
      </c>
      <c r="AQ35" s="500">
        <v>0</v>
      </c>
      <c r="AR35" s="500">
        <v>0</v>
      </c>
      <c r="AS35" s="500">
        <v>0</v>
      </c>
      <c r="AT35" s="500">
        <v>0</v>
      </c>
      <c r="AU35" s="493">
        <v>200000</v>
      </c>
      <c r="AV35" s="493">
        <v>200000</v>
      </c>
      <c r="AW35" s="493">
        <v>200000</v>
      </c>
      <c r="AX35" s="493">
        <v>200000</v>
      </c>
      <c r="AY35" s="493">
        <v>200000</v>
      </c>
      <c r="AZ35" s="493">
        <v>200000</v>
      </c>
      <c r="BA35" s="493">
        <v>200000</v>
      </c>
      <c r="BB35" s="493">
        <v>200000</v>
      </c>
      <c r="BC35" s="493">
        <v>200000</v>
      </c>
      <c r="BD35" s="493">
        <v>200000</v>
      </c>
      <c r="BE35" s="493">
        <v>200000</v>
      </c>
      <c r="BF35" s="493">
        <v>200000</v>
      </c>
      <c r="BG35" s="493">
        <v>200000</v>
      </c>
      <c r="BH35" s="493">
        <v>200000</v>
      </c>
      <c r="BI35" s="493">
        <v>200000</v>
      </c>
      <c r="BJ35" s="493">
        <v>200000</v>
      </c>
      <c r="BK35" s="493">
        <v>200000</v>
      </c>
      <c r="BL35" s="493">
        <v>200000</v>
      </c>
      <c r="BM35" s="493">
        <v>200000</v>
      </c>
      <c r="BN35" s="493">
        <v>200000</v>
      </c>
      <c r="BO35" s="493">
        <v>200000</v>
      </c>
      <c r="BP35" s="493">
        <v>200000</v>
      </c>
      <c r="BQ35" s="493">
        <v>200000</v>
      </c>
      <c r="BR35" s="493">
        <v>200000</v>
      </c>
      <c r="BS35" s="493">
        <v>200000</v>
      </c>
      <c r="BT35" s="493">
        <v>200000</v>
      </c>
      <c r="BU35" s="493">
        <v>200000</v>
      </c>
      <c r="BV35" s="493">
        <v>200000</v>
      </c>
      <c r="BW35" s="493">
        <v>200000</v>
      </c>
      <c r="BX35" s="493">
        <v>200000</v>
      </c>
      <c r="BY35" s="493">
        <v>200000</v>
      </c>
      <c r="BZ35" s="493">
        <v>200000</v>
      </c>
      <c r="CA35" s="493">
        <v>200000</v>
      </c>
      <c r="CB35" s="493">
        <v>200000</v>
      </c>
      <c r="CC35" s="493">
        <v>200000</v>
      </c>
      <c r="CD35" s="493">
        <v>200000</v>
      </c>
      <c r="CE35" s="493">
        <v>200000</v>
      </c>
      <c r="CF35" s="493">
        <v>200000</v>
      </c>
      <c r="CG35" s="493">
        <v>200000</v>
      </c>
      <c r="CH35" s="493">
        <v>200000</v>
      </c>
      <c r="CI35" s="493">
        <v>200000</v>
      </c>
      <c r="CJ35" s="493">
        <v>200000</v>
      </c>
      <c r="CK35" s="493">
        <v>200000</v>
      </c>
      <c r="CL35" s="493">
        <v>200000</v>
      </c>
      <c r="CM35" s="493">
        <v>200000</v>
      </c>
      <c r="CN35" s="493">
        <v>200000</v>
      </c>
      <c r="CO35" s="493">
        <v>200000</v>
      </c>
      <c r="CP35" s="493">
        <v>200000</v>
      </c>
      <c r="CQ35" s="493">
        <v>200000</v>
      </c>
      <c r="CR35" s="493">
        <v>200000</v>
      </c>
      <c r="CS35" s="493">
        <v>200000</v>
      </c>
      <c r="CT35" s="493">
        <v>200000</v>
      </c>
      <c r="CU35" s="493">
        <v>200000</v>
      </c>
      <c r="CV35" s="493">
        <v>200000</v>
      </c>
      <c r="CW35" s="493">
        <v>200000</v>
      </c>
      <c r="CX35" s="493">
        <v>200000</v>
      </c>
      <c r="CY35" s="493">
        <v>200000</v>
      </c>
      <c r="CZ35" s="493">
        <v>200000</v>
      </c>
      <c r="DA35" s="493">
        <v>200000</v>
      </c>
      <c r="DB35" s="493">
        <v>200000</v>
      </c>
      <c r="DC35" s="493">
        <v>200000</v>
      </c>
      <c r="DD35" s="493">
        <v>200000</v>
      </c>
      <c r="DE35" s="493">
        <v>200000</v>
      </c>
      <c r="DF35" s="493">
        <v>200000</v>
      </c>
      <c r="DG35" s="493">
        <v>200000</v>
      </c>
      <c r="DH35" s="493">
        <v>200000</v>
      </c>
      <c r="DI35" s="493">
        <v>200000</v>
      </c>
      <c r="DJ35" s="493">
        <v>200000</v>
      </c>
      <c r="DK35" s="493">
        <v>200000</v>
      </c>
      <c r="DL35" s="493">
        <v>200000</v>
      </c>
      <c r="DM35" s="493">
        <v>200000</v>
      </c>
      <c r="DN35" s="493">
        <v>200000</v>
      </c>
      <c r="DO35" s="493">
        <v>200000</v>
      </c>
      <c r="DP35" s="493">
        <v>200000</v>
      </c>
      <c r="DQ35" s="493">
        <v>200000</v>
      </c>
      <c r="DR35" s="493">
        <v>200000</v>
      </c>
      <c r="DS35" s="493">
        <v>200000</v>
      </c>
      <c r="DT35" s="493">
        <v>200000</v>
      </c>
      <c r="DU35" s="493">
        <v>200000</v>
      </c>
      <c r="DV35" s="493">
        <v>200000</v>
      </c>
      <c r="DW35" s="493">
        <v>200000</v>
      </c>
      <c r="DX35" s="493">
        <v>200000</v>
      </c>
      <c r="DY35" s="493">
        <v>200000</v>
      </c>
      <c r="DZ35" s="493">
        <v>200000</v>
      </c>
      <c r="EA35" s="493">
        <v>200000</v>
      </c>
      <c r="EB35" s="493">
        <v>200000</v>
      </c>
      <c r="EC35" s="493">
        <v>200000</v>
      </c>
      <c r="ED35" s="493">
        <v>200000</v>
      </c>
      <c r="EE35" s="493">
        <v>200000</v>
      </c>
      <c r="EF35" s="493">
        <v>200000</v>
      </c>
      <c r="EG35" s="493">
        <v>200000</v>
      </c>
      <c r="EH35" s="493">
        <v>200000</v>
      </c>
      <c r="EI35" s="493">
        <v>200000</v>
      </c>
      <c r="EJ35" s="493">
        <v>200000</v>
      </c>
      <c r="EK35" s="493">
        <v>200000</v>
      </c>
      <c r="EL35" s="493">
        <v>200000</v>
      </c>
      <c r="EM35" s="493">
        <v>200000</v>
      </c>
      <c r="EN35" s="493">
        <v>200000</v>
      </c>
      <c r="EO35" s="493">
        <v>200000</v>
      </c>
      <c r="EP35" s="493">
        <v>200000</v>
      </c>
      <c r="EQ35" s="493">
        <v>200000</v>
      </c>
      <c r="ER35" s="493">
        <v>200000</v>
      </c>
      <c r="ES35" s="493">
        <v>200000</v>
      </c>
      <c r="ET35" s="493">
        <v>200000</v>
      </c>
      <c r="EU35" s="493">
        <v>200000</v>
      </c>
      <c r="EV35" s="493">
        <v>200000</v>
      </c>
      <c r="EW35" s="493">
        <v>200000</v>
      </c>
      <c r="EX35" s="493">
        <v>200000</v>
      </c>
      <c r="EY35" s="493">
        <v>0</v>
      </c>
      <c r="EZ35" s="493">
        <v>0</v>
      </c>
      <c r="FA35" s="493">
        <v>0</v>
      </c>
      <c r="FB35" s="493">
        <v>0</v>
      </c>
      <c r="FC35" s="493">
        <v>0</v>
      </c>
      <c r="FD35" s="493">
        <v>0</v>
      </c>
      <c r="FE35" s="493">
        <v>0</v>
      </c>
      <c r="FF35" s="493">
        <v>0</v>
      </c>
      <c r="FG35" s="493">
        <v>0</v>
      </c>
      <c r="FH35" s="493">
        <v>0</v>
      </c>
      <c r="FI35" s="493">
        <v>0</v>
      </c>
      <c r="FJ35" s="45">
        <v>0</v>
      </c>
    </row>
    <row r="36" spans="1:166">
      <c r="A36" s="501" t="s">
        <v>1081</v>
      </c>
      <c r="B36" s="491" t="s">
        <v>1185</v>
      </c>
      <c r="C36" s="498" t="s">
        <v>1183</v>
      </c>
      <c r="D36" s="498" t="s">
        <v>14</v>
      </c>
      <c r="E36" s="498" t="s">
        <v>977</v>
      </c>
      <c r="F36" s="491" t="s">
        <v>783</v>
      </c>
      <c r="G36" s="491" t="s">
        <v>784</v>
      </c>
      <c r="H36" s="499" t="s">
        <v>785</v>
      </c>
      <c r="I36" s="491" t="s">
        <v>1482</v>
      </c>
      <c r="J36" s="491" t="s">
        <v>1084</v>
      </c>
      <c r="K36" s="491">
        <v>0</v>
      </c>
      <c r="L36" s="491" t="s">
        <v>789</v>
      </c>
      <c r="M36" s="491">
        <v>6</v>
      </c>
      <c r="N36" s="491">
        <v>0</v>
      </c>
      <c r="O36" s="498">
        <v>200000</v>
      </c>
      <c r="P36" s="495">
        <f t="shared" si="5"/>
        <v>1200000</v>
      </c>
      <c r="Q36" s="493">
        <v>12</v>
      </c>
      <c r="R36" s="493">
        <v>108</v>
      </c>
      <c r="S36" s="491">
        <v>0.1</v>
      </c>
      <c r="T36" s="497">
        <v>1</v>
      </c>
      <c r="U36" s="491">
        <v>0</v>
      </c>
      <c r="V36" s="493">
        <v>10000</v>
      </c>
      <c r="W36" s="493">
        <v>1080000</v>
      </c>
      <c r="X36" s="493">
        <v>0</v>
      </c>
      <c r="Y36" s="493">
        <v>120000</v>
      </c>
      <c r="Z36" s="493">
        <v>120000</v>
      </c>
      <c r="AA36" s="493">
        <v>120000</v>
      </c>
      <c r="AB36" s="493">
        <v>120000</v>
      </c>
      <c r="AC36" s="493">
        <v>120000</v>
      </c>
      <c r="AD36" s="493">
        <v>120000</v>
      </c>
      <c r="AE36" s="493">
        <v>120000</v>
      </c>
      <c r="AF36" s="493">
        <v>120000</v>
      </c>
      <c r="AG36" s="493">
        <v>120000</v>
      </c>
      <c r="AH36" s="493">
        <v>0</v>
      </c>
      <c r="AI36" s="500">
        <v>0</v>
      </c>
      <c r="AJ36" s="500">
        <v>0</v>
      </c>
      <c r="AK36" s="500">
        <v>0</v>
      </c>
      <c r="AL36" s="500">
        <v>0</v>
      </c>
      <c r="AM36" s="500">
        <v>0</v>
      </c>
      <c r="AN36" s="500">
        <v>0</v>
      </c>
      <c r="AO36" s="500">
        <v>0</v>
      </c>
      <c r="AP36" s="500">
        <v>0</v>
      </c>
      <c r="AQ36" s="500">
        <v>0</v>
      </c>
      <c r="AR36" s="500">
        <v>0</v>
      </c>
      <c r="AS36" s="500">
        <v>0</v>
      </c>
      <c r="AT36" s="500">
        <v>0</v>
      </c>
      <c r="AU36" s="493">
        <v>10000</v>
      </c>
      <c r="AV36" s="493">
        <v>10000</v>
      </c>
      <c r="AW36" s="493">
        <v>10000</v>
      </c>
      <c r="AX36" s="493">
        <v>10000</v>
      </c>
      <c r="AY36" s="493">
        <v>10000</v>
      </c>
      <c r="AZ36" s="493">
        <v>10000</v>
      </c>
      <c r="BA36" s="493">
        <v>10000</v>
      </c>
      <c r="BB36" s="493">
        <v>10000</v>
      </c>
      <c r="BC36" s="493">
        <v>10000</v>
      </c>
      <c r="BD36" s="493">
        <v>10000</v>
      </c>
      <c r="BE36" s="493">
        <v>10000</v>
      </c>
      <c r="BF36" s="493">
        <v>10000</v>
      </c>
      <c r="BG36" s="493">
        <v>10000</v>
      </c>
      <c r="BH36" s="493">
        <v>10000</v>
      </c>
      <c r="BI36" s="493">
        <v>10000</v>
      </c>
      <c r="BJ36" s="493">
        <v>10000</v>
      </c>
      <c r="BK36" s="493">
        <v>10000</v>
      </c>
      <c r="BL36" s="493">
        <v>10000</v>
      </c>
      <c r="BM36" s="493">
        <v>10000</v>
      </c>
      <c r="BN36" s="493">
        <v>10000</v>
      </c>
      <c r="BO36" s="493">
        <v>10000</v>
      </c>
      <c r="BP36" s="493">
        <v>10000</v>
      </c>
      <c r="BQ36" s="493">
        <v>10000</v>
      </c>
      <c r="BR36" s="493">
        <v>10000</v>
      </c>
      <c r="BS36" s="493">
        <v>10000</v>
      </c>
      <c r="BT36" s="493">
        <v>10000</v>
      </c>
      <c r="BU36" s="493">
        <v>10000</v>
      </c>
      <c r="BV36" s="493">
        <v>10000</v>
      </c>
      <c r="BW36" s="493">
        <v>10000</v>
      </c>
      <c r="BX36" s="493">
        <v>10000</v>
      </c>
      <c r="BY36" s="493">
        <v>10000</v>
      </c>
      <c r="BZ36" s="493">
        <v>10000</v>
      </c>
      <c r="CA36" s="493">
        <v>10000</v>
      </c>
      <c r="CB36" s="493">
        <v>10000</v>
      </c>
      <c r="CC36" s="493">
        <v>10000</v>
      </c>
      <c r="CD36" s="493">
        <v>10000</v>
      </c>
      <c r="CE36" s="493">
        <v>10000</v>
      </c>
      <c r="CF36" s="493">
        <v>10000</v>
      </c>
      <c r="CG36" s="493">
        <v>10000</v>
      </c>
      <c r="CH36" s="493">
        <v>10000</v>
      </c>
      <c r="CI36" s="493">
        <v>10000</v>
      </c>
      <c r="CJ36" s="493">
        <v>10000</v>
      </c>
      <c r="CK36" s="493">
        <v>10000</v>
      </c>
      <c r="CL36" s="493">
        <v>10000</v>
      </c>
      <c r="CM36" s="493">
        <v>10000</v>
      </c>
      <c r="CN36" s="493">
        <v>10000</v>
      </c>
      <c r="CO36" s="493">
        <v>10000</v>
      </c>
      <c r="CP36" s="493">
        <v>10000</v>
      </c>
      <c r="CQ36" s="493">
        <v>10000</v>
      </c>
      <c r="CR36" s="493">
        <v>10000</v>
      </c>
      <c r="CS36" s="493">
        <v>10000</v>
      </c>
      <c r="CT36" s="493">
        <v>10000</v>
      </c>
      <c r="CU36" s="493">
        <v>10000</v>
      </c>
      <c r="CV36" s="493">
        <v>10000</v>
      </c>
      <c r="CW36" s="493">
        <v>10000</v>
      </c>
      <c r="CX36" s="493">
        <v>10000</v>
      </c>
      <c r="CY36" s="493">
        <v>10000</v>
      </c>
      <c r="CZ36" s="493">
        <v>10000</v>
      </c>
      <c r="DA36" s="493">
        <v>10000</v>
      </c>
      <c r="DB36" s="493">
        <v>10000</v>
      </c>
      <c r="DC36" s="493">
        <v>10000</v>
      </c>
      <c r="DD36" s="493">
        <v>10000</v>
      </c>
      <c r="DE36" s="493">
        <v>10000</v>
      </c>
      <c r="DF36" s="493">
        <v>10000</v>
      </c>
      <c r="DG36" s="493">
        <v>10000</v>
      </c>
      <c r="DH36" s="493">
        <v>10000</v>
      </c>
      <c r="DI36" s="493">
        <v>10000</v>
      </c>
      <c r="DJ36" s="493">
        <v>10000</v>
      </c>
      <c r="DK36" s="493">
        <v>10000</v>
      </c>
      <c r="DL36" s="493">
        <v>10000</v>
      </c>
      <c r="DM36" s="493">
        <v>10000</v>
      </c>
      <c r="DN36" s="493">
        <v>10000</v>
      </c>
      <c r="DO36" s="493">
        <v>10000</v>
      </c>
      <c r="DP36" s="493">
        <v>10000</v>
      </c>
      <c r="DQ36" s="493">
        <v>10000</v>
      </c>
      <c r="DR36" s="493">
        <v>10000</v>
      </c>
      <c r="DS36" s="493">
        <v>10000</v>
      </c>
      <c r="DT36" s="493">
        <v>10000</v>
      </c>
      <c r="DU36" s="493">
        <v>10000</v>
      </c>
      <c r="DV36" s="493">
        <v>10000</v>
      </c>
      <c r="DW36" s="493">
        <v>10000</v>
      </c>
      <c r="DX36" s="493">
        <v>10000</v>
      </c>
      <c r="DY36" s="493">
        <v>10000</v>
      </c>
      <c r="DZ36" s="493">
        <v>10000</v>
      </c>
      <c r="EA36" s="493">
        <v>10000</v>
      </c>
      <c r="EB36" s="493">
        <v>10000</v>
      </c>
      <c r="EC36" s="493">
        <v>10000</v>
      </c>
      <c r="ED36" s="493">
        <v>10000</v>
      </c>
      <c r="EE36" s="493">
        <v>10000</v>
      </c>
      <c r="EF36" s="493">
        <v>10000</v>
      </c>
      <c r="EG36" s="493">
        <v>10000</v>
      </c>
      <c r="EH36" s="493">
        <v>10000</v>
      </c>
      <c r="EI36" s="493">
        <v>10000</v>
      </c>
      <c r="EJ36" s="493">
        <v>10000</v>
      </c>
      <c r="EK36" s="493">
        <v>10000</v>
      </c>
      <c r="EL36" s="493">
        <v>10000</v>
      </c>
      <c r="EM36" s="493">
        <v>10000</v>
      </c>
      <c r="EN36" s="493">
        <v>10000</v>
      </c>
      <c r="EO36" s="493">
        <v>10000</v>
      </c>
      <c r="EP36" s="493">
        <v>10000</v>
      </c>
      <c r="EQ36" s="493">
        <v>10000</v>
      </c>
      <c r="ER36" s="493">
        <v>10000</v>
      </c>
      <c r="ES36" s="493">
        <v>10000</v>
      </c>
      <c r="ET36" s="493">
        <v>10000</v>
      </c>
      <c r="EU36" s="493">
        <v>10000</v>
      </c>
      <c r="EV36" s="493">
        <v>10000</v>
      </c>
      <c r="EW36" s="493">
        <v>10000</v>
      </c>
      <c r="EX36" s="493">
        <v>10000</v>
      </c>
      <c r="EY36" s="493">
        <v>0</v>
      </c>
      <c r="EZ36" s="493">
        <v>0</v>
      </c>
      <c r="FA36" s="493">
        <v>0</v>
      </c>
      <c r="FB36" s="493">
        <v>0</v>
      </c>
      <c r="FC36" s="493">
        <v>0</v>
      </c>
      <c r="FD36" s="493">
        <v>0</v>
      </c>
      <c r="FE36" s="493">
        <v>0</v>
      </c>
      <c r="FF36" s="493">
        <v>0</v>
      </c>
      <c r="FG36" s="493">
        <v>0</v>
      </c>
      <c r="FH36" s="493">
        <v>0</v>
      </c>
      <c r="FI36" s="493">
        <v>0</v>
      </c>
      <c r="FJ36" s="45">
        <v>0</v>
      </c>
    </row>
    <row r="37" spans="1:166" ht="18" thickBot="1">
      <c r="A37" s="502" t="s">
        <v>1082</v>
      </c>
      <c r="B37" s="503" t="s">
        <v>1185</v>
      </c>
      <c r="C37" s="504" t="s">
        <v>1183</v>
      </c>
      <c r="D37" s="504" t="s">
        <v>14</v>
      </c>
      <c r="E37" s="504" t="s">
        <v>977</v>
      </c>
      <c r="F37" s="503" t="s">
        <v>1194</v>
      </c>
      <c r="G37" s="503" t="s">
        <v>1195</v>
      </c>
      <c r="H37" s="535" t="s">
        <v>1483</v>
      </c>
      <c r="I37" s="503" t="s">
        <v>1484</v>
      </c>
      <c r="J37" s="503" t="s">
        <v>1084</v>
      </c>
      <c r="K37" s="503">
        <v>0</v>
      </c>
      <c r="L37" s="503" t="s">
        <v>789</v>
      </c>
      <c r="M37" s="503">
        <v>16</v>
      </c>
      <c r="N37" s="503">
        <v>0</v>
      </c>
      <c r="O37" s="504">
        <v>1500000</v>
      </c>
      <c r="P37" s="506">
        <f t="shared" si="5"/>
        <v>24000000</v>
      </c>
      <c r="Q37" s="508">
        <v>12</v>
      </c>
      <c r="R37" s="508">
        <v>108</v>
      </c>
      <c r="S37" s="503">
        <v>0.1</v>
      </c>
      <c r="T37" s="507">
        <v>1</v>
      </c>
      <c r="U37" s="503">
        <v>0</v>
      </c>
      <c r="V37" s="508">
        <v>200000</v>
      </c>
      <c r="W37" s="508">
        <v>21600000</v>
      </c>
      <c r="X37" s="508">
        <v>0</v>
      </c>
      <c r="Y37" s="508">
        <v>2400000</v>
      </c>
      <c r="Z37" s="508">
        <v>2400000</v>
      </c>
      <c r="AA37" s="508">
        <v>2400000</v>
      </c>
      <c r="AB37" s="508">
        <v>2400000</v>
      </c>
      <c r="AC37" s="508">
        <v>2400000</v>
      </c>
      <c r="AD37" s="508">
        <v>2400000</v>
      </c>
      <c r="AE37" s="508">
        <v>2400000</v>
      </c>
      <c r="AF37" s="508">
        <v>2400000</v>
      </c>
      <c r="AG37" s="508">
        <v>2400000</v>
      </c>
      <c r="AH37" s="508">
        <v>0</v>
      </c>
      <c r="AI37" s="509">
        <v>0</v>
      </c>
      <c r="AJ37" s="509">
        <v>0</v>
      </c>
      <c r="AK37" s="509">
        <v>0</v>
      </c>
      <c r="AL37" s="509">
        <v>0</v>
      </c>
      <c r="AM37" s="509">
        <v>0</v>
      </c>
      <c r="AN37" s="509">
        <v>0</v>
      </c>
      <c r="AO37" s="509">
        <v>0</v>
      </c>
      <c r="AP37" s="509">
        <v>0</v>
      </c>
      <c r="AQ37" s="509">
        <v>0</v>
      </c>
      <c r="AR37" s="509">
        <v>0</v>
      </c>
      <c r="AS37" s="509">
        <v>0</v>
      </c>
      <c r="AT37" s="509">
        <v>0</v>
      </c>
      <c r="AU37" s="508">
        <v>200000</v>
      </c>
      <c r="AV37" s="508">
        <v>200000</v>
      </c>
      <c r="AW37" s="508">
        <v>200000</v>
      </c>
      <c r="AX37" s="508">
        <v>200000</v>
      </c>
      <c r="AY37" s="508">
        <v>200000</v>
      </c>
      <c r="AZ37" s="508">
        <v>200000</v>
      </c>
      <c r="BA37" s="508">
        <v>200000</v>
      </c>
      <c r="BB37" s="508">
        <v>200000</v>
      </c>
      <c r="BC37" s="508">
        <v>200000</v>
      </c>
      <c r="BD37" s="508">
        <v>200000</v>
      </c>
      <c r="BE37" s="508">
        <v>200000</v>
      </c>
      <c r="BF37" s="508">
        <v>200000</v>
      </c>
      <c r="BG37" s="508">
        <v>200000</v>
      </c>
      <c r="BH37" s="508">
        <v>200000</v>
      </c>
      <c r="BI37" s="508">
        <v>200000</v>
      </c>
      <c r="BJ37" s="508">
        <v>200000</v>
      </c>
      <c r="BK37" s="508">
        <v>200000</v>
      </c>
      <c r="BL37" s="508">
        <v>200000</v>
      </c>
      <c r="BM37" s="508">
        <v>200000</v>
      </c>
      <c r="BN37" s="508">
        <v>200000</v>
      </c>
      <c r="BO37" s="508">
        <v>200000</v>
      </c>
      <c r="BP37" s="508">
        <v>200000</v>
      </c>
      <c r="BQ37" s="508">
        <v>200000</v>
      </c>
      <c r="BR37" s="508">
        <v>200000</v>
      </c>
      <c r="BS37" s="508">
        <v>200000</v>
      </c>
      <c r="BT37" s="508">
        <v>200000</v>
      </c>
      <c r="BU37" s="508">
        <v>200000</v>
      </c>
      <c r="BV37" s="508">
        <v>200000</v>
      </c>
      <c r="BW37" s="508">
        <v>200000</v>
      </c>
      <c r="BX37" s="508">
        <v>200000</v>
      </c>
      <c r="BY37" s="508">
        <v>200000</v>
      </c>
      <c r="BZ37" s="508">
        <v>200000</v>
      </c>
      <c r="CA37" s="508">
        <v>200000</v>
      </c>
      <c r="CB37" s="508">
        <v>200000</v>
      </c>
      <c r="CC37" s="508">
        <v>200000</v>
      </c>
      <c r="CD37" s="508">
        <v>200000</v>
      </c>
      <c r="CE37" s="508">
        <v>200000</v>
      </c>
      <c r="CF37" s="508">
        <v>200000</v>
      </c>
      <c r="CG37" s="508">
        <v>200000</v>
      </c>
      <c r="CH37" s="508">
        <v>200000</v>
      </c>
      <c r="CI37" s="508">
        <v>200000</v>
      </c>
      <c r="CJ37" s="508">
        <v>200000</v>
      </c>
      <c r="CK37" s="508">
        <v>200000</v>
      </c>
      <c r="CL37" s="508">
        <v>200000</v>
      </c>
      <c r="CM37" s="508">
        <v>200000</v>
      </c>
      <c r="CN37" s="508">
        <v>200000</v>
      </c>
      <c r="CO37" s="508">
        <v>200000</v>
      </c>
      <c r="CP37" s="508">
        <v>200000</v>
      </c>
      <c r="CQ37" s="508">
        <v>200000</v>
      </c>
      <c r="CR37" s="508">
        <v>200000</v>
      </c>
      <c r="CS37" s="508">
        <v>200000</v>
      </c>
      <c r="CT37" s="508">
        <v>200000</v>
      </c>
      <c r="CU37" s="508">
        <v>200000</v>
      </c>
      <c r="CV37" s="508">
        <v>200000</v>
      </c>
      <c r="CW37" s="508">
        <v>200000</v>
      </c>
      <c r="CX37" s="508">
        <v>200000</v>
      </c>
      <c r="CY37" s="508">
        <v>200000</v>
      </c>
      <c r="CZ37" s="508">
        <v>200000</v>
      </c>
      <c r="DA37" s="508">
        <v>200000</v>
      </c>
      <c r="DB37" s="508">
        <v>200000</v>
      </c>
      <c r="DC37" s="508">
        <v>200000</v>
      </c>
      <c r="DD37" s="508">
        <v>200000</v>
      </c>
      <c r="DE37" s="508">
        <v>200000</v>
      </c>
      <c r="DF37" s="508">
        <v>200000</v>
      </c>
      <c r="DG37" s="508">
        <v>200000</v>
      </c>
      <c r="DH37" s="508">
        <v>200000</v>
      </c>
      <c r="DI37" s="508">
        <v>200000</v>
      </c>
      <c r="DJ37" s="508">
        <v>200000</v>
      </c>
      <c r="DK37" s="508">
        <v>200000</v>
      </c>
      <c r="DL37" s="508">
        <v>200000</v>
      </c>
      <c r="DM37" s="508">
        <v>200000</v>
      </c>
      <c r="DN37" s="508">
        <v>200000</v>
      </c>
      <c r="DO37" s="508">
        <v>200000</v>
      </c>
      <c r="DP37" s="508">
        <v>200000</v>
      </c>
      <c r="DQ37" s="508">
        <v>200000</v>
      </c>
      <c r="DR37" s="508">
        <v>200000</v>
      </c>
      <c r="DS37" s="508">
        <v>200000</v>
      </c>
      <c r="DT37" s="508">
        <v>200000</v>
      </c>
      <c r="DU37" s="508">
        <v>200000</v>
      </c>
      <c r="DV37" s="508">
        <v>200000</v>
      </c>
      <c r="DW37" s="508">
        <v>200000</v>
      </c>
      <c r="DX37" s="508">
        <v>200000</v>
      </c>
      <c r="DY37" s="508">
        <v>200000</v>
      </c>
      <c r="DZ37" s="508">
        <v>200000</v>
      </c>
      <c r="EA37" s="508">
        <v>200000</v>
      </c>
      <c r="EB37" s="508">
        <v>200000</v>
      </c>
      <c r="EC37" s="508">
        <v>200000</v>
      </c>
      <c r="ED37" s="508">
        <v>200000</v>
      </c>
      <c r="EE37" s="508">
        <v>200000</v>
      </c>
      <c r="EF37" s="508">
        <v>200000</v>
      </c>
      <c r="EG37" s="508">
        <v>200000</v>
      </c>
      <c r="EH37" s="508">
        <v>200000</v>
      </c>
      <c r="EI37" s="508">
        <v>200000</v>
      </c>
      <c r="EJ37" s="508">
        <v>200000</v>
      </c>
      <c r="EK37" s="508">
        <v>200000</v>
      </c>
      <c r="EL37" s="508">
        <v>200000</v>
      </c>
      <c r="EM37" s="508">
        <v>200000</v>
      </c>
      <c r="EN37" s="508">
        <v>200000</v>
      </c>
      <c r="EO37" s="508">
        <v>200000</v>
      </c>
      <c r="EP37" s="508">
        <v>200000</v>
      </c>
      <c r="EQ37" s="508">
        <v>200000</v>
      </c>
      <c r="ER37" s="508">
        <v>200000</v>
      </c>
      <c r="ES37" s="508">
        <v>200000</v>
      </c>
      <c r="ET37" s="508">
        <v>200000</v>
      </c>
      <c r="EU37" s="508">
        <v>200000</v>
      </c>
      <c r="EV37" s="508">
        <v>200000</v>
      </c>
      <c r="EW37" s="508">
        <v>200000</v>
      </c>
      <c r="EX37" s="508">
        <v>200000</v>
      </c>
      <c r="EY37" s="508">
        <v>0</v>
      </c>
      <c r="EZ37" s="508">
        <v>0</v>
      </c>
      <c r="FA37" s="508">
        <v>0</v>
      </c>
      <c r="FB37" s="508">
        <v>0</v>
      </c>
      <c r="FC37" s="508">
        <v>0</v>
      </c>
      <c r="FD37" s="508">
        <v>0</v>
      </c>
      <c r="FE37" s="508">
        <v>0</v>
      </c>
      <c r="FF37" s="508">
        <v>0</v>
      </c>
      <c r="FG37" s="508">
        <v>0</v>
      </c>
      <c r="FH37" s="508">
        <v>0</v>
      </c>
      <c r="FI37" s="508">
        <v>0</v>
      </c>
      <c r="FJ37" s="46">
        <v>0</v>
      </c>
    </row>
  </sheetData>
  <autoFilter ref="A4:FJ37"/>
  <phoneticPr fontId="1" type="noConversion"/>
  <conditionalFormatting sqref="C12:E13 K5:M11 O5:O11 U5:U11 C5:I11 J5:J37 T5:T37 P5:P37 A5:B37 C17:E37">
    <cfRule type="expression" dxfId="67" priority="50">
      <formula>OR($D5="MA",$D5="운영")</formula>
    </cfRule>
  </conditionalFormatting>
  <conditionalFormatting sqref="C14:E14 E15:E16">
    <cfRule type="expression" dxfId="66" priority="32">
      <formula>OR($D14="MA",$D14="운영")</formula>
    </cfRule>
  </conditionalFormatting>
  <conditionalFormatting sqref="D16">
    <cfRule type="expression" dxfId="65" priority="30">
      <formula>OR($D16="MA",$D16="운영")</formula>
    </cfRule>
  </conditionalFormatting>
  <conditionalFormatting sqref="C15:D15">
    <cfRule type="expression" dxfId="64" priority="29">
      <formula>OR($D15="MA",$D15="운영")</formula>
    </cfRule>
  </conditionalFormatting>
  <conditionalFormatting sqref="C16">
    <cfRule type="expression" dxfId="63" priority="10">
      <formula>OR($D16="MA",$D16="운영")</formula>
    </cfRule>
  </conditionalFormatting>
  <conditionalFormatting sqref="Q6:S7 Q5:R5 Q8:R8 Q9:S37">
    <cfRule type="expression" dxfId="62" priority="2">
      <formula>OR($D5="MA",$D5="운영")</formula>
    </cfRule>
  </conditionalFormatting>
  <conditionalFormatting sqref="S8">
    <cfRule type="expression" dxfId="61" priority="3">
      <formula>OR($D5="MA",$D5="운영")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8681" r:id="rId4" name="OptionButton2">
          <controlPr defaultSize="0" autoFill="0" autoLine="0" r:id="rId5">
            <anchor moveWithCells="1">
              <from>
                <xdr:col>5</xdr:col>
                <xdr:colOff>1303020</xdr:colOff>
                <xdr:row>0</xdr:row>
                <xdr:rowOff>0</xdr:rowOff>
              </from>
              <to>
                <xdr:col>6</xdr:col>
                <xdr:colOff>518160</xdr:colOff>
                <xdr:row>0</xdr:row>
                <xdr:rowOff>251460</xdr:rowOff>
              </to>
            </anchor>
          </controlPr>
        </control>
      </mc:Choice>
      <mc:Fallback>
        <control shapeId="28681" r:id="rId4" name="OptionButton2"/>
      </mc:Fallback>
    </mc:AlternateContent>
    <mc:AlternateContent xmlns:mc="http://schemas.openxmlformats.org/markup-compatibility/2006">
      <mc:Choice Requires="x14">
        <control shapeId="28680" r:id="rId6" name="OptionButton1">
          <controlPr defaultSize="0" disabled="1" autoFill="0" autoLine="0" r:id="rId7">
            <anchor moveWithCells="1">
              <from>
                <xdr:col>4</xdr:col>
                <xdr:colOff>403860</xdr:colOff>
                <xdr:row>0</xdr:row>
                <xdr:rowOff>38100</xdr:rowOff>
              </from>
              <to>
                <xdr:col>5</xdr:col>
                <xdr:colOff>891540</xdr:colOff>
                <xdr:row>0</xdr:row>
                <xdr:rowOff>304800</xdr:rowOff>
              </to>
            </anchor>
          </controlPr>
        </control>
      </mc:Choice>
      <mc:Fallback>
        <control shapeId="28680" r:id="rId6" name="OptionButton1"/>
      </mc:Fallback>
    </mc:AlternateContent>
    <mc:AlternateContent xmlns:mc="http://schemas.openxmlformats.org/markup-compatibility/2006">
      <mc:Choice Requires="x14">
        <control shapeId="28673" r:id="rId8" name="cmd_CS구축">
          <controlPr defaultSize="0" autoFill="0" autoLine="0" r:id="rId9">
            <anchor moveWithCells="1">
              <from>
                <xdr:col>2</xdr:col>
                <xdr:colOff>259080</xdr:colOff>
                <xdr:row>0</xdr:row>
                <xdr:rowOff>15240</xdr:rowOff>
              </from>
              <to>
                <xdr:col>4</xdr:col>
                <xdr:colOff>7620</xdr:colOff>
                <xdr:row>0</xdr:row>
                <xdr:rowOff>281940</xdr:rowOff>
              </to>
            </anchor>
          </controlPr>
        </control>
      </mc:Choice>
      <mc:Fallback>
        <control shapeId="28673" r:id="rId8" name="cmd_CS구축"/>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06"/>
  <sheetViews>
    <sheetView workbookViewId="0">
      <selection activeCell="C1" sqref="C1:C106"/>
    </sheetView>
  </sheetViews>
  <sheetFormatPr defaultRowHeight="17.399999999999999"/>
  <sheetData>
    <row r="1" spans="1:3">
      <c r="A1" s="431">
        <v>10000000</v>
      </c>
      <c r="C1">
        <v>10000000</v>
      </c>
    </row>
    <row r="2" spans="1:3">
      <c r="A2" s="317">
        <v>10000000</v>
      </c>
      <c r="C2">
        <v>10000000</v>
      </c>
    </row>
    <row r="3" spans="1:3">
      <c r="A3" s="317">
        <v>10000000</v>
      </c>
      <c r="C3">
        <v>10000000</v>
      </c>
    </row>
    <row r="4" spans="1:3">
      <c r="A4" s="317">
        <v>9000000</v>
      </c>
      <c r="C4">
        <v>9000000</v>
      </c>
    </row>
    <row r="5" spans="1:3">
      <c r="A5" s="317">
        <v>9000000</v>
      </c>
      <c r="C5">
        <v>9000000</v>
      </c>
    </row>
    <row r="6" spans="1:3">
      <c r="A6" s="317">
        <v>10000000</v>
      </c>
      <c r="C6">
        <v>10000000</v>
      </c>
    </row>
    <row r="7" spans="1:3">
      <c r="A7" s="317">
        <v>9000000</v>
      </c>
      <c r="C7">
        <v>9000000</v>
      </c>
    </row>
    <row r="8" spans="1:3">
      <c r="A8" s="317">
        <v>9000000</v>
      </c>
      <c r="C8">
        <v>9000000</v>
      </c>
    </row>
    <row r="9" spans="1:3">
      <c r="A9" s="317">
        <v>20000000</v>
      </c>
      <c r="C9">
        <v>20000000</v>
      </c>
    </row>
    <row r="10" spans="1:3">
      <c r="A10" s="317">
        <v>10000000</v>
      </c>
      <c r="C10">
        <v>10000000</v>
      </c>
    </row>
    <row r="11" spans="1:3">
      <c r="A11" s="317">
        <v>9000000</v>
      </c>
      <c r="C11">
        <v>9000000</v>
      </c>
    </row>
    <row r="12" spans="1:3">
      <c r="A12" s="317">
        <v>10000000</v>
      </c>
      <c r="C12">
        <v>10000000</v>
      </c>
    </row>
    <row r="13" spans="1:3">
      <c r="A13" s="317">
        <v>10000000</v>
      </c>
      <c r="C13">
        <v>10000000</v>
      </c>
    </row>
    <row r="14" spans="1:3">
      <c r="A14" s="317">
        <v>9000000</v>
      </c>
      <c r="C14">
        <v>9000000</v>
      </c>
    </row>
    <row r="15" spans="1:3">
      <c r="A15" s="317">
        <v>10000000</v>
      </c>
      <c r="C15">
        <v>10000000</v>
      </c>
    </row>
    <row r="16" spans="1:3">
      <c r="A16" s="317">
        <v>8000000</v>
      </c>
      <c r="C16">
        <v>8000000</v>
      </c>
    </row>
    <row r="17" spans="1:3">
      <c r="A17" s="317">
        <v>8000000</v>
      </c>
      <c r="C17">
        <v>8000000</v>
      </c>
    </row>
    <row r="18" spans="1:3">
      <c r="A18" s="317">
        <v>10000000</v>
      </c>
      <c r="C18">
        <v>10000000</v>
      </c>
    </row>
    <row r="19" spans="1:3">
      <c r="A19" s="317">
        <v>10000000</v>
      </c>
      <c r="C19">
        <v>10000000</v>
      </c>
    </row>
    <row r="20" spans="1:3">
      <c r="A20" s="317">
        <v>9000000</v>
      </c>
      <c r="C20">
        <v>9000000</v>
      </c>
    </row>
    <row r="21" spans="1:3">
      <c r="A21" s="317">
        <v>10000000</v>
      </c>
      <c r="C21">
        <v>10000000</v>
      </c>
    </row>
    <row r="22" spans="1:3">
      <c r="A22" s="317">
        <v>10000000</v>
      </c>
      <c r="C22">
        <v>10000000</v>
      </c>
    </row>
    <row r="23" spans="1:3">
      <c r="A23" s="317">
        <v>9000000</v>
      </c>
      <c r="C23">
        <v>9000000</v>
      </c>
    </row>
    <row r="24" spans="1:3">
      <c r="A24" s="317">
        <v>10000000</v>
      </c>
      <c r="C24">
        <v>10000000</v>
      </c>
    </row>
    <row r="25" spans="1:3">
      <c r="A25" s="317">
        <v>10000000</v>
      </c>
      <c r="C25">
        <v>10000000</v>
      </c>
    </row>
    <row r="26" spans="1:3">
      <c r="A26" s="317">
        <v>10000000</v>
      </c>
      <c r="C26">
        <v>10000000</v>
      </c>
    </row>
    <row r="27" spans="1:3">
      <c r="A27" s="317">
        <v>10000000</v>
      </c>
      <c r="C27">
        <v>10000000</v>
      </c>
    </row>
    <row r="28" spans="1:3">
      <c r="A28" s="317">
        <v>10000000</v>
      </c>
      <c r="C28">
        <v>10000000</v>
      </c>
    </row>
    <row r="29" spans="1:3">
      <c r="A29" s="317">
        <v>9000000</v>
      </c>
      <c r="C29">
        <v>9000000</v>
      </c>
    </row>
    <row r="30" spans="1:3">
      <c r="A30" s="317">
        <v>9000000</v>
      </c>
      <c r="C30">
        <v>9000000</v>
      </c>
    </row>
    <row r="31" spans="1:3">
      <c r="A31" s="317">
        <v>8000000</v>
      </c>
      <c r="C31">
        <v>8000000</v>
      </c>
    </row>
    <row r="32" spans="1:3">
      <c r="A32" s="317">
        <v>8000000</v>
      </c>
      <c r="C32">
        <v>8000000</v>
      </c>
    </row>
    <row r="33" spans="1:3">
      <c r="A33" s="317">
        <v>9000000</v>
      </c>
      <c r="C33">
        <v>9000000</v>
      </c>
    </row>
    <row r="34" spans="1:3">
      <c r="A34" s="316">
        <v>16200000.000000002</v>
      </c>
      <c r="C34">
        <v>16200000.000000002</v>
      </c>
    </row>
    <row r="35" spans="1:3">
      <c r="A35" s="316">
        <v>16200000.000000002</v>
      </c>
      <c r="C35">
        <v>16200000.000000002</v>
      </c>
    </row>
    <row r="36" spans="1:3">
      <c r="A36" s="316">
        <v>4050000.0000000005</v>
      </c>
      <c r="C36">
        <v>4050000.0000000005</v>
      </c>
    </row>
    <row r="37" spans="1:3">
      <c r="A37" s="316">
        <v>8127000.0000000009</v>
      </c>
      <c r="C37">
        <v>8127000.0000000009</v>
      </c>
    </row>
    <row r="38" spans="1:3">
      <c r="A38" s="316">
        <v>2019600.0000000002</v>
      </c>
      <c r="C38">
        <v>2019600.0000000002</v>
      </c>
    </row>
    <row r="39" spans="1:3">
      <c r="A39" s="316">
        <v>15000000</v>
      </c>
      <c r="C39">
        <v>15000000</v>
      </c>
    </row>
    <row r="40" spans="1:3">
      <c r="A40" s="316">
        <v>25000</v>
      </c>
      <c r="C40">
        <v>25000</v>
      </c>
    </row>
    <row r="41" spans="1:3">
      <c r="A41" s="316">
        <v>23000000</v>
      </c>
      <c r="C41">
        <v>23000000</v>
      </c>
    </row>
    <row r="42" spans="1:3">
      <c r="A42" s="316">
        <v>927966</v>
      </c>
      <c r="C42">
        <v>927966</v>
      </c>
    </row>
    <row r="43" spans="1:3">
      <c r="A43" s="316">
        <v>230000</v>
      </c>
      <c r="C43">
        <v>230000</v>
      </c>
    </row>
    <row r="44" spans="1:3">
      <c r="A44" s="316">
        <v>70000000</v>
      </c>
      <c r="C44">
        <v>70000000</v>
      </c>
    </row>
    <row r="45" spans="1:3">
      <c r="A45" s="316">
        <v>700000</v>
      </c>
      <c r="C45">
        <v>700000</v>
      </c>
    </row>
    <row r="46" spans="1:3">
      <c r="A46" s="316">
        <v>8000000</v>
      </c>
      <c r="C46">
        <v>8000000</v>
      </c>
    </row>
    <row r="47" spans="1:3">
      <c r="A47" s="316">
        <v>3000000</v>
      </c>
      <c r="C47">
        <v>3000000</v>
      </c>
    </row>
    <row r="48" spans="1:3">
      <c r="A48" s="316">
        <v>15000000</v>
      </c>
      <c r="C48">
        <v>15000000</v>
      </c>
    </row>
    <row r="49" spans="1:3">
      <c r="A49" s="316">
        <v>3333333.3333333335</v>
      </c>
      <c r="C49">
        <v>3333333.3333333335</v>
      </c>
    </row>
    <row r="50" spans="1:3">
      <c r="A50" s="316">
        <v>3483333.3333333335</v>
      </c>
      <c r="C50">
        <v>3483333.3333333335</v>
      </c>
    </row>
    <row r="51" spans="1:3">
      <c r="A51" s="316">
        <v>35000000</v>
      </c>
      <c r="C51">
        <v>35000000</v>
      </c>
    </row>
    <row r="52" spans="1:3">
      <c r="A52" s="316">
        <v>300000</v>
      </c>
      <c r="C52">
        <v>300000</v>
      </c>
    </row>
    <row r="53" spans="1:3">
      <c r="A53" s="316">
        <v>25000000</v>
      </c>
      <c r="C53">
        <v>25000000</v>
      </c>
    </row>
    <row r="54" spans="1:3">
      <c r="A54" s="316">
        <v>6000000</v>
      </c>
      <c r="C54">
        <v>6000000</v>
      </c>
    </row>
    <row r="55" spans="1:3">
      <c r="A55" s="316">
        <v>4000000</v>
      </c>
      <c r="C55">
        <v>4000000</v>
      </c>
    </row>
    <row r="56" spans="1:3">
      <c r="A56" s="316">
        <v>45000</v>
      </c>
      <c r="C56">
        <v>45000</v>
      </c>
    </row>
    <row r="57" spans="1:3">
      <c r="A57" s="316">
        <v>1454166.6666666667</v>
      </c>
      <c r="C57">
        <v>1454166.6666666667</v>
      </c>
    </row>
    <row r="58" spans="1:3">
      <c r="A58" s="316">
        <v>8000000</v>
      </c>
      <c r="C58">
        <v>8000000</v>
      </c>
    </row>
    <row r="59" spans="1:3">
      <c r="A59" s="316">
        <v>4000000</v>
      </c>
      <c r="C59">
        <v>4000000</v>
      </c>
    </row>
    <row r="60" spans="1:3">
      <c r="A60" s="316">
        <v>6000000</v>
      </c>
      <c r="C60">
        <v>6000000</v>
      </c>
    </row>
    <row r="61" spans="1:3">
      <c r="A61" s="316">
        <v>6000000</v>
      </c>
      <c r="C61">
        <v>6000000</v>
      </c>
    </row>
    <row r="62" spans="1:3">
      <c r="A62" s="316">
        <v>3000000</v>
      </c>
      <c r="C62">
        <v>3000000</v>
      </c>
    </row>
    <row r="63" spans="1:3">
      <c r="A63" s="316">
        <v>3000000</v>
      </c>
      <c r="C63">
        <v>3000000</v>
      </c>
    </row>
    <row r="64" spans="1:3">
      <c r="A64" s="316">
        <v>3000000</v>
      </c>
      <c r="C64">
        <v>3000000</v>
      </c>
    </row>
    <row r="65" spans="1:3">
      <c r="A65" s="316">
        <v>21000000</v>
      </c>
      <c r="C65">
        <v>21000000</v>
      </c>
    </row>
    <row r="66" spans="1:3">
      <c r="C66">
        <v>7091660</v>
      </c>
    </row>
    <row r="67" spans="1:3">
      <c r="C67">
        <v>9037980</v>
      </c>
    </row>
    <row r="68" spans="1:3">
      <c r="C68">
        <v>14148990</v>
      </c>
    </row>
    <row r="69" spans="1:3">
      <c r="C69">
        <v>2286000</v>
      </c>
    </row>
    <row r="70" spans="1:3">
      <c r="C70">
        <v>5143000</v>
      </c>
    </row>
    <row r="71" spans="1:3">
      <c r="C71">
        <v>15000000</v>
      </c>
    </row>
    <row r="72" spans="1:3">
      <c r="C72">
        <v>1089000</v>
      </c>
    </row>
    <row r="73" spans="1:3">
      <c r="C73">
        <v>6624450</v>
      </c>
    </row>
    <row r="74" spans="1:3">
      <c r="C74">
        <v>500000</v>
      </c>
    </row>
    <row r="75" spans="1:3">
      <c r="C75">
        <v>30106050</v>
      </c>
    </row>
    <row r="76" spans="1:3">
      <c r="C76">
        <v>5300000</v>
      </c>
    </row>
    <row r="77" spans="1:3">
      <c r="C77">
        <v>43000000</v>
      </c>
    </row>
    <row r="78" spans="1:3">
      <c r="C78">
        <v>41000000</v>
      </c>
    </row>
    <row r="79" spans="1:3">
      <c r="C79">
        <v>2286000</v>
      </c>
    </row>
    <row r="80" spans="1:3">
      <c r="C80">
        <v>5143000</v>
      </c>
    </row>
    <row r="81" spans="3:3">
      <c r="C81">
        <v>15000000</v>
      </c>
    </row>
    <row r="82" spans="3:3">
      <c r="C82">
        <v>1089000</v>
      </c>
    </row>
    <row r="83" spans="3:3">
      <c r="C83">
        <v>6624450</v>
      </c>
    </row>
    <row r="84" spans="3:3">
      <c r="C84">
        <v>8100000</v>
      </c>
    </row>
    <row r="85" spans="3:3">
      <c r="C85">
        <v>500000</v>
      </c>
    </row>
    <row r="86" spans="3:3">
      <c r="C86">
        <v>4000000</v>
      </c>
    </row>
    <row r="87" spans="3:3">
      <c r="C87">
        <v>100000</v>
      </c>
    </row>
    <row r="88" spans="3:3">
      <c r="C88">
        <v>1350000</v>
      </c>
    </row>
    <row r="89" spans="3:3">
      <c r="C89">
        <v>450000</v>
      </c>
    </row>
    <row r="90" spans="3:3">
      <c r="C90">
        <v>500000</v>
      </c>
    </row>
    <row r="91" spans="3:3">
      <c r="C91">
        <v>8500000</v>
      </c>
    </row>
    <row r="92" spans="3:3">
      <c r="C92">
        <v>2050000</v>
      </c>
    </row>
    <row r="93" spans="3:3">
      <c r="C93">
        <v>750000</v>
      </c>
    </row>
    <row r="94" spans="3:3">
      <c r="C94">
        <v>22802350</v>
      </c>
    </row>
    <row r="95" spans="3:3">
      <c r="C95">
        <v>1350000</v>
      </c>
    </row>
    <row r="96" spans="3:3">
      <c r="C96">
        <v>450000</v>
      </c>
    </row>
    <row r="97" spans="3:3">
      <c r="C97">
        <v>500000</v>
      </c>
    </row>
    <row r="98" spans="3:3">
      <c r="C98">
        <v>3000000</v>
      </c>
    </row>
    <row r="99" spans="3:3">
      <c r="C99">
        <v>1000000</v>
      </c>
    </row>
    <row r="100" spans="3:3">
      <c r="C100">
        <v>570000</v>
      </c>
    </row>
    <row r="101" spans="3:3">
      <c r="C101">
        <v>5000000</v>
      </c>
    </row>
    <row r="102" spans="3:3">
      <c r="C102">
        <v>165000</v>
      </c>
    </row>
    <row r="103" spans="3:3">
      <c r="C103">
        <v>693000</v>
      </c>
    </row>
    <row r="104" spans="3:3">
      <c r="C104">
        <v>450000</v>
      </c>
    </row>
    <row r="105" spans="3:3">
      <c r="C105">
        <v>937500</v>
      </c>
    </row>
    <row r="106" spans="3:3">
      <c r="C106">
        <v>470833.33333333331</v>
      </c>
    </row>
  </sheetData>
  <phoneticPr fontId="1" type="noConversion"/>
  <conditionalFormatting sqref="A1:A33">
    <cfRule type="expression" dxfId="60" priority="1">
      <formula>OR($D1="MA",$D1="운영")</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2_Sheet">
    <tabColor theme="9" tint="0.39997558519241921"/>
  </sheetPr>
  <dimension ref="A1:FJ42"/>
  <sheetViews>
    <sheetView showGridLines="0" topLeftCell="M1" zoomScale="70" zoomScaleNormal="70" workbookViewId="0">
      <selection activeCell="W2" sqref="W2"/>
    </sheetView>
  </sheetViews>
  <sheetFormatPr defaultRowHeight="17.399999999999999"/>
  <cols>
    <col min="1" max="1" width="7.59765625" bestFit="1" customWidth="1"/>
    <col min="2" max="2" width="10.8984375" bestFit="1" customWidth="1"/>
    <col min="3" max="4" width="7.59765625" customWidth="1"/>
    <col min="5" max="5" width="16.5" bestFit="1" customWidth="1"/>
    <col min="6" max="6" width="23.8984375" bestFit="1" customWidth="1"/>
    <col min="7" max="7" width="35" bestFit="1" customWidth="1"/>
    <col min="8" max="8" width="35.69921875" customWidth="1"/>
    <col min="9" max="9" width="18.5" hidden="1" customWidth="1"/>
    <col min="10" max="10" width="13" bestFit="1" customWidth="1"/>
    <col min="11" max="11" width="11.296875" hidden="1" customWidth="1"/>
    <col min="12" max="12" width="11" bestFit="1" customWidth="1"/>
    <col min="13" max="13" width="11.296875" bestFit="1" customWidth="1"/>
    <col min="14" max="14" width="16.19921875" hidden="1" customWidth="1"/>
    <col min="15" max="15" width="11.69921875" bestFit="1" customWidth="1"/>
    <col min="16" max="16" width="13.19921875" bestFit="1" customWidth="1"/>
    <col min="17" max="17" width="10" customWidth="1"/>
    <col min="18" max="18" width="9.59765625" customWidth="1"/>
    <col min="19" max="19" width="14" customWidth="1"/>
    <col min="20" max="20" width="15.5" customWidth="1"/>
    <col min="21" max="21" width="9.09765625" bestFit="1" customWidth="1"/>
    <col min="22" max="22" width="10.5" bestFit="1" customWidth="1"/>
    <col min="23" max="23" width="17.5" bestFit="1" customWidth="1"/>
    <col min="24" max="25" width="13.19921875" bestFit="1" customWidth="1"/>
    <col min="26" max="26" width="17.69921875" bestFit="1" customWidth="1"/>
    <col min="27" max="30" width="13.19921875" bestFit="1" customWidth="1"/>
    <col min="31" max="32" width="11.69921875" bestFit="1" customWidth="1"/>
    <col min="33" max="34" width="13.19921875" bestFit="1" customWidth="1"/>
    <col min="35" max="44" width="11.69921875" bestFit="1" customWidth="1"/>
    <col min="45" max="118" width="10.5" bestFit="1" customWidth="1"/>
    <col min="119" max="142" width="10.59765625" bestFit="1" customWidth="1"/>
    <col min="143" max="166" width="11.796875" bestFit="1" customWidth="1"/>
  </cols>
  <sheetData>
    <row r="1" spans="1:166" ht="30" customHeight="1" thickBot="1"/>
    <row r="2" spans="1:166" s="4" customFormat="1" ht="30" customHeight="1" thickBot="1">
      <c r="A2" s="71" t="s">
        <v>287</v>
      </c>
      <c r="P2" s="34">
        <f>SUBTOTAL(9, P5:P101)</f>
        <v>0</v>
      </c>
      <c r="W2" s="429">
        <f t="shared" ref="W2:CH2" si="0">SUBTOTAL(9, W5:W101)</f>
        <v>3677226919.6870441</v>
      </c>
      <c r="X2" s="35">
        <f t="shared" si="0"/>
        <v>758583116.96870446</v>
      </c>
      <c r="Y2" s="35">
        <f t="shared" si="0"/>
        <v>282404866.96870446</v>
      </c>
      <c r="Z2" s="35">
        <f t="shared" si="0"/>
        <v>274404866.96870446</v>
      </c>
      <c r="AA2" s="35">
        <f t="shared" si="0"/>
        <v>337404866.96870446</v>
      </c>
      <c r="AB2" s="35">
        <f t="shared" si="0"/>
        <v>337404866.96870446</v>
      </c>
      <c r="AC2" s="35">
        <f t="shared" si="0"/>
        <v>337404866.96870446</v>
      </c>
      <c r="AD2" s="35">
        <f t="shared" si="0"/>
        <v>337404866.96870446</v>
      </c>
      <c r="AE2" s="35">
        <f t="shared" si="0"/>
        <v>337404866.96870446</v>
      </c>
      <c r="AF2" s="35">
        <f t="shared" si="0"/>
        <v>337404866.96870446</v>
      </c>
      <c r="AG2" s="35">
        <f t="shared" si="0"/>
        <v>337404866.96870446</v>
      </c>
      <c r="AH2" s="35">
        <f t="shared" si="0"/>
        <v>0</v>
      </c>
      <c r="AI2" s="36">
        <f t="shared" si="0"/>
        <v>80302722.247392029</v>
      </c>
      <c r="AJ2" s="36">
        <f t="shared" si="0"/>
        <v>80302722.247392029</v>
      </c>
      <c r="AK2" s="36">
        <f t="shared" si="0"/>
        <v>79302722.247392029</v>
      </c>
      <c r="AL2" s="36">
        <f t="shared" si="0"/>
        <v>78302722.247392029</v>
      </c>
      <c r="AM2" s="36">
        <f t="shared" si="0"/>
        <v>78302722.247392029</v>
      </c>
      <c r="AN2" s="36">
        <f t="shared" si="0"/>
        <v>62867072.247392043</v>
      </c>
      <c r="AO2" s="36">
        <f t="shared" si="0"/>
        <v>62867072.247392043</v>
      </c>
      <c r="AP2" s="36">
        <f t="shared" si="0"/>
        <v>62867072.247392043</v>
      </c>
      <c r="AQ2" s="36">
        <f t="shared" si="0"/>
        <v>62867072.247392043</v>
      </c>
      <c r="AR2" s="36">
        <f t="shared" si="0"/>
        <v>62867072.247392043</v>
      </c>
      <c r="AS2" s="36">
        <f t="shared" si="0"/>
        <v>23867072.247392036</v>
      </c>
      <c r="AT2" s="36">
        <f t="shared" si="0"/>
        <v>23867072.247392036</v>
      </c>
      <c r="AU2" s="35">
        <f t="shared" si="0"/>
        <v>23867072.247392036</v>
      </c>
      <c r="AV2" s="35">
        <f t="shared" si="0"/>
        <v>23867072.247392036</v>
      </c>
      <c r="AW2" s="35">
        <f t="shared" si="0"/>
        <v>23867072.247392036</v>
      </c>
      <c r="AX2" s="35">
        <f t="shared" si="0"/>
        <v>23867072.247392036</v>
      </c>
      <c r="AY2" s="35">
        <f t="shared" si="0"/>
        <v>23867072.247392036</v>
      </c>
      <c r="AZ2" s="35">
        <f t="shared" si="0"/>
        <v>23867072.247392036</v>
      </c>
      <c r="BA2" s="35">
        <f t="shared" si="0"/>
        <v>23867072.247392036</v>
      </c>
      <c r="BB2" s="35">
        <f t="shared" si="0"/>
        <v>23867072.247392036</v>
      </c>
      <c r="BC2" s="35">
        <f t="shared" si="0"/>
        <v>22867072.247392036</v>
      </c>
      <c r="BD2" s="35">
        <f t="shared" si="0"/>
        <v>22867072.247392036</v>
      </c>
      <c r="BE2" s="35">
        <f t="shared" si="0"/>
        <v>22867072.247392036</v>
      </c>
      <c r="BF2" s="35">
        <f t="shared" si="0"/>
        <v>22867072.247392036</v>
      </c>
      <c r="BG2" s="36">
        <f t="shared" si="0"/>
        <v>22867072.247392036</v>
      </c>
      <c r="BH2" s="36">
        <f t="shared" si="0"/>
        <v>22867072.247392036</v>
      </c>
      <c r="BI2" s="36">
        <f t="shared" si="0"/>
        <v>22867072.247392036</v>
      </c>
      <c r="BJ2" s="36">
        <f t="shared" si="0"/>
        <v>22867072.247392036</v>
      </c>
      <c r="BK2" s="36">
        <f t="shared" si="0"/>
        <v>22867072.247392036</v>
      </c>
      <c r="BL2" s="36">
        <f t="shared" si="0"/>
        <v>22867072.247392036</v>
      </c>
      <c r="BM2" s="36">
        <f t="shared" si="0"/>
        <v>22867072.247392036</v>
      </c>
      <c r="BN2" s="36">
        <f t="shared" si="0"/>
        <v>22867072.247392036</v>
      </c>
      <c r="BO2" s="36">
        <f t="shared" si="0"/>
        <v>22867072.247392036</v>
      </c>
      <c r="BP2" s="36">
        <f t="shared" si="0"/>
        <v>22867072.247392036</v>
      </c>
      <c r="BQ2" s="36">
        <f t="shared" si="0"/>
        <v>22867072.247392036</v>
      </c>
      <c r="BR2" s="36">
        <f t="shared" si="0"/>
        <v>22867072.247392036</v>
      </c>
      <c r="BS2" s="35">
        <f t="shared" si="0"/>
        <v>28117072.247392036</v>
      </c>
      <c r="BT2" s="35">
        <f t="shared" si="0"/>
        <v>28117072.247392036</v>
      </c>
      <c r="BU2" s="35">
        <f t="shared" si="0"/>
        <v>28117072.247392036</v>
      </c>
      <c r="BV2" s="35">
        <f t="shared" si="0"/>
        <v>28117072.247392036</v>
      </c>
      <c r="BW2" s="35">
        <f t="shared" si="0"/>
        <v>28117072.247392036</v>
      </c>
      <c r="BX2" s="35">
        <f t="shared" si="0"/>
        <v>28117072.247392036</v>
      </c>
      <c r="BY2" s="35">
        <f t="shared" si="0"/>
        <v>28117072.247392036</v>
      </c>
      <c r="BZ2" s="35">
        <f t="shared" si="0"/>
        <v>28117072.247392036</v>
      </c>
      <c r="CA2" s="35">
        <f t="shared" si="0"/>
        <v>28117072.247392036</v>
      </c>
      <c r="CB2" s="35">
        <f t="shared" si="0"/>
        <v>28117072.247392036</v>
      </c>
      <c r="CC2" s="35">
        <f t="shared" si="0"/>
        <v>28117072.247392036</v>
      </c>
      <c r="CD2" s="35">
        <f t="shared" si="0"/>
        <v>28117072.247392036</v>
      </c>
      <c r="CE2" s="36">
        <f t="shared" si="0"/>
        <v>28117072.247392036</v>
      </c>
      <c r="CF2" s="36">
        <f t="shared" si="0"/>
        <v>28117072.247392036</v>
      </c>
      <c r="CG2" s="36">
        <f t="shared" si="0"/>
        <v>28117072.247392036</v>
      </c>
      <c r="CH2" s="36">
        <f t="shared" si="0"/>
        <v>28117072.247392036</v>
      </c>
      <c r="CI2" s="36">
        <f t="shared" ref="CI2:ET2" si="1">SUBTOTAL(9, CI5:CI101)</f>
        <v>28117072.247392036</v>
      </c>
      <c r="CJ2" s="36">
        <f t="shared" si="1"/>
        <v>28117072.247392036</v>
      </c>
      <c r="CK2" s="36">
        <f t="shared" si="1"/>
        <v>28117072.247392036</v>
      </c>
      <c r="CL2" s="36">
        <f t="shared" si="1"/>
        <v>28117072.247392036</v>
      </c>
      <c r="CM2" s="36">
        <f t="shared" si="1"/>
        <v>28117072.247392036</v>
      </c>
      <c r="CN2" s="36">
        <f t="shared" si="1"/>
        <v>28117072.247392036</v>
      </c>
      <c r="CO2" s="36">
        <f t="shared" si="1"/>
        <v>28117072.247392036</v>
      </c>
      <c r="CP2" s="36">
        <f t="shared" si="1"/>
        <v>28117072.247392036</v>
      </c>
      <c r="CQ2" s="35">
        <f t="shared" si="1"/>
        <v>28117072.247392036</v>
      </c>
      <c r="CR2" s="35">
        <f t="shared" si="1"/>
        <v>28117072.247392036</v>
      </c>
      <c r="CS2" s="35">
        <f t="shared" si="1"/>
        <v>28117072.247392036</v>
      </c>
      <c r="CT2" s="35">
        <f t="shared" si="1"/>
        <v>28117072.247392036</v>
      </c>
      <c r="CU2" s="35">
        <f t="shared" si="1"/>
        <v>28117072.247392036</v>
      </c>
      <c r="CV2" s="35">
        <f t="shared" si="1"/>
        <v>28117072.247392036</v>
      </c>
      <c r="CW2" s="35">
        <f t="shared" si="1"/>
        <v>28117072.247392036</v>
      </c>
      <c r="CX2" s="35">
        <f t="shared" si="1"/>
        <v>28117072.247392036</v>
      </c>
      <c r="CY2" s="35">
        <f t="shared" si="1"/>
        <v>28117072.247392036</v>
      </c>
      <c r="CZ2" s="35">
        <f t="shared" si="1"/>
        <v>28117072.247392036</v>
      </c>
      <c r="DA2" s="35">
        <f t="shared" si="1"/>
        <v>28117072.247392036</v>
      </c>
      <c r="DB2" s="35">
        <f t="shared" si="1"/>
        <v>28117072.247392036</v>
      </c>
      <c r="DC2" s="36">
        <f t="shared" si="1"/>
        <v>28117072.247392036</v>
      </c>
      <c r="DD2" s="36">
        <f t="shared" si="1"/>
        <v>28117072.247392036</v>
      </c>
      <c r="DE2" s="36">
        <f t="shared" si="1"/>
        <v>28117072.247392036</v>
      </c>
      <c r="DF2" s="36">
        <f t="shared" si="1"/>
        <v>28117072.247392036</v>
      </c>
      <c r="DG2" s="36">
        <f t="shared" si="1"/>
        <v>28117072.247392036</v>
      </c>
      <c r="DH2" s="36">
        <f t="shared" si="1"/>
        <v>28117072.247392036</v>
      </c>
      <c r="DI2" s="36">
        <f t="shared" si="1"/>
        <v>28117072.247392036</v>
      </c>
      <c r="DJ2" s="36">
        <f t="shared" si="1"/>
        <v>28117072.247392036</v>
      </c>
      <c r="DK2" s="36">
        <f t="shared" si="1"/>
        <v>28117072.247392036</v>
      </c>
      <c r="DL2" s="36">
        <f t="shared" si="1"/>
        <v>28117072.247392036</v>
      </c>
      <c r="DM2" s="36">
        <f t="shared" si="1"/>
        <v>28117072.247392036</v>
      </c>
      <c r="DN2" s="36">
        <f t="shared" si="1"/>
        <v>28117072.247392036</v>
      </c>
      <c r="DO2" s="35">
        <f t="shared" si="1"/>
        <v>28117072.247392036</v>
      </c>
      <c r="DP2" s="35">
        <f t="shared" si="1"/>
        <v>28117072.247392036</v>
      </c>
      <c r="DQ2" s="35">
        <f t="shared" si="1"/>
        <v>28117072.247392036</v>
      </c>
      <c r="DR2" s="35">
        <f t="shared" si="1"/>
        <v>28117072.247392036</v>
      </c>
      <c r="DS2" s="35">
        <f t="shared" si="1"/>
        <v>28117072.247392036</v>
      </c>
      <c r="DT2" s="35">
        <f t="shared" si="1"/>
        <v>28117072.247392036</v>
      </c>
      <c r="DU2" s="35">
        <f t="shared" si="1"/>
        <v>28117072.247392036</v>
      </c>
      <c r="DV2" s="35">
        <f t="shared" si="1"/>
        <v>28117072.247392036</v>
      </c>
      <c r="DW2" s="35">
        <f t="shared" si="1"/>
        <v>28117072.247392036</v>
      </c>
      <c r="DX2" s="35">
        <f t="shared" si="1"/>
        <v>28117072.247392036</v>
      </c>
      <c r="DY2" s="35">
        <f t="shared" si="1"/>
        <v>28117072.247392036</v>
      </c>
      <c r="DZ2" s="35">
        <f t="shared" si="1"/>
        <v>28117072.247392036</v>
      </c>
      <c r="EA2" s="36">
        <f t="shared" si="1"/>
        <v>28117072.247392036</v>
      </c>
      <c r="EB2" s="36">
        <f t="shared" si="1"/>
        <v>28117072.247392036</v>
      </c>
      <c r="EC2" s="36">
        <f t="shared" si="1"/>
        <v>28117072.247392036</v>
      </c>
      <c r="ED2" s="36">
        <f t="shared" si="1"/>
        <v>28117072.247392036</v>
      </c>
      <c r="EE2" s="36">
        <f t="shared" si="1"/>
        <v>28117072.247392036</v>
      </c>
      <c r="EF2" s="36">
        <f t="shared" si="1"/>
        <v>28117072.247392036</v>
      </c>
      <c r="EG2" s="36">
        <f t="shared" si="1"/>
        <v>28117072.247392036</v>
      </c>
      <c r="EH2" s="36">
        <f t="shared" si="1"/>
        <v>28117072.247392036</v>
      </c>
      <c r="EI2" s="36">
        <f t="shared" si="1"/>
        <v>28117072.247392036</v>
      </c>
      <c r="EJ2" s="36">
        <f t="shared" si="1"/>
        <v>28117072.247392036</v>
      </c>
      <c r="EK2" s="36">
        <f t="shared" si="1"/>
        <v>28117072.247392036</v>
      </c>
      <c r="EL2" s="36">
        <f t="shared" si="1"/>
        <v>28117072.247392036</v>
      </c>
      <c r="EM2" s="35">
        <f t="shared" si="1"/>
        <v>28117072.247392036</v>
      </c>
      <c r="EN2" s="35">
        <f t="shared" si="1"/>
        <v>28117072.247392036</v>
      </c>
      <c r="EO2" s="35">
        <f t="shared" si="1"/>
        <v>28117072.247392036</v>
      </c>
      <c r="EP2" s="35">
        <f t="shared" si="1"/>
        <v>28117072.247392036</v>
      </c>
      <c r="EQ2" s="35">
        <f t="shared" si="1"/>
        <v>28117072.247392036</v>
      </c>
      <c r="ER2" s="35">
        <f t="shared" si="1"/>
        <v>28117072.247392036</v>
      </c>
      <c r="ES2" s="35">
        <f t="shared" si="1"/>
        <v>28117072.247392036</v>
      </c>
      <c r="ET2" s="35">
        <f t="shared" si="1"/>
        <v>28117072.247392036</v>
      </c>
      <c r="EU2" s="35">
        <f t="shared" ref="EU2:FJ2" si="2">SUBTOTAL(9, EU5:EU101)</f>
        <v>28117072.247392036</v>
      </c>
      <c r="EV2" s="35">
        <f t="shared" si="2"/>
        <v>28117072.247392036</v>
      </c>
      <c r="EW2" s="35">
        <f t="shared" si="2"/>
        <v>28117072.247392036</v>
      </c>
      <c r="EX2" s="35">
        <f t="shared" si="2"/>
        <v>28117072.247392036</v>
      </c>
      <c r="EY2" s="36">
        <f t="shared" si="2"/>
        <v>0</v>
      </c>
      <c r="EZ2" s="36">
        <f t="shared" si="2"/>
        <v>0</v>
      </c>
      <c r="FA2" s="36">
        <f t="shared" si="2"/>
        <v>0</v>
      </c>
      <c r="FB2" s="36">
        <f t="shared" si="2"/>
        <v>0</v>
      </c>
      <c r="FC2" s="36">
        <f t="shared" si="2"/>
        <v>0</v>
      </c>
      <c r="FD2" s="36">
        <f t="shared" si="2"/>
        <v>0</v>
      </c>
      <c r="FE2" s="36">
        <f t="shared" si="2"/>
        <v>0</v>
      </c>
      <c r="FF2" s="36">
        <f t="shared" si="2"/>
        <v>0</v>
      </c>
      <c r="FG2" s="36">
        <f t="shared" si="2"/>
        <v>0</v>
      </c>
      <c r="FH2" s="36">
        <f t="shared" si="2"/>
        <v>0</v>
      </c>
      <c r="FI2" s="36">
        <f t="shared" si="2"/>
        <v>0</v>
      </c>
      <c r="FJ2" s="37">
        <f t="shared" si="2"/>
        <v>0</v>
      </c>
    </row>
    <row r="3" spans="1:166" ht="8.4" customHeight="1" thickBot="1"/>
    <row r="4" spans="1:166" s="1" customFormat="1" ht="23.25" customHeight="1">
      <c r="A4" s="95" t="s">
        <v>0</v>
      </c>
      <c r="B4" s="96" t="s">
        <v>1</v>
      </c>
      <c r="C4" s="96" t="s">
        <v>2</v>
      </c>
      <c r="D4" s="96" t="s">
        <v>3</v>
      </c>
      <c r="E4" s="96" t="s">
        <v>4</v>
      </c>
      <c r="F4" s="97" t="s">
        <v>148</v>
      </c>
      <c r="G4" s="97" t="s">
        <v>149</v>
      </c>
      <c r="H4" s="97" t="s">
        <v>150</v>
      </c>
      <c r="I4" s="97" t="s">
        <v>151</v>
      </c>
      <c r="J4" s="97" t="s">
        <v>5</v>
      </c>
      <c r="K4" s="97" t="s">
        <v>154</v>
      </c>
      <c r="L4" s="97" t="s">
        <v>6</v>
      </c>
      <c r="M4" s="97" t="s">
        <v>7</v>
      </c>
      <c r="N4" s="97"/>
      <c r="O4" s="96" t="s">
        <v>9</v>
      </c>
      <c r="P4" s="96" t="s">
        <v>10</v>
      </c>
      <c r="Q4" s="96" t="s">
        <v>254</v>
      </c>
      <c r="R4" s="96" t="s">
        <v>253</v>
      </c>
      <c r="S4" s="96" t="s">
        <v>155</v>
      </c>
      <c r="T4" s="96" t="s">
        <v>42</v>
      </c>
      <c r="U4" s="97" t="s">
        <v>16</v>
      </c>
      <c r="V4" s="97" t="s">
        <v>255</v>
      </c>
      <c r="W4" s="428" t="s">
        <v>258</v>
      </c>
      <c r="X4" s="97" t="s">
        <v>41</v>
      </c>
      <c r="Y4" s="97" t="s">
        <v>139</v>
      </c>
      <c r="Z4" s="97" t="s">
        <v>140</v>
      </c>
      <c r="AA4" s="97" t="s">
        <v>141</v>
      </c>
      <c r="AB4" s="97" t="s">
        <v>142</v>
      </c>
      <c r="AC4" s="97" t="s">
        <v>143</v>
      </c>
      <c r="AD4" s="97" t="s">
        <v>144</v>
      </c>
      <c r="AE4" s="97" t="s">
        <v>145</v>
      </c>
      <c r="AF4" s="97" t="s">
        <v>146</v>
      </c>
      <c r="AG4" s="97" t="s">
        <v>147</v>
      </c>
      <c r="AH4" s="97" t="s">
        <v>173</v>
      </c>
      <c r="AI4" s="98" t="s">
        <v>17</v>
      </c>
      <c r="AJ4" s="98" t="s">
        <v>18</v>
      </c>
      <c r="AK4" s="98" t="s">
        <v>19</v>
      </c>
      <c r="AL4" s="98" t="s">
        <v>20</v>
      </c>
      <c r="AM4" s="98" t="s">
        <v>21</v>
      </c>
      <c r="AN4" s="98" t="s">
        <v>22</v>
      </c>
      <c r="AO4" s="98" t="s">
        <v>23</v>
      </c>
      <c r="AP4" s="98" t="s">
        <v>24</v>
      </c>
      <c r="AQ4" s="98" t="s">
        <v>25</v>
      </c>
      <c r="AR4" s="98" t="s">
        <v>26</v>
      </c>
      <c r="AS4" s="98" t="s">
        <v>27</v>
      </c>
      <c r="AT4" s="98" t="s">
        <v>28</v>
      </c>
      <c r="AU4" s="97" t="s">
        <v>29</v>
      </c>
      <c r="AV4" s="97" t="s">
        <v>30</v>
      </c>
      <c r="AW4" s="97" t="s">
        <v>31</v>
      </c>
      <c r="AX4" s="97" t="s">
        <v>32</v>
      </c>
      <c r="AY4" s="97" t="s">
        <v>33</v>
      </c>
      <c r="AZ4" s="97" t="s">
        <v>34</v>
      </c>
      <c r="BA4" s="97" t="s">
        <v>35</v>
      </c>
      <c r="BB4" s="97" t="s">
        <v>36</v>
      </c>
      <c r="BC4" s="97" t="s">
        <v>37</v>
      </c>
      <c r="BD4" s="97" t="s">
        <v>38</v>
      </c>
      <c r="BE4" s="97" t="s">
        <v>39</v>
      </c>
      <c r="BF4" s="97" t="s">
        <v>40</v>
      </c>
      <c r="BG4" s="98" t="s">
        <v>43</v>
      </c>
      <c r="BH4" s="98" t="s">
        <v>44</v>
      </c>
      <c r="BI4" s="98" t="s">
        <v>45</v>
      </c>
      <c r="BJ4" s="98" t="s">
        <v>46</v>
      </c>
      <c r="BK4" s="98" t="s">
        <v>47</v>
      </c>
      <c r="BL4" s="98" t="s">
        <v>48</v>
      </c>
      <c r="BM4" s="98" t="s">
        <v>49</v>
      </c>
      <c r="BN4" s="98" t="s">
        <v>50</v>
      </c>
      <c r="BO4" s="98" t="s">
        <v>51</v>
      </c>
      <c r="BP4" s="98" t="s">
        <v>52</v>
      </c>
      <c r="BQ4" s="98" t="s">
        <v>53</v>
      </c>
      <c r="BR4" s="98" t="s">
        <v>54</v>
      </c>
      <c r="BS4" s="97" t="s">
        <v>55</v>
      </c>
      <c r="BT4" s="97" t="s">
        <v>56</v>
      </c>
      <c r="BU4" s="97" t="s">
        <v>57</v>
      </c>
      <c r="BV4" s="97" t="s">
        <v>58</v>
      </c>
      <c r="BW4" s="97" t="s">
        <v>59</v>
      </c>
      <c r="BX4" s="97" t="s">
        <v>60</v>
      </c>
      <c r="BY4" s="97" t="s">
        <v>61</v>
      </c>
      <c r="BZ4" s="97" t="s">
        <v>62</v>
      </c>
      <c r="CA4" s="97" t="s">
        <v>63</v>
      </c>
      <c r="CB4" s="97" t="s">
        <v>64</v>
      </c>
      <c r="CC4" s="97" t="s">
        <v>65</v>
      </c>
      <c r="CD4" s="97" t="s">
        <v>66</v>
      </c>
      <c r="CE4" s="98" t="s">
        <v>67</v>
      </c>
      <c r="CF4" s="98" t="s">
        <v>68</v>
      </c>
      <c r="CG4" s="98" t="s">
        <v>69</v>
      </c>
      <c r="CH4" s="98" t="s">
        <v>70</v>
      </c>
      <c r="CI4" s="98" t="s">
        <v>71</v>
      </c>
      <c r="CJ4" s="98" t="s">
        <v>72</v>
      </c>
      <c r="CK4" s="98" t="s">
        <v>73</v>
      </c>
      <c r="CL4" s="98" t="s">
        <v>74</v>
      </c>
      <c r="CM4" s="98" t="s">
        <v>75</v>
      </c>
      <c r="CN4" s="98" t="s">
        <v>76</v>
      </c>
      <c r="CO4" s="98" t="s">
        <v>77</v>
      </c>
      <c r="CP4" s="98" t="s">
        <v>78</v>
      </c>
      <c r="CQ4" s="97" t="s">
        <v>79</v>
      </c>
      <c r="CR4" s="97" t="s">
        <v>80</v>
      </c>
      <c r="CS4" s="97" t="s">
        <v>81</v>
      </c>
      <c r="CT4" s="97" t="s">
        <v>82</v>
      </c>
      <c r="CU4" s="97" t="s">
        <v>83</v>
      </c>
      <c r="CV4" s="97" t="s">
        <v>84</v>
      </c>
      <c r="CW4" s="97" t="s">
        <v>85</v>
      </c>
      <c r="CX4" s="97" t="s">
        <v>86</v>
      </c>
      <c r="CY4" s="97" t="s">
        <v>87</v>
      </c>
      <c r="CZ4" s="97" t="s">
        <v>88</v>
      </c>
      <c r="DA4" s="97" t="s">
        <v>89</v>
      </c>
      <c r="DB4" s="97" t="s">
        <v>90</v>
      </c>
      <c r="DC4" s="98" t="s">
        <v>91</v>
      </c>
      <c r="DD4" s="98" t="s">
        <v>92</v>
      </c>
      <c r="DE4" s="98" t="s">
        <v>93</v>
      </c>
      <c r="DF4" s="98" t="s">
        <v>94</v>
      </c>
      <c r="DG4" s="98" t="s">
        <v>95</v>
      </c>
      <c r="DH4" s="98" t="s">
        <v>96</v>
      </c>
      <c r="DI4" s="98" t="s">
        <v>97</v>
      </c>
      <c r="DJ4" s="98" t="s">
        <v>98</v>
      </c>
      <c r="DK4" s="98" t="s">
        <v>99</v>
      </c>
      <c r="DL4" s="98" t="s">
        <v>100</v>
      </c>
      <c r="DM4" s="98" t="s">
        <v>101</v>
      </c>
      <c r="DN4" s="98" t="s">
        <v>102</v>
      </c>
      <c r="DO4" s="97" t="s">
        <v>103</v>
      </c>
      <c r="DP4" s="97" t="s">
        <v>104</v>
      </c>
      <c r="DQ4" s="97" t="s">
        <v>105</v>
      </c>
      <c r="DR4" s="97" t="s">
        <v>106</v>
      </c>
      <c r="DS4" s="97" t="s">
        <v>107</v>
      </c>
      <c r="DT4" s="97" t="s">
        <v>108</v>
      </c>
      <c r="DU4" s="97" t="s">
        <v>109</v>
      </c>
      <c r="DV4" s="97" t="s">
        <v>110</v>
      </c>
      <c r="DW4" s="97" t="s">
        <v>111</v>
      </c>
      <c r="DX4" s="97" t="s">
        <v>112</v>
      </c>
      <c r="DY4" s="97" t="s">
        <v>113</v>
      </c>
      <c r="DZ4" s="97" t="s">
        <v>114</v>
      </c>
      <c r="EA4" s="98" t="s">
        <v>115</v>
      </c>
      <c r="EB4" s="98" t="s">
        <v>116</v>
      </c>
      <c r="EC4" s="98" t="s">
        <v>117</v>
      </c>
      <c r="ED4" s="98" t="s">
        <v>118</v>
      </c>
      <c r="EE4" s="98" t="s">
        <v>119</v>
      </c>
      <c r="EF4" s="98" t="s">
        <v>120</v>
      </c>
      <c r="EG4" s="98" t="s">
        <v>121</v>
      </c>
      <c r="EH4" s="98" t="s">
        <v>122</v>
      </c>
      <c r="EI4" s="98" t="s">
        <v>123</v>
      </c>
      <c r="EJ4" s="98" t="s">
        <v>124</v>
      </c>
      <c r="EK4" s="98" t="s">
        <v>125</v>
      </c>
      <c r="EL4" s="98" t="s">
        <v>126</v>
      </c>
      <c r="EM4" s="97" t="s">
        <v>127</v>
      </c>
      <c r="EN4" s="97" t="s">
        <v>128</v>
      </c>
      <c r="EO4" s="97" t="s">
        <v>129</v>
      </c>
      <c r="EP4" s="97" t="s">
        <v>130</v>
      </c>
      <c r="EQ4" s="97" t="s">
        <v>131</v>
      </c>
      <c r="ER4" s="97" t="s">
        <v>132</v>
      </c>
      <c r="ES4" s="97" t="s">
        <v>133</v>
      </c>
      <c r="ET4" s="97" t="s">
        <v>134</v>
      </c>
      <c r="EU4" s="97" t="s">
        <v>135</v>
      </c>
      <c r="EV4" s="97" t="s">
        <v>136</v>
      </c>
      <c r="EW4" s="97" t="s">
        <v>137</v>
      </c>
      <c r="EX4" s="97" t="s">
        <v>138</v>
      </c>
      <c r="EY4" s="98" t="s">
        <v>160</v>
      </c>
      <c r="EZ4" s="98" t="s">
        <v>161</v>
      </c>
      <c r="FA4" s="98" t="s">
        <v>162</v>
      </c>
      <c r="FB4" s="98" t="s">
        <v>163</v>
      </c>
      <c r="FC4" s="98" t="s">
        <v>164</v>
      </c>
      <c r="FD4" s="98" t="s">
        <v>165</v>
      </c>
      <c r="FE4" s="98" t="s">
        <v>166</v>
      </c>
      <c r="FF4" s="98" t="s">
        <v>167</v>
      </c>
      <c r="FG4" s="98" t="s">
        <v>168</v>
      </c>
      <c r="FH4" s="98" t="s">
        <v>169</v>
      </c>
      <c r="FI4" s="98" t="s">
        <v>170</v>
      </c>
      <c r="FJ4" s="29" t="s">
        <v>171</v>
      </c>
    </row>
    <row r="5" spans="1:166">
      <c r="A5" s="310" t="s">
        <v>1013</v>
      </c>
      <c r="B5" s="60" t="s">
        <v>1522</v>
      </c>
      <c r="C5" s="60" t="s">
        <v>256</v>
      </c>
      <c r="D5" s="60" t="s">
        <v>821</v>
      </c>
      <c r="E5" s="60" t="s">
        <v>470</v>
      </c>
      <c r="F5" s="60" t="s">
        <v>1546</v>
      </c>
      <c r="G5" s="60">
        <v>0</v>
      </c>
      <c r="H5" s="60">
        <v>0</v>
      </c>
      <c r="I5" s="60">
        <v>0</v>
      </c>
      <c r="J5" s="60" t="s">
        <v>252</v>
      </c>
      <c r="K5" s="60">
        <v>0</v>
      </c>
      <c r="L5" s="60" t="s">
        <v>1563</v>
      </c>
      <c r="M5" s="320">
        <v>1</v>
      </c>
      <c r="N5" s="59">
        <v>0</v>
      </c>
      <c r="O5" s="431">
        <v>0</v>
      </c>
      <c r="P5" s="307">
        <v>0</v>
      </c>
      <c r="Q5" s="59">
        <v>0</v>
      </c>
      <c r="R5" s="59">
        <v>10</v>
      </c>
      <c r="S5" s="308">
        <v>1</v>
      </c>
      <c r="T5" s="321">
        <v>1</v>
      </c>
      <c r="U5" s="60">
        <v>0</v>
      </c>
      <c r="V5" s="59">
        <v>26000000</v>
      </c>
      <c r="W5" s="59">
        <v>260000000</v>
      </c>
      <c r="X5" s="59">
        <v>260000000</v>
      </c>
      <c r="Y5" s="59">
        <v>0</v>
      </c>
      <c r="Z5" s="59">
        <v>0</v>
      </c>
      <c r="AA5" s="59">
        <v>0</v>
      </c>
      <c r="AB5" s="59">
        <v>0</v>
      </c>
      <c r="AC5" s="59">
        <v>0</v>
      </c>
      <c r="AD5" s="59">
        <v>0</v>
      </c>
      <c r="AE5" s="59">
        <v>0</v>
      </c>
      <c r="AF5" s="59">
        <v>0</v>
      </c>
      <c r="AG5" s="59">
        <v>0</v>
      </c>
      <c r="AH5" s="59">
        <v>0</v>
      </c>
      <c r="AI5" s="59">
        <v>26000000</v>
      </c>
      <c r="AJ5" s="59">
        <v>26000000</v>
      </c>
      <c r="AK5" s="59">
        <v>26000000</v>
      </c>
      <c r="AL5" s="59">
        <v>26000000</v>
      </c>
      <c r="AM5" s="59">
        <v>26000000</v>
      </c>
      <c r="AN5" s="59">
        <v>26000000</v>
      </c>
      <c r="AO5" s="59">
        <v>26000000</v>
      </c>
      <c r="AP5" s="59">
        <v>26000000</v>
      </c>
      <c r="AQ5" s="59">
        <v>26000000</v>
      </c>
      <c r="AR5" s="59">
        <v>26000000</v>
      </c>
      <c r="AS5" s="59">
        <v>0</v>
      </c>
      <c r="AT5" s="59">
        <v>0</v>
      </c>
      <c r="AU5" s="59">
        <v>0</v>
      </c>
      <c r="AV5" s="59">
        <v>0</v>
      </c>
      <c r="AW5" s="59">
        <v>0</v>
      </c>
      <c r="AX5" s="59">
        <v>0</v>
      </c>
      <c r="AY5" s="59">
        <v>0</v>
      </c>
      <c r="AZ5" s="59">
        <v>0</v>
      </c>
      <c r="BA5" s="59">
        <v>0</v>
      </c>
      <c r="BB5" s="59">
        <v>0</v>
      </c>
      <c r="BC5" s="59">
        <v>0</v>
      </c>
      <c r="BD5" s="59">
        <v>0</v>
      </c>
      <c r="BE5" s="59">
        <v>0</v>
      </c>
      <c r="BF5" s="59">
        <v>0</v>
      </c>
      <c r="BG5" s="59">
        <v>0</v>
      </c>
      <c r="BH5" s="59">
        <v>0</v>
      </c>
      <c r="BI5" s="59">
        <v>0</v>
      </c>
      <c r="BJ5" s="59">
        <v>0</v>
      </c>
      <c r="BK5" s="59">
        <v>0</v>
      </c>
      <c r="BL5" s="59">
        <v>0</v>
      </c>
      <c r="BM5" s="59">
        <v>0</v>
      </c>
      <c r="BN5" s="59">
        <v>0</v>
      </c>
      <c r="BO5" s="59">
        <v>0</v>
      </c>
      <c r="BP5" s="59">
        <v>0</v>
      </c>
      <c r="BQ5" s="59">
        <v>0</v>
      </c>
      <c r="BR5" s="59">
        <v>0</v>
      </c>
      <c r="BS5" s="59">
        <v>0</v>
      </c>
      <c r="BT5" s="59">
        <v>0</v>
      </c>
      <c r="BU5" s="59">
        <v>0</v>
      </c>
      <c r="BV5" s="59">
        <v>0</v>
      </c>
      <c r="BW5" s="59">
        <v>0</v>
      </c>
      <c r="BX5" s="59">
        <v>0</v>
      </c>
      <c r="BY5" s="59">
        <v>0</v>
      </c>
      <c r="BZ5" s="59">
        <v>0</v>
      </c>
      <c r="CA5" s="59">
        <v>0</v>
      </c>
      <c r="CB5" s="59">
        <v>0</v>
      </c>
      <c r="CC5" s="59">
        <v>0</v>
      </c>
      <c r="CD5" s="59">
        <v>0</v>
      </c>
      <c r="CE5" s="59">
        <v>0</v>
      </c>
      <c r="CF5" s="59">
        <v>0</v>
      </c>
      <c r="CG5" s="59">
        <v>0</v>
      </c>
      <c r="CH5" s="59">
        <v>0</v>
      </c>
      <c r="CI5" s="59">
        <v>0</v>
      </c>
      <c r="CJ5" s="59">
        <v>0</v>
      </c>
      <c r="CK5" s="59">
        <v>0</v>
      </c>
      <c r="CL5" s="59">
        <v>0</v>
      </c>
      <c r="CM5" s="59">
        <v>0</v>
      </c>
      <c r="CN5" s="59">
        <v>0</v>
      </c>
      <c r="CO5" s="59">
        <v>0</v>
      </c>
      <c r="CP5" s="59">
        <v>0</v>
      </c>
      <c r="CQ5" s="59">
        <v>0</v>
      </c>
      <c r="CR5" s="59">
        <v>0</v>
      </c>
      <c r="CS5" s="59">
        <v>0</v>
      </c>
      <c r="CT5" s="59">
        <v>0</v>
      </c>
      <c r="CU5" s="59">
        <v>0</v>
      </c>
      <c r="CV5" s="59">
        <v>0</v>
      </c>
      <c r="CW5" s="59">
        <v>0</v>
      </c>
      <c r="CX5" s="59">
        <v>0</v>
      </c>
      <c r="CY5" s="59">
        <v>0</v>
      </c>
      <c r="CZ5" s="59">
        <v>0</v>
      </c>
      <c r="DA5" s="59">
        <v>0</v>
      </c>
      <c r="DB5" s="59">
        <v>0</v>
      </c>
      <c r="DC5" s="59">
        <v>0</v>
      </c>
      <c r="DD5" s="59">
        <v>0</v>
      </c>
      <c r="DE5" s="59">
        <v>0</v>
      </c>
      <c r="DF5" s="59">
        <v>0</v>
      </c>
      <c r="DG5" s="59">
        <v>0</v>
      </c>
      <c r="DH5" s="59">
        <v>0</v>
      </c>
      <c r="DI5" s="59">
        <v>0</v>
      </c>
      <c r="DJ5" s="59">
        <v>0</v>
      </c>
      <c r="DK5" s="59">
        <v>0</v>
      </c>
      <c r="DL5" s="59">
        <v>0</v>
      </c>
      <c r="DM5" s="59">
        <v>0</v>
      </c>
      <c r="DN5" s="59">
        <v>0</v>
      </c>
      <c r="DO5" s="59">
        <v>0</v>
      </c>
      <c r="DP5" s="59">
        <v>0</v>
      </c>
      <c r="DQ5" s="59">
        <v>0</v>
      </c>
      <c r="DR5" s="59">
        <v>0</v>
      </c>
      <c r="DS5" s="59">
        <v>0</v>
      </c>
      <c r="DT5" s="59">
        <v>0</v>
      </c>
      <c r="DU5" s="59">
        <v>0</v>
      </c>
      <c r="DV5" s="59">
        <v>0</v>
      </c>
      <c r="DW5" s="59">
        <v>0</v>
      </c>
      <c r="DX5" s="59">
        <v>0</v>
      </c>
      <c r="DY5" s="59">
        <v>0</v>
      </c>
      <c r="DZ5" s="59">
        <v>0</v>
      </c>
      <c r="EA5" s="59">
        <v>0</v>
      </c>
      <c r="EB5" s="59">
        <v>0</v>
      </c>
      <c r="EC5" s="59">
        <v>0</v>
      </c>
      <c r="ED5" s="59">
        <v>0</v>
      </c>
      <c r="EE5" s="59">
        <v>0</v>
      </c>
      <c r="EF5" s="59">
        <v>0</v>
      </c>
      <c r="EG5" s="59">
        <v>0</v>
      </c>
      <c r="EH5" s="59">
        <v>0</v>
      </c>
      <c r="EI5" s="59">
        <v>0</v>
      </c>
      <c r="EJ5" s="59">
        <v>0</v>
      </c>
      <c r="EK5" s="59">
        <v>0</v>
      </c>
      <c r="EL5" s="59">
        <v>0</v>
      </c>
      <c r="EM5" s="59">
        <v>0</v>
      </c>
      <c r="EN5" s="59">
        <v>0</v>
      </c>
      <c r="EO5" s="59">
        <v>0</v>
      </c>
      <c r="EP5" s="59">
        <v>0</v>
      </c>
      <c r="EQ5" s="59">
        <v>0</v>
      </c>
      <c r="ER5" s="59">
        <v>0</v>
      </c>
      <c r="ES5" s="59">
        <v>0</v>
      </c>
      <c r="ET5" s="59">
        <v>0</v>
      </c>
      <c r="EU5" s="59">
        <v>0</v>
      </c>
      <c r="EV5" s="59">
        <v>0</v>
      </c>
      <c r="EW5" s="59">
        <v>0</v>
      </c>
      <c r="EX5" s="59">
        <v>0</v>
      </c>
      <c r="EY5" s="59">
        <v>0</v>
      </c>
      <c r="EZ5" s="59">
        <v>0</v>
      </c>
      <c r="FA5" s="59">
        <v>0</v>
      </c>
      <c r="FB5" s="59">
        <v>0</v>
      </c>
      <c r="FC5" s="59">
        <v>0</v>
      </c>
      <c r="FD5" s="59">
        <v>0</v>
      </c>
      <c r="FE5" s="59">
        <v>0</v>
      </c>
      <c r="FF5" s="59">
        <v>0</v>
      </c>
      <c r="FG5" s="59">
        <v>0</v>
      </c>
      <c r="FH5" s="59">
        <v>0</v>
      </c>
      <c r="FI5" s="59">
        <v>0</v>
      </c>
      <c r="FJ5" s="44">
        <v>0</v>
      </c>
    </row>
    <row r="6" spans="1:166">
      <c r="A6" s="501" t="s">
        <v>1014</v>
      </c>
      <c r="B6" s="491" t="s">
        <v>157</v>
      </c>
      <c r="C6" s="491" t="s">
        <v>256</v>
      </c>
      <c r="D6" s="491" t="s">
        <v>821</v>
      </c>
      <c r="E6" s="491" t="s">
        <v>470</v>
      </c>
      <c r="F6" s="491" t="s">
        <v>1548</v>
      </c>
      <c r="G6" s="491">
        <v>0</v>
      </c>
      <c r="H6" s="491">
        <v>0</v>
      </c>
      <c r="I6" s="491">
        <v>0</v>
      </c>
      <c r="J6" s="491" t="s">
        <v>252</v>
      </c>
      <c r="K6" s="491">
        <v>0</v>
      </c>
      <c r="L6" s="491" t="s">
        <v>259</v>
      </c>
      <c r="M6" s="511">
        <v>1</v>
      </c>
      <c r="N6" s="493">
        <v>0</v>
      </c>
      <c r="O6" s="494">
        <v>0</v>
      </c>
      <c r="P6" s="495">
        <v>0</v>
      </c>
      <c r="Q6" s="493">
        <v>36</v>
      </c>
      <c r="R6" s="493">
        <f>120-Q6</f>
        <v>84</v>
      </c>
      <c r="S6" s="496">
        <v>1</v>
      </c>
      <c r="T6" s="512">
        <v>1</v>
      </c>
      <c r="U6" s="491">
        <v>0</v>
      </c>
      <c r="V6" s="493">
        <v>5250000</v>
      </c>
      <c r="W6" s="493">
        <v>441000000</v>
      </c>
      <c r="X6" s="493">
        <v>0</v>
      </c>
      <c r="Y6" s="493">
        <v>0</v>
      </c>
      <c r="Z6" s="493">
        <v>0</v>
      </c>
      <c r="AA6" s="493">
        <v>63000000</v>
      </c>
      <c r="AB6" s="493">
        <v>63000000</v>
      </c>
      <c r="AC6" s="493">
        <v>63000000</v>
      </c>
      <c r="AD6" s="493">
        <v>63000000</v>
      </c>
      <c r="AE6" s="493">
        <v>63000000</v>
      </c>
      <c r="AF6" s="493">
        <v>63000000</v>
      </c>
      <c r="AG6" s="493">
        <v>63000000</v>
      </c>
      <c r="AH6" s="493">
        <v>0</v>
      </c>
      <c r="AI6" s="500">
        <v>0</v>
      </c>
      <c r="AJ6" s="500">
        <v>0</v>
      </c>
      <c r="AK6" s="500">
        <v>0</v>
      </c>
      <c r="AL6" s="500">
        <v>0</v>
      </c>
      <c r="AM6" s="500">
        <v>0</v>
      </c>
      <c r="AN6" s="500">
        <v>0</v>
      </c>
      <c r="AO6" s="500">
        <v>0</v>
      </c>
      <c r="AP6" s="500">
        <v>0</v>
      </c>
      <c r="AQ6" s="500">
        <v>0</v>
      </c>
      <c r="AR6" s="500">
        <v>0</v>
      </c>
      <c r="AS6" s="500">
        <v>0</v>
      </c>
      <c r="AT6" s="500">
        <v>0</v>
      </c>
      <c r="AU6" s="500">
        <v>0</v>
      </c>
      <c r="AV6" s="500">
        <v>0</v>
      </c>
      <c r="AW6" s="500">
        <v>0</v>
      </c>
      <c r="AX6" s="500">
        <v>0</v>
      </c>
      <c r="AY6" s="500">
        <v>0</v>
      </c>
      <c r="AZ6" s="500">
        <v>0</v>
      </c>
      <c r="BA6" s="500">
        <v>0</v>
      </c>
      <c r="BB6" s="500">
        <v>0</v>
      </c>
      <c r="BC6" s="500">
        <v>0</v>
      </c>
      <c r="BD6" s="500">
        <v>0</v>
      </c>
      <c r="BE6" s="500">
        <v>0</v>
      </c>
      <c r="BF6" s="500">
        <v>0</v>
      </c>
      <c r="BG6" s="500">
        <v>0</v>
      </c>
      <c r="BH6" s="500">
        <v>0</v>
      </c>
      <c r="BI6" s="500">
        <v>0</v>
      </c>
      <c r="BJ6" s="500">
        <v>0</v>
      </c>
      <c r="BK6" s="500">
        <v>0</v>
      </c>
      <c r="BL6" s="500">
        <v>0</v>
      </c>
      <c r="BM6" s="500">
        <v>0</v>
      </c>
      <c r="BN6" s="500">
        <v>0</v>
      </c>
      <c r="BO6" s="500">
        <v>0</v>
      </c>
      <c r="BP6" s="500">
        <v>0</v>
      </c>
      <c r="BQ6" s="500">
        <v>0</v>
      </c>
      <c r="BR6" s="500">
        <v>0</v>
      </c>
      <c r="BS6" s="493">
        <v>5250000</v>
      </c>
      <c r="BT6" s="493">
        <v>5250000</v>
      </c>
      <c r="BU6" s="493">
        <v>5250000</v>
      </c>
      <c r="BV6" s="493">
        <v>5250000</v>
      </c>
      <c r="BW6" s="493">
        <v>5250000</v>
      </c>
      <c r="BX6" s="493">
        <v>5250000</v>
      </c>
      <c r="BY6" s="493">
        <v>5250000</v>
      </c>
      <c r="BZ6" s="493">
        <v>5250000</v>
      </c>
      <c r="CA6" s="493">
        <v>5250000</v>
      </c>
      <c r="CB6" s="493">
        <v>5250000</v>
      </c>
      <c r="CC6" s="493">
        <v>5250000</v>
      </c>
      <c r="CD6" s="493">
        <v>5250000</v>
      </c>
      <c r="CE6" s="493">
        <v>5250000</v>
      </c>
      <c r="CF6" s="493">
        <v>5250000</v>
      </c>
      <c r="CG6" s="493">
        <v>5250000</v>
      </c>
      <c r="CH6" s="493">
        <v>5250000</v>
      </c>
      <c r="CI6" s="493">
        <v>5250000</v>
      </c>
      <c r="CJ6" s="493">
        <v>5250000</v>
      </c>
      <c r="CK6" s="493">
        <v>5250000</v>
      </c>
      <c r="CL6" s="493">
        <v>5250000</v>
      </c>
      <c r="CM6" s="493">
        <v>5250000</v>
      </c>
      <c r="CN6" s="493">
        <v>5250000</v>
      </c>
      <c r="CO6" s="493">
        <v>5250000</v>
      </c>
      <c r="CP6" s="493">
        <v>5250000</v>
      </c>
      <c r="CQ6" s="493">
        <v>5250000</v>
      </c>
      <c r="CR6" s="493">
        <v>5250000</v>
      </c>
      <c r="CS6" s="493">
        <v>5250000</v>
      </c>
      <c r="CT6" s="493">
        <v>5250000</v>
      </c>
      <c r="CU6" s="493">
        <v>5250000</v>
      </c>
      <c r="CV6" s="493">
        <v>5250000</v>
      </c>
      <c r="CW6" s="493">
        <v>5250000</v>
      </c>
      <c r="CX6" s="493">
        <v>5250000</v>
      </c>
      <c r="CY6" s="493">
        <v>5250000</v>
      </c>
      <c r="CZ6" s="493">
        <v>5250000</v>
      </c>
      <c r="DA6" s="493">
        <v>5250000</v>
      </c>
      <c r="DB6" s="493">
        <v>5250000</v>
      </c>
      <c r="DC6" s="493">
        <v>5250000</v>
      </c>
      <c r="DD6" s="493">
        <v>5250000</v>
      </c>
      <c r="DE6" s="493">
        <v>5250000</v>
      </c>
      <c r="DF6" s="493">
        <v>5250000</v>
      </c>
      <c r="DG6" s="493">
        <v>5250000</v>
      </c>
      <c r="DH6" s="493">
        <v>5250000</v>
      </c>
      <c r="DI6" s="493">
        <v>5250000</v>
      </c>
      <c r="DJ6" s="493">
        <v>5250000</v>
      </c>
      <c r="DK6" s="493">
        <v>5250000</v>
      </c>
      <c r="DL6" s="493">
        <v>5250000</v>
      </c>
      <c r="DM6" s="493">
        <v>5250000</v>
      </c>
      <c r="DN6" s="493">
        <v>5250000</v>
      </c>
      <c r="DO6" s="493">
        <v>5250000</v>
      </c>
      <c r="DP6" s="493">
        <v>5250000</v>
      </c>
      <c r="DQ6" s="493">
        <v>5250000</v>
      </c>
      <c r="DR6" s="493">
        <v>5250000</v>
      </c>
      <c r="DS6" s="493">
        <v>5250000</v>
      </c>
      <c r="DT6" s="493">
        <v>5250000</v>
      </c>
      <c r="DU6" s="493">
        <v>5250000</v>
      </c>
      <c r="DV6" s="493">
        <v>5250000</v>
      </c>
      <c r="DW6" s="493">
        <v>5250000</v>
      </c>
      <c r="DX6" s="493">
        <v>5250000</v>
      </c>
      <c r="DY6" s="493">
        <v>5250000</v>
      </c>
      <c r="DZ6" s="493">
        <v>5250000</v>
      </c>
      <c r="EA6" s="493">
        <v>5250000</v>
      </c>
      <c r="EB6" s="493">
        <v>5250000</v>
      </c>
      <c r="EC6" s="493">
        <v>5250000</v>
      </c>
      <c r="ED6" s="493">
        <v>5250000</v>
      </c>
      <c r="EE6" s="493">
        <v>5250000</v>
      </c>
      <c r="EF6" s="493">
        <v>5250000</v>
      </c>
      <c r="EG6" s="493">
        <v>5250000</v>
      </c>
      <c r="EH6" s="493">
        <v>5250000</v>
      </c>
      <c r="EI6" s="493">
        <v>5250000</v>
      </c>
      <c r="EJ6" s="493">
        <v>5250000</v>
      </c>
      <c r="EK6" s="493">
        <v>5250000</v>
      </c>
      <c r="EL6" s="493">
        <v>5250000</v>
      </c>
      <c r="EM6" s="493">
        <v>5250000</v>
      </c>
      <c r="EN6" s="493">
        <v>5250000</v>
      </c>
      <c r="EO6" s="493">
        <v>5250000</v>
      </c>
      <c r="EP6" s="493">
        <v>5250000</v>
      </c>
      <c r="EQ6" s="493">
        <v>5250000</v>
      </c>
      <c r="ER6" s="493">
        <v>5250000</v>
      </c>
      <c r="ES6" s="493">
        <v>5250000</v>
      </c>
      <c r="ET6" s="493">
        <v>5250000</v>
      </c>
      <c r="EU6" s="493">
        <v>5250000</v>
      </c>
      <c r="EV6" s="493">
        <v>5250000</v>
      </c>
      <c r="EW6" s="493">
        <v>5250000</v>
      </c>
      <c r="EX6" s="493">
        <v>5250000</v>
      </c>
      <c r="EY6" s="493">
        <v>0</v>
      </c>
      <c r="EZ6" s="493">
        <v>0</v>
      </c>
      <c r="FA6" s="493">
        <v>0</v>
      </c>
      <c r="FB6" s="493">
        <v>0</v>
      </c>
      <c r="FC6" s="493">
        <v>0</v>
      </c>
      <c r="FD6" s="493">
        <v>0</v>
      </c>
      <c r="FE6" s="493">
        <v>0</v>
      </c>
      <c r="FF6" s="493">
        <v>0</v>
      </c>
      <c r="FG6" s="493">
        <v>0</v>
      </c>
      <c r="FH6" s="493">
        <v>0</v>
      </c>
      <c r="FI6" s="493">
        <v>0</v>
      </c>
      <c r="FJ6" s="45">
        <v>0</v>
      </c>
    </row>
    <row r="7" spans="1:166">
      <c r="A7" s="501" t="s">
        <v>1015</v>
      </c>
      <c r="B7" s="491" t="s">
        <v>1522</v>
      </c>
      <c r="C7" s="491" t="s">
        <v>246</v>
      </c>
      <c r="D7" s="491" t="s">
        <v>820</v>
      </c>
      <c r="E7" s="491" t="s">
        <v>248</v>
      </c>
      <c r="F7" s="491" t="s">
        <v>251</v>
      </c>
      <c r="G7" s="491">
        <v>0</v>
      </c>
      <c r="H7" s="491">
        <v>0</v>
      </c>
      <c r="I7" s="491">
        <v>0</v>
      </c>
      <c r="J7" s="491" t="s">
        <v>252</v>
      </c>
      <c r="K7" s="491">
        <v>0</v>
      </c>
      <c r="L7" s="491" t="s">
        <v>259</v>
      </c>
      <c r="M7" s="511">
        <v>1</v>
      </c>
      <c r="N7" s="493">
        <v>0</v>
      </c>
      <c r="O7" s="494">
        <v>0</v>
      </c>
      <c r="P7" s="495">
        <v>0</v>
      </c>
      <c r="Q7" s="493">
        <v>0</v>
      </c>
      <c r="R7" s="493">
        <v>5</v>
      </c>
      <c r="S7" s="496">
        <v>1</v>
      </c>
      <c r="T7" s="512">
        <v>1</v>
      </c>
      <c r="U7" s="491">
        <v>0</v>
      </c>
      <c r="V7" s="493">
        <v>8797100</v>
      </c>
      <c r="W7" s="493">
        <v>43985500</v>
      </c>
      <c r="X7" s="493">
        <v>43985500</v>
      </c>
      <c r="Y7" s="493">
        <v>0</v>
      </c>
      <c r="Z7" s="493">
        <v>0</v>
      </c>
      <c r="AA7" s="493">
        <v>0</v>
      </c>
      <c r="AB7" s="493">
        <v>0</v>
      </c>
      <c r="AC7" s="493">
        <v>0</v>
      </c>
      <c r="AD7" s="493">
        <v>0</v>
      </c>
      <c r="AE7" s="493">
        <v>0</v>
      </c>
      <c r="AF7" s="493">
        <v>0</v>
      </c>
      <c r="AG7" s="493">
        <v>0</v>
      </c>
      <c r="AH7" s="493">
        <v>0</v>
      </c>
      <c r="AI7" s="493">
        <v>8797100</v>
      </c>
      <c r="AJ7" s="493">
        <v>8797100</v>
      </c>
      <c r="AK7" s="493">
        <v>8797100</v>
      </c>
      <c r="AL7" s="493">
        <v>8797100</v>
      </c>
      <c r="AM7" s="493">
        <v>8797100</v>
      </c>
      <c r="AN7" s="493">
        <v>0</v>
      </c>
      <c r="AO7" s="493">
        <v>0</v>
      </c>
      <c r="AP7" s="493">
        <v>0</v>
      </c>
      <c r="AQ7" s="493">
        <v>0</v>
      </c>
      <c r="AR7" s="493">
        <v>0</v>
      </c>
      <c r="AS7" s="493">
        <v>0</v>
      </c>
      <c r="AT7" s="493">
        <v>0</v>
      </c>
      <c r="AU7" s="493">
        <v>0</v>
      </c>
      <c r="AV7" s="493">
        <v>0</v>
      </c>
      <c r="AW7" s="493">
        <v>0</v>
      </c>
      <c r="AX7" s="493">
        <v>0</v>
      </c>
      <c r="AY7" s="493">
        <v>0</v>
      </c>
      <c r="AZ7" s="493">
        <v>0</v>
      </c>
      <c r="BA7" s="493">
        <v>0</v>
      </c>
      <c r="BB7" s="493">
        <v>0</v>
      </c>
      <c r="BC7" s="493">
        <v>0</v>
      </c>
      <c r="BD7" s="493">
        <v>0</v>
      </c>
      <c r="BE7" s="493">
        <v>0</v>
      </c>
      <c r="BF7" s="493">
        <v>0</v>
      </c>
      <c r="BG7" s="493">
        <v>0</v>
      </c>
      <c r="BH7" s="493">
        <v>0</v>
      </c>
      <c r="BI7" s="493">
        <v>0</v>
      </c>
      <c r="BJ7" s="493">
        <v>0</v>
      </c>
      <c r="BK7" s="493">
        <v>0</v>
      </c>
      <c r="BL7" s="493">
        <v>0</v>
      </c>
      <c r="BM7" s="493">
        <v>0</v>
      </c>
      <c r="BN7" s="493">
        <v>0</v>
      </c>
      <c r="BO7" s="493">
        <v>0</v>
      </c>
      <c r="BP7" s="493">
        <v>0</v>
      </c>
      <c r="BQ7" s="493">
        <v>0</v>
      </c>
      <c r="BR7" s="493">
        <v>0</v>
      </c>
      <c r="BS7" s="493">
        <v>0</v>
      </c>
      <c r="BT7" s="493">
        <v>0</v>
      </c>
      <c r="BU7" s="493">
        <v>0</v>
      </c>
      <c r="BV7" s="493">
        <v>0</v>
      </c>
      <c r="BW7" s="493">
        <v>0</v>
      </c>
      <c r="BX7" s="493">
        <v>0</v>
      </c>
      <c r="BY7" s="493">
        <v>0</v>
      </c>
      <c r="BZ7" s="493">
        <v>0</v>
      </c>
      <c r="CA7" s="493">
        <v>0</v>
      </c>
      <c r="CB7" s="493">
        <v>0</v>
      </c>
      <c r="CC7" s="493">
        <v>0</v>
      </c>
      <c r="CD7" s="493">
        <v>0</v>
      </c>
      <c r="CE7" s="493">
        <v>0</v>
      </c>
      <c r="CF7" s="493">
        <v>0</v>
      </c>
      <c r="CG7" s="493">
        <v>0</v>
      </c>
      <c r="CH7" s="493">
        <v>0</v>
      </c>
      <c r="CI7" s="493">
        <v>0</v>
      </c>
      <c r="CJ7" s="493">
        <v>0</v>
      </c>
      <c r="CK7" s="493">
        <v>0</v>
      </c>
      <c r="CL7" s="493">
        <v>0</v>
      </c>
      <c r="CM7" s="493">
        <v>0</v>
      </c>
      <c r="CN7" s="493">
        <v>0</v>
      </c>
      <c r="CO7" s="493">
        <v>0</v>
      </c>
      <c r="CP7" s="493">
        <v>0</v>
      </c>
      <c r="CQ7" s="493">
        <v>0</v>
      </c>
      <c r="CR7" s="493">
        <v>0</v>
      </c>
      <c r="CS7" s="493">
        <v>0</v>
      </c>
      <c r="CT7" s="493">
        <v>0</v>
      </c>
      <c r="CU7" s="493">
        <v>0</v>
      </c>
      <c r="CV7" s="493">
        <v>0</v>
      </c>
      <c r="CW7" s="493">
        <v>0</v>
      </c>
      <c r="CX7" s="493">
        <v>0</v>
      </c>
      <c r="CY7" s="493">
        <v>0</v>
      </c>
      <c r="CZ7" s="493">
        <v>0</v>
      </c>
      <c r="DA7" s="493">
        <v>0</v>
      </c>
      <c r="DB7" s="493">
        <v>0</v>
      </c>
      <c r="DC7" s="493">
        <v>0</v>
      </c>
      <c r="DD7" s="493">
        <v>0</v>
      </c>
      <c r="DE7" s="493">
        <v>0</v>
      </c>
      <c r="DF7" s="493">
        <v>0</v>
      </c>
      <c r="DG7" s="493">
        <v>0</v>
      </c>
      <c r="DH7" s="493">
        <v>0</v>
      </c>
      <c r="DI7" s="493">
        <v>0</v>
      </c>
      <c r="DJ7" s="493">
        <v>0</v>
      </c>
      <c r="DK7" s="493">
        <v>0</v>
      </c>
      <c r="DL7" s="493">
        <v>0</v>
      </c>
      <c r="DM7" s="493">
        <v>0</v>
      </c>
      <c r="DN7" s="493">
        <v>0</v>
      </c>
      <c r="DO7" s="493">
        <v>0</v>
      </c>
      <c r="DP7" s="493">
        <v>0</v>
      </c>
      <c r="DQ7" s="493">
        <v>0</v>
      </c>
      <c r="DR7" s="493">
        <v>0</v>
      </c>
      <c r="DS7" s="493">
        <v>0</v>
      </c>
      <c r="DT7" s="493">
        <v>0</v>
      </c>
      <c r="DU7" s="493">
        <v>0</v>
      </c>
      <c r="DV7" s="493">
        <v>0</v>
      </c>
      <c r="DW7" s="493">
        <v>0</v>
      </c>
      <c r="DX7" s="493">
        <v>0</v>
      </c>
      <c r="DY7" s="493">
        <v>0</v>
      </c>
      <c r="DZ7" s="493">
        <v>0</v>
      </c>
      <c r="EA7" s="493">
        <v>0</v>
      </c>
      <c r="EB7" s="493">
        <v>0</v>
      </c>
      <c r="EC7" s="493">
        <v>0</v>
      </c>
      <c r="ED7" s="493">
        <v>0</v>
      </c>
      <c r="EE7" s="493">
        <v>0</v>
      </c>
      <c r="EF7" s="493">
        <v>0</v>
      </c>
      <c r="EG7" s="493">
        <v>0</v>
      </c>
      <c r="EH7" s="493">
        <v>0</v>
      </c>
      <c r="EI7" s="493">
        <v>0</v>
      </c>
      <c r="EJ7" s="493">
        <v>0</v>
      </c>
      <c r="EK7" s="493">
        <v>0</v>
      </c>
      <c r="EL7" s="493">
        <v>0</v>
      </c>
      <c r="EM7" s="493">
        <v>0</v>
      </c>
      <c r="EN7" s="493">
        <v>0</v>
      </c>
      <c r="EO7" s="493">
        <v>0</v>
      </c>
      <c r="EP7" s="493">
        <v>0</v>
      </c>
      <c r="EQ7" s="493">
        <v>0</v>
      </c>
      <c r="ER7" s="493">
        <v>0</v>
      </c>
      <c r="ES7" s="493">
        <v>0</v>
      </c>
      <c r="ET7" s="493">
        <v>0</v>
      </c>
      <c r="EU7" s="493">
        <v>0</v>
      </c>
      <c r="EV7" s="493">
        <v>0</v>
      </c>
      <c r="EW7" s="493">
        <v>0</v>
      </c>
      <c r="EX7" s="493">
        <v>0</v>
      </c>
      <c r="EY7" s="493">
        <v>0</v>
      </c>
      <c r="EZ7" s="493">
        <v>0</v>
      </c>
      <c r="FA7" s="493">
        <v>0</v>
      </c>
      <c r="FB7" s="493">
        <v>0</v>
      </c>
      <c r="FC7" s="493">
        <v>0</v>
      </c>
      <c r="FD7" s="493">
        <v>0</v>
      </c>
      <c r="FE7" s="493">
        <v>0</v>
      </c>
      <c r="FF7" s="493">
        <v>0</v>
      </c>
      <c r="FG7" s="493">
        <v>0</v>
      </c>
      <c r="FH7" s="493">
        <v>0</v>
      </c>
      <c r="FI7" s="493">
        <v>0</v>
      </c>
      <c r="FJ7" s="45">
        <v>0</v>
      </c>
    </row>
    <row r="8" spans="1:166">
      <c r="A8" s="501" t="s">
        <v>1016</v>
      </c>
      <c r="B8" s="491" t="s">
        <v>157</v>
      </c>
      <c r="C8" s="491" t="s">
        <v>246</v>
      </c>
      <c r="D8" s="491" t="s">
        <v>820</v>
      </c>
      <c r="E8" s="491" t="s">
        <v>248</v>
      </c>
      <c r="F8" s="491" t="s">
        <v>251</v>
      </c>
      <c r="G8" s="491">
        <v>0</v>
      </c>
      <c r="H8" s="491">
        <v>0</v>
      </c>
      <c r="I8" s="491">
        <v>0</v>
      </c>
      <c r="J8" s="491" t="s">
        <v>252</v>
      </c>
      <c r="K8" s="491">
        <v>0</v>
      </c>
      <c r="L8" s="491" t="s">
        <v>259</v>
      </c>
      <c r="M8" s="511">
        <v>1</v>
      </c>
      <c r="N8" s="493">
        <v>0</v>
      </c>
      <c r="O8" s="494">
        <v>0</v>
      </c>
      <c r="P8" s="495">
        <v>0</v>
      </c>
      <c r="Q8" s="493">
        <v>0</v>
      </c>
      <c r="R8" s="493">
        <v>5</v>
      </c>
      <c r="S8" s="496">
        <v>1</v>
      </c>
      <c r="T8" s="512">
        <v>1</v>
      </c>
      <c r="U8" s="491">
        <v>0</v>
      </c>
      <c r="V8" s="493">
        <v>4398550</v>
      </c>
      <c r="W8" s="493">
        <v>21992750</v>
      </c>
      <c r="X8" s="493">
        <v>21992750</v>
      </c>
      <c r="Y8" s="493">
        <v>0</v>
      </c>
      <c r="Z8" s="493">
        <v>0</v>
      </c>
      <c r="AA8" s="493">
        <v>0</v>
      </c>
      <c r="AB8" s="493">
        <v>0</v>
      </c>
      <c r="AC8" s="493">
        <v>0</v>
      </c>
      <c r="AD8" s="493">
        <v>0</v>
      </c>
      <c r="AE8" s="493">
        <v>0</v>
      </c>
      <c r="AF8" s="493">
        <v>0</v>
      </c>
      <c r="AG8" s="493">
        <v>0</v>
      </c>
      <c r="AH8" s="493">
        <v>0</v>
      </c>
      <c r="AI8" s="493">
        <v>4398550</v>
      </c>
      <c r="AJ8" s="493">
        <v>4398550</v>
      </c>
      <c r="AK8" s="493">
        <v>4398550</v>
      </c>
      <c r="AL8" s="493">
        <v>4398550</v>
      </c>
      <c r="AM8" s="493">
        <v>4398550</v>
      </c>
      <c r="AN8" s="493">
        <v>0</v>
      </c>
      <c r="AO8" s="493">
        <v>0</v>
      </c>
      <c r="AP8" s="493">
        <v>0</v>
      </c>
      <c r="AQ8" s="493">
        <v>0</v>
      </c>
      <c r="AR8" s="493">
        <v>0</v>
      </c>
      <c r="AS8" s="493">
        <v>0</v>
      </c>
      <c r="AT8" s="493">
        <v>0</v>
      </c>
      <c r="AU8" s="493">
        <v>0</v>
      </c>
      <c r="AV8" s="493">
        <v>0</v>
      </c>
      <c r="AW8" s="493">
        <v>0</v>
      </c>
      <c r="AX8" s="493">
        <v>0</v>
      </c>
      <c r="AY8" s="493">
        <v>0</v>
      </c>
      <c r="AZ8" s="493">
        <v>0</v>
      </c>
      <c r="BA8" s="493">
        <v>0</v>
      </c>
      <c r="BB8" s="493">
        <v>0</v>
      </c>
      <c r="BC8" s="493">
        <v>0</v>
      </c>
      <c r="BD8" s="493">
        <v>0</v>
      </c>
      <c r="BE8" s="493">
        <v>0</v>
      </c>
      <c r="BF8" s="493">
        <v>0</v>
      </c>
      <c r="BG8" s="493">
        <v>0</v>
      </c>
      <c r="BH8" s="493">
        <v>0</v>
      </c>
      <c r="BI8" s="493">
        <v>0</v>
      </c>
      <c r="BJ8" s="493">
        <v>0</v>
      </c>
      <c r="BK8" s="493">
        <v>0</v>
      </c>
      <c r="BL8" s="493">
        <v>0</v>
      </c>
      <c r="BM8" s="493">
        <v>0</v>
      </c>
      <c r="BN8" s="493">
        <v>0</v>
      </c>
      <c r="BO8" s="493">
        <v>0</v>
      </c>
      <c r="BP8" s="493">
        <v>0</v>
      </c>
      <c r="BQ8" s="493">
        <v>0</v>
      </c>
      <c r="BR8" s="493">
        <v>0</v>
      </c>
      <c r="BS8" s="493">
        <v>0</v>
      </c>
      <c r="BT8" s="493">
        <v>0</v>
      </c>
      <c r="BU8" s="493">
        <v>0</v>
      </c>
      <c r="BV8" s="493">
        <v>0</v>
      </c>
      <c r="BW8" s="493">
        <v>0</v>
      </c>
      <c r="BX8" s="493">
        <v>0</v>
      </c>
      <c r="BY8" s="493">
        <v>0</v>
      </c>
      <c r="BZ8" s="493">
        <v>0</v>
      </c>
      <c r="CA8" s="493">
        <v>0</v>
      </c>
      <c r="CB8" s="493">
        <v>0</v>
      </c>
      <c r="CC8" s="493">
        <v>0</v>
      </c>
      <c r="CD8" s="493">
        <v>0</v>
      </c>
      <c r="CE8" s="493">
        <v>0</v>
      </c>
      <c r="CF8" s="493">
        <v>0</v>
      </c>
      <c r="CG8" s="493">
        <v>0</v>
      </c>
      <c r="CH8" s="493">
        <v>0</v>
      </c>
      <c r="CI8" s="493">
        <v>0</v>
      </c>
      <c r="CJ8" s="493">
        <v>0</v>
      </c>
      <c r="CK8" s="493">
        <v>0</v>
      </c>
      <c r="CL8" s="493">
        <v>0</v>
      </c>
      <c r="CM8" s="493">
        <v>0</v>
      </c>
      <c r="CN8" s="493">
        <v>0</v>
      </c>
      <c r="CO8" s="493">
        <v>0</v>
      </c>
      <c r="CP8" s="493">
        <v>0</v>
      </c>
      <c r="CQ8" s="493">
        <v>0</v>
      </c>
      <c r="CR8" s="493">
        <v>0</v>
      </c>
      <c r="CS8" s="493">
        <v>0</v>
      </c>
      <c r="CT8" s="493">
        <v>0</v>
      </c>
      <c r="CU8" s="493">
        <v>0</v>
      </c>
      <c r="CV8" s="493">
        <v>0</v>
      </c>
      <c r="CW8" s="493">
        <v>0</v>
      </c>
      <c r="CX8" s="493">
        <v>0</v>
      </c>
      <c r="CY8" s="493">
        <v>0</v>
      </c>
      <c r="CZ8" s="493">
        <v>0</v>
      </c>
      <c r="DA8" s="493">
        <v>0</v>
      </c>
      <c r="DB8" s="493">
        <v>0</v>
      </c>
      <c r="DC8" s="493">
        <v>0</v>
      </c>
      <c r="DD8" s="493">
        <v>0</v>
      </c>
      <c r="DE8" s="493">
        <v>0</v>
      </c>
      <c r="DF8" s="493">
        <v>0</v>
      </c>
      <c r="DG8" s="493">
        <v>0</v>
      </c>
      <c r="DH8" s="493">
        <v>0</v>
      </c>
      <c r="DI8" s="493">
        <v>0</v>
      </c>
      <c r="DJ8" s="493">
        <v>0</v>
      </c>
      <c r="DK8" s="493">
        <v>0</v>
      </c>
      <c r="DL8" s="493">
        <v>0</v>
      </c>
      <c r="DM8" s="493">
        <v>0</v>
      </c>
      <c r="DN8" s="493">
        <v>0</v>
      </c>
      <c r="DO8" s="493">
        <v>0</v>
      </c>
      <c r="DP8" s="493">
        <v>0</v>
      </c>
      <c r="DQ8" s="493">
        <v>0</v>
      </c>
      <c r="DR8" s="493">
        <v>0</v>
      </c>
      <c r="DS8" s="493">
        <v>0</v>
      </c>
      <c r="DT8" s="493">
        <v>0</v>
      </c>
      <c r="DU8" s="493">
        <v>0</v>
      </c>
      <c r="DV8" s="493">
        <v>0</v>
      </c>
      <c r="DW8" s="493">
        <v>0</v>
      </c>
      <c r="DX8" s="493">
        <v>0</v>
      </c>
      <c r="DY8" s="493">
        <v>0</v>
      </c>
      <c r="DZ8" s="493">
        <v>0</v>
      </c>
      <c r="EA8" s="493">
        <v>0</v>
      </c>
      <c r="EB8" s="493">
        <v>0</v>
      </c>
      <c r="EC8" s="493">
        <v>0</v>
      </c>
      <c r="ED8" s="493">
        <v>0</v>
      </c>
      <c r="EE8" s="493">
        <v>0</v>
      </c>
      <c r="EF8" s="493">
        <v>0</v>
      </c>
      <c r="EG8" s="493">
        <v>0</v>
      </c>
      <c r="EH8" s="493">
        <v>0</v>
      </c>
      <c r="EI8" s="493">
        <v>0</v>
      </c>
      <c r="EJ8" s="493">
        <v>0</v>
      </c>
      <c r="EK8" s="493">
        <v>0</v>
      </c>
      <c r="EL8" s="493">
        <v>0</v>
      </c>
      <c r="EM8" s="493">
        <v>0</v>
      </c>
      <c r="EN8" s="493">
        <v>0</v>
      </c>
      <c r="EO8" s="493">
        <v>0</v>
      </c>
      <c r="EP8" s="493">
        <v>0</v>
      </c>
      <c r="EQ8" s="493">
        <v>0</v>
      </c>
      <c r="ER8" s="493">
        <v>0</v>
      </c>
      <c r="ES8" s="493">
        <v>0</v>
      </c>
      <c r="ET8" s="493">
        <v>0</v>
      </c>
      <c r="EU8" s="493">
        <v>0</v>
      </c>
      <c r="EV8" s="493">
        <v>0</v>
      </c>
      <c r="EW8" s="493">
        <v>0</v>
      </c>
      <c r="EX8" s="493">
        <v>0</v>
      </c>
      <c r="EY8" s="493">
        <v>0</v>
      </c>
      <c r="EZ8" s="493">
        <v>0</v>
      </c>
      <c r="FA8" s="493">
        <v>0</v>
      </c>
      <c r="FB8" s="493">
        <v>0</v>
      </c>
      <c r="FC8" s="493">
        <v>0</v>
      </c>
      <c r="FD8" s="493">
        <v>0</v>
      </c>
      <c r="FE8" s="493">
        <v>0</v>
      </c>
      <c r="FF8" s="493">
        <v>0</v>
      </c>
      <c r="FG8" s="493">
        <v>0</v>
      </c>
      <c r="FH8" s="493">
        <v>0</v>
      </c>
      <c r="FI8" s="493">
        <v>0</v>
      </c>
      <c r="FJ8" s="45">
        <v>0</v>
      </c>
    </row>
    <row r="9" spans="1:166">
      <c r="A9" s="501" t="s">
        <v>1017</v>
      </c>
      <c r="B9" s="491" t="s">
        <v>1522</v>
      </c>
      <c r="C9" s="491" t="s">
        <v>246</v>
      </c>
      <c r="D9" s="491" t="s">
        <v>820</v>
      </c>
      <c r="E9" s="491" t="s">
        <v>248</v>
      </c>
      <c r="F9" s="491" t="s">
        <v>1550</v>
      </c>
      <c r="G9" s="491" t="s">
        <v>1551</v>
      </c>
      <c r="H9" s="491">
        <v>0</v>
      </c>
      <c r="I9" s="491">
        <v>0</v>
      </c>
      <c r="J9" s="491" t="s">
        <v>252</v>
      </c>
      <c r="K9" s="491">
        <v>0</v>
      </c>
      <c r="L9" s="491" t="s">
        <v>1564</v>
      </c>
      <c r="M9" s="511">
        <v>1</v>
      </c>
      <c r="N9" s="493">
        <v>0</v>
      </c>
      <c r="O9" s="494">
        <v>0</v>
      </c>
      <c r="P9" s="495">
        <v>0</v>
      </c>
      <c r="Q9" s="493">
        <v>0</v>
      </c>
      <c r="R9" s="493">
        <v>5</v>
      </c>
      <c r="S9" s="496">
        <v>1</v>
      </c>
      <c r="T9" s="512">
        <v>1</v>
      </c>
      <c r="U9" s="491">
        <v>0</v>
      </c>
      <c r="V9" s="493">
        <v>560000</v>
      </c>
      <c r="W9" s="493">
        <v>2800000</v>
      </c>
      <c r="X9" s="493">
        <v>2800000</v>
      </c>
      <c r="Y9" s="493">
        <v>0</v>
      </c>
      <c r="Z9" s="493">
        <v>0</v>
      </c>
      <c r="AA9" s="493">
        <v>0</v>
      </c>
      <c r="AB9" s="493">
        <v>0</v>
      </c>
      <c r="AC9" s="493">
        <v>0</v>
      </c>
      <c r="AD9" s="493">
        <v>0</v>
      </c>
      <c r="AE9" s="493">
        <v>0</v>
      </c>
      <c r="AF9" s="493">
        <v>0</v>
      </c>
      <c r="AG9" s="493">
        <v>0</v>
      </c>
      <c r="AH9" s="493">
        <v>0</v>
      </c>
      <c r="AI9" s="493">
        <v>560000</v>
      </c>
      <c r="AJ9" s="493">
        <v>560000</v>
      </c>
      <c r="AK9" s="493">
        <v>560000</v>
      </c>
      <c r="AL9" s="493">
        <v>560000</v>
      </c>
      <c r="AM9" s="493">
        <v>560000</v>
      </c>
      <c r="AN9" s="493">
        <v>0</v>
      </c>
      <c r="AO9" s="493">
        <v>0</v>
      </c>
      <c r="AP9" s="493">
        <v>0</v>
      </c>
      <c r="AQ9" s="493">
        <v>0</v>
      </c>
      <c r="AR9" s="493">
        <v>0</v>
      </c>
      <c r="AS9" s="493">
        <v>0</v>
      </c>
      <c r="AT9" s="493">
        <v>0</v>
      </c>
      <c r="AU9" s="493">
        <v>0</v>
      </c>
      <c r="AV9" s="493">
        <v>0</v>
      </c>
      <c r="AW9" s="493">
        <v>0</v>
      </c>
      <c r="AX9" s="493">
        <v>0</v>
      </c>
      <c r="AY9" s="493">
        <v>0</v>
      </c>
      <c r="AZ9" s="493">
        <v>0</v>
      </c>
      <c r="BA9" s="493">
        <v>0</v>
      </c>
      <c r="BB9" s="493">
        <v>0</v>
      </c>
      <c r="BC9" s="493">
        <v>0</v>
      </c>
      <c r="BD9" s="493">
        <v>0</v>
      </c>
      <c r="BE9" s="493">
        <v>0</v>
      </c>
      <c r="BF9" s="493">
        <v>0</v>
      </c>
      <c r="BG9" s="493">
        <v>0</v>
      </c>
      <c r="BH9" s="493">
        <v>0</v>
      </c>
      <c r="BI9" s="493">
        <v>0</v>
      </c>
      <c r="BJ9" s="493">
        <v>0</v>
      </c>
      <c r="BK9" s="493">
        <v>0</v>
      </c>
      <c r="BL9" s="493">
        <v>0</v>
      </c>
      <c r="BM9" s="493">
        <v>0</v>
      </c>
      <c r="BN9" s="493">
        <v>0</v>
      </c>
      <c r="BO9" s="493">
        <v>0</v>
      </c>
      <c r="BP9" s="493">
        <v>0</v>
      </c>
      <c r="BQ9" s="493">
        <v>0</v>
      </c>
      <c r="BR9" s="493">
        <v>0</v>
      </c>
      <c r="BS9" s="493">
        <v>0</v>
      </c>
      <c r="BT9" s="493">
        <v>0</v>
      </c>
      <c r="BU9" s="493">
        <v>0</v>
      </c>
      <c r="BV9" s="493">
        <v>0</v>
      </c>
      <c r="BW9" s="493">
        <v>0</v>
      </c>
      <c r="BX9" s="493">
        <v>0</v>
      </c>
      <c r="BY9" s="493">
        <v>0</v>
      </c>
      <c r="BZ9" s="493">
        <v>0</v>
      </c>
      <c r="CA9" s="493">
        <v>0</v>
      </c>
      <c r="CB9" s="493">
        <v>0</v>
      </c>
      <c r="CC9" s="493">
        <v>0</v>
      </c>
      <c r="CD9" s="493">
        <v>0</v>
      </c>
      <c r="CE9" s="493">
        <v>0</v>
      </c>
      <c r="CF9" s="493">
        <v>0</v>
      </c>
      <c r="CG9" s="493">
        <v>0</v>
      </c>
      <c r="CH9" s="493">
        <v>0</v>
      </c>
      <c r="CI9" s="493">
        <v>0</v>
      </c>
      <c r="CJ9" s="493">
        <v>0</v>
      </c>
      <c r="CK9" s="493">
        <v>0</v>
      </c>
      <c r="CL9" s="493">
        <v>0</v>
      </c>
      <c r="CM9" s="493">
        <v>0</v>
      </c>
      <c r="CN9" s="493">
        <v>0</v>
      </c>
      <c r="CO9" s="493">
        <v>0</v>
      </c>
      <c r="CP9" s="493">
        <v>0</v>
      </c>
      <c r="CQ9" s="493">
        <v>0</v>
      </c>
      <c r="CR9" s="493">
        <v>0</v>
      </c>
      <c r="CS9" s="493">
        <v>0</v>
      </c>
      <c r="CT9" s="493">
        <v>0</v>
      </c>
      <c r="CU9" s="493">
        <v>0</v>
      </c>
      <c r="CV9" s="493">
        <v>0</v>
      </c>
      <c r="CW9" s="493">
        <v>0</v>
      </c>
      <c r="CX9" s="493">
        <v>0</v>
      </c>
      <c r="CY9" s="493">
        <v>0</v>
      </c>
      <c r="CZ9" s="493">
        <v>0</v>
      </c>
      <c r="DA9" s="493">
        <v>0</v>
      </c>
      <c r="DB9" s="493">
        <v>0</v>
      </c>
      <c r="DC9" s="493">
        <v>0</v>
      </c>
      <c r="DD9" s="493">
        <v>0</v>
      </c>
      <c r="DE9" s="493">
        <v>0</v>
      </c>
      <c r="DF9" s="493">
        <v>0</v>
      </c>
      <c r="DG9" s="493">
        <v>0</v>
      </c>
      <c r="DH9" s="493">
        <v>0</v>
      </c>
      <c r="DI9" s="493">
        <v>0</v>
      </c>
      <c r="DJ9" s="493">
        <v>0</v>
      </c>
      <c r="DK9" s="493">
        <v>0</v>
      </c>
      <c r="DL9" s="493">
        <v>0</v>
      </c>
      <c r="DM9" s="493">
        <v>0</v>
      </c>
      <c r="DN9" s="493">
        <v>0</v>
      </c>
      <c r="DO9" s="493">
        <v>0</v>
      </c>
      <c r="DP9" s="493">
        <v>0</v>
      </c>
      <c r="DQ9" s="493">
        <v>0</v>
      </c>
      <c r="DR9" s="493">
        <v>0</v>
      </c>
      <c r="DS9" s="493">
        <v>0</v>
      </c>
      <c r="DT9" s="493">
        <v>0</v>
      </c>
      <c r="DU9" s="493">
        <v>0</v>
      </c>
      <c r="DV9" s="493">
        <v>0</v>
      </c>
      <c r="DW9" s="493">
        <v>0</v>
      </c>
      <c r="DX9" s="493">
        <v>0</v>
      </c>
      <c r="DY9" s="493">
        <v>0</v>
      </c>
      <c r="DZ9" s="493">
        <v>0</v>
      </c>
      <c r="EA9" s="493">
        <v>0</v>
      </c>
      <c r="EB9" s="493">
        <v>0</v>
      </c>
      <c r="EC9" s="493">
        <v>0</v>
      </c>
      <c r="ED9" s="493">
        <v>0</v>
      </c>
      <c r="EE9" s="493">
        <v>0</v>
      </c>
      <c r="EF9" s="493">
        <v>0</v>
      </c>
      <c r="EG9" s="493">
        <v>0</v>
      </c>
      <c r="EH9" s="493">
        <v>0</v>
      </c>
      <c r="EI9" s="493">
        <v>0</v>
      </c>
      <c r="EJ9" s="493">
        <v>0</v>
      </c>
      <c r="EK9" s="493">
        <v>0</v>
      </c>
      <c r="EL9" s="493">
        <v>0</v>
      </c>
      <c r="EM9" s="493">
        <v>0</v>
      </c>
      <c r="EN9" s="493">
        <v>0</v>
      </c>
      <c r="EO9" s="493">
        <v>0</v>
      </c>
      <c r="EP9" s="493">
        <v>0</v>
      </c>
      <c r="EQ9" s="493">
        <v>0</v>
      </c>
      <c r="ER9" s="493">
        <v>0</v>
      </c>
      <c r="ES9" s="493">
        <v>0</v>
      </c>
      <c r="ET9" s="493">
        <v>0</v>
      </c>
      <c r="EU9" s="493">
        <v>0</v>
      </c>
      <c r="EV9" s="493">
        <v>0</v>
      </c>
      <c r="EW9" s="493">
        <v>0</v>
      </c>
      <c r="EX9" s="493">
        <v>0</v>
      </c>
      <c r="EY9" s="493">
        <v>0</v>
      </c>
      <c r="EZ9" s="493">
        <v>0</v>
      </c>
      <c r="FA9" s="493">
        <v>0</v>
      </c>
      <c r="FB9" s="493">
        <v>0</v>
      </c>
      <c r="FC9" s="493">
        <v>0</v>
      </c>
      <c r="FD9" s="493">
        <v>0</v>
      </c>
      <c r="FE9" s="493">
        <v>0</v>
      </c>
      <c r="FF9" s="493">
        <v>0</v>
      </c>
      <c r="FG9" s="493">
        <v>0</v>
      </c>
      <c r="FH9" s="493">
        <v>0</v>
      </c>
      <c r="FI9" s="493">
        <v>0</v>
      </c>
      <c r="FJ9" s="45">
        <v>0</v>
      </c>
    </row>
    <row r="10" spans="1:166">
      <c r="A10" s="501" t="s">
        <v>1018</v>
      </c>
      <c r="B10" s="491" t="s">
        <v>1522</v>
      </c>
      <c r="C10" s="491" t="s">
        <v>246</v>
      </c>
      <c r="D10" s="491" t="s">
        <v>820</v>
      </c>
      <c r="E10" s="491" t="s">
        <v>248</v>
      </c>
      <c r="F10" s="491" t="s">
        <v>981</v>
      </c>
      <c r="G10" s="491" t="s">
        <v>1552</v>
      </c>
      <c r="H10" s="491">
        <v>0</v>
      </c>
      <c r="I10" s="491">
        <v>0</v>
      </c>
      <c r="J10" s="491" t="s">
        <v>252</v>
      </c>
      <c r="K10" s="491">
        <v>0</v>
      </c>
      <c r="L10" s="491" t="s">
        <v>259</v>
      </c>
      <c r="M10" s="511">
        <v>1</v>
      </c>
      <c r="N10" s="493">
        <v>0</v>
      </c>
      <c r="O10" s="494">
        <v>0</v>
      </c>
      <c r="P10" s="495">
        <v>0</v>
      </c>
      <c r="Q10" s="493">
        <v>0</v>
      </c>
      <c r="R10" s="493">
        <v>3</v>
      </c>
      <c r="S10" s="496">
        <v>1</v>
      </c>
      <c r="T10" s="512">
        <v>1</v>
      </c>
      <c r="U10" s="491">
        <v>0</v>
      </c>
      <c r="V10" s="493">
        <v>1000000</v>
      </c>
      <c r="W10" s="493">
        <v>3000000</v>
      </c>
      <c r="X10" s="493">
        <v>3000000</v>
      </c>
      <c r="Y10" s="493">
        <v>0</v>
      </c>
      <c r="Z10" s="493">
        <v>0</v>
      </c>
      <c r="AA10" s="493">
        <v>0</v>
      </c>
      <c r="AB10" s="493">
        <v>0</v>
      </c>
      <c r="AC10" s="493">
        <v>0</v>
      </c>
      <c r="AD10" s="493">
        <v>0</v>
      </c>
      <c r="AE10" s="493">
        <v>0</v>
      </c>
      <c r="AF10" s="493">
        <v>0</v>
      </c>
      <c r="AG10" s="493">
        <v>0</v>
      </c>
      <c r="AH10" s="493">
        <v>0</v>
      </c>
      <c r="AI10" s="493">
        <v>1000000</v>
      </c>
      <c r="AJ10" s="493">
        <v>1000000</v>
      </c>
      <c r="AK10" s="493">
        <v>1000000</v>
      </c>
      <c r="AL10" s="493">
        <v>0</v>
      </c>
      <c r="AM10" s="493">
        <v>0</v>
      </c>
      <c r="AN10" s="493">
        <v>0</v>
      </c>
      <c r="AO10" s="493">
        <v>0</v>
      </c>
      <c r="AP10" s="493">
        <v>0</v>
      </c>
      <c r="AQ10" s="493">
        <v>0</v>
      </c>
      <c r="AR10" s="493">
        <v>0</v>
      </c>
      <c r="AS10" s="493">
        <v>0</v>
      </c>
      <c r="AT10" s="493">
        <v>0</v>
      </c>
      <c r="AU10" s="493">
        <v>0</v>
      </c>
      <c r="AV10" s="493">
        <v>0</v>
      </c>
      <c r="AW10" s="493">
        <v>0</v>
      </c>
      <c r="AX10" s="493">
        <v>0</v>
      </c>
      <c r="AY10" s="493">
        <v>0</v>
      </c>
      <c r="AZ10" s="493">
        <v>0</v>
      </c>
      <c r="BA10" s="493">
        <v>0</v>
      </c>
      <c r="BB10" s="493">
        <v>0</v>
      </c>
      <c r="BC10" s="493">
        <v>0</v>
      </c>
      <c r="BD10" s="493">
        <v>0</v>
      </c>
      <c r="BE10" s="493">
        <v>0</v>
      </c>
      <c r="BF10" s="493">
        <v>0</v>
      </c>
      <c r="BG10" s="493">
        <v>0</v>
      </c>
      <c r="BH10" s="493">
        <v>0</v>
      </c>
      <c r="BI10" s="493">
        <v>0</v>
      </c>
      <c r="BJ10" s="493">
        <v>0</v>
      </c>
      <c r="BK10" s="493">
        <v>0</v>
      </c>
      <c r="BL10" s="493">
        <v>0</v>
      </c>
      <c r="BM10" s="493">
        <v>0</v>
      </c>
      <c r="BN10" s="493">
        <v>0</v>
      </c>
      <c r="BO10" s="493">
        <v>0</v>
      </c>
      <c r="BP10" s="493">
        <v>0</v>
      </c>
      <c r="BQ10" s="493">
        <v>0</v>
      </c>
      <c r="BR10" s="493">
        <v>0</v>
      </c>
      <c r="BS10" s="493">
        <v>0</v>
      </c>
      <c r="BT10" s="493">
        <v>0</v>
      </c>
      <c r="BU10" s="493">
        <v>0</v>
      </c>
      <c r="BV10" s="493">
        <v>0</v>
      </c>
      <c r="BW10" s="493">
        <v>0</v>
      </c>
      <c r="BX10" s="493">
        <v>0</v>
      </c>
      <c r="BY10" s="493">
        <v>0</v>
      </c>
      <c r="BZ10" s="493">
        <v>0</v>
      </c>
      <c r="CA10" s="493">
        <v>0</v>
      </c>
      <c r="CB10" s="493">
        <v>0</v>
      </c>
      <c r="CC10" s="493">
        <v>0</v>
      </c>
      <c r="CD10" s="493">
        <v>0</v>
      </c>
      <c r="CE10" s="493">
        <v>0</v>
      </c>
      <c r="CF10" s="493">
        <v>0</v>
      </c>
      <c r="CG10" s="493">
        <v>0</v>
      </c>
      <c r="CH10" s="493">
        <v>0</v>
      </c>
      <c r="CI10" s="493">
        <v>0</v>
      </c>
      <c r="CJ10" s="493">
        <v>0</v>
      </c>
      <c r="CK10" s="493">
        <v>0</v>
      </c>
      <c r="CL10" s="493">
        <v>0</v>
      </c>
      <c r="CM10" s="493">
        <v>0</v>
      </c>
      <c r="CN10" s="493">
        <v>0</v>
      </c>
      <c r="CO10" s="493">
        <v>0</v>
      </c>
      <c r="CP10" s="493">
        <v>0</v>
      </c>
      <c r="CQ10" s="493">
        <v>0</v>
      </c>
      <c r="CR10" s="493">
        <v>0</v>
      </c>
      <c r="CS10" s="493">
        <v>0</v>
      </c>
      <c r="CT10" s="493">
        <v>0</v>
      </c>
      <c r="CU10" s="493">
        <v>0</v>
      </c>
      <c r="CV10" s="493">
        <v>0</v>
      </c>
      <c r="CW10" s="493">
        <v>0</v>
      </c>
      <c r="CX10" s="493">
        <v>0</v>
      </c>
      <c r="CY10" s="493">
        <v>0</v>
      </c>
      <c r="CZ10" s="493">
        <v>0</v>
      </c>
      <c r="DA10" s="493">
        <v>0</v>
      </c>
      <c r="DB10" s="493">
        <v>0</v>
      </c>
      <c r="DC10" s="493">
        <v>0</v>
      </c>
      <c r="DD10" s="493">
        <v>0</v>
      </c>
      <c r="DE10" s="493">
        <v>0</v>
      </c>
      <c r="DF10" s="493">
        <v>0</v>
      </c>
      <c r="DG10" s="493">
        <v>0</v>
      </c>
      <c r="DH10" s="493">
        <v>0</v>
      </c>
      <c r="DI10" s="493">
        <v>0</v>
      </c>
      <c r="DJ10" s="493">
        <v>0</v>
      </c>
      <c r="DK10" s="493">
        <v>0</v>
      </c>
      <c r="DL10" s="493">
        <v>0</v>
      </c>
      <c r="DM10" s="493">
        <v>0</v>
      </c>
      <c r="DN10" s="493">
        <v>0</v>
      </c>
      <c r="DO10" s="493">
        <v>0</v>
      </c>
      <c r="DP10" s="493">
        <v>0</v>
      </c>
      <c r="DQ10" s="493">
        <v>0</v>
      </c>
      <c r="DR10" s="493">
        <v>0</v>
      </c>
      <c r="DS10" s="493">
        <v>0</v>
      </c>
      <c r="DT10" s="493">
        <v>0</v>
      </c>
      <c r="DU10" s="493">
        <v>0</v>
      </c>
      <c r="DV10" s="493">
        <v>0</v>
      </c>
      <c r="DW10" s="493">
        <v>0</v>
      </c>
      <c r="DX10" s="493">
        <v>0</v>
      </c>
      <c r="DY10" s="493">
        <v>0</v>
      </c>
      <c r="DZ10" s="493">
        <v>0</v>
      </c>
      <c r="EA10" s="493">
        <v>0</v>
      </c>
      <c r="EB10" s="493">
        <v>0</v>
      </c>
      <c r="EC10" s="493">
        <v>0</v>
      </c>
      <c r="ED10" s="493">
        <v>0</v>
      </c>
      <c r="EE10" s="493">
        <v>0</v>
      </c>
      <c r="EF10" s="493">
        <v>0</v>
      </c>
      <c r="EG10" s="493">
        <v>0</v>
      </c>
      <c r="EH10" s="493">
        <v>0</v>
      </c>
      <c r="EI10" s="493">
        <v>0</v>
      </c>
      <c r="EJ10" s="493">
        <v>0</v>
      </c>
      <c r="EK10" s="493">
        <v>0</v>
      </c>
      <c r="EL10" s="493">
        <v>0</v>
      </c>
      <c r="EM10" s="493">
        <v>0</v>
      </c>
      <c r="EN10" s="493">
        <v>0</v>
      </c>
      <c r="EO10" s="493">
        <v>0</v>
      </c>
      <c r="EP10" s="493">
        <v>0</v>
      </c>
      <c r="EQ10" s="493">
        <v>0</v>
      </c>
      <c r="ER10" s="493">
        <v>0</v>
      </c>
      <c r="ES10" s="493">
        <v>0</v>
      </c>
      <c r="ET10" s="493">
        <v>0</v>
      </c>
      <c r="EU10" s="493">
        <v>0</v>
      </c>
      <c r="EV10" s="493">
        <v>0</v>
      </c>
      <c r="EW10" s="493">
        <v>0</v>
      </c>
      <c r="EX10" s="493">
        <v>0</v>
      </c>
      <c r="EY10" s="493">
        <v>0</v>
      </c>
      <c r="EZ10" s="493">
        <v>0</v>
      </c>
      <c r="FA10" s="493">
        <v>0</v>
      </c>
      <c r="FB10" s="493">
        <v>0</v>
      </c>
      <c r="FC10" s="493">
        <v>0</v>
      </c>
      <c r="FD10" s="493">
        <v>0</v>
      </c>
      <c r="FE10" s="493">
        <v>0</v>
      </c>
      <c r="FF10" s="493">
        <v>0</v>
      </c>
      <c r="FG10" s="493">
        <v>0</v>
      </c>
      <c r="FH10" s="493">
        <v>0</v>
      </c>
      <c r="FI10" s="493">
        <v>0</v>
      </c>
      <c r="FJ10" s="45">
        <v>0</v>
      </c>
    </row>
    <row r="11" spans="1:166">
      <c r="A11" s="501" t="s">
        <v>1019</v>
      </c>
      <c r="B11" s="491" t="s">
        <v>157</v>
      </c>
      <c r="C11" s="491" t="s">
        <v>246</v>
      </c>
      <c r="D11" s="491" t="s">
        <v>820</v>
      </c>
      <c r="E11" s="491" t="s">
        <v>248</v>
      </c>
      <c r="F11" s="491" t="s">
        <v>885</v>
      </c>
      <c r="G11" s="491" t="s">
        <v>1553</v>
      </c>
      <c r="H11" s="491">
        <v>0</v>
      </c>
      <c r="I11" s="491">
        <v>0</v>
      </c>
      <c r="J11" s="491" t="s">
        <v>252</v>
      </c>
      <c r="K11" s="491">
        <v>0</v>
      </c>
      <c r="L11" s="491" t="s">
        <v>1563</v>
      </c>
      <c r="M11" s="511">
        <v>1</v>
      </c>
      <c r="N11" s="493">
        <v>0</v>
      </c>
      <c r="O11" s="494">
        <v>0</v>
      </c>
      <c r="P11" s="495">
        <v>0</v>
      </c>
      <c r="Q11" s="493">
        <v>0</v>
      </c>
      <c r="R11" s="493">
        <v>2</v>
      </c>
      <c r="S11" s="496">
        <v>1</v>
      </c>
      <c r="T11" s="512">
        <v>1</v>
      </c>
      <c r="U11" s="491">
        <v>0</v>
      </c>
      <c r="V11" s="493">
        <v>1000000</v>
      </c>
      <c r="W11" s="493">
        <v>2000000</v>
      </c>
      <c r="X11" s="493">
        <v>2000000</v>
      </c>
      <c r="Y11" s="493">
        <v>0</v>
      </c>
      <c r="Z11" s="493">
        <v>0</v>
      </c>
      <c r="AA11" s="493">
        <v>0</v>
      </c>
      <c r="AB11" s="493">
        <v>0</v>
      </c>
      <c r="AC11" s="493">
        <v>0</v>
      </c>
      <c r="AD11" s="493">
        <v>0</v>
      </c>
      <c r="AE11" s="493">
        <v>0</v>
      </c>
      <c r="AF11" s="493">
        <v>0</v>
      </c>
      <c r="AG11" s="493">
        <v>0</v>
      </c>
      <c r="AH11" s="493">
        <v>0</v>
      </c>
      <c r="AI11" s="493">
        <v>1000000</v>
      </c>
      <c r="AJ11" s="493">
        <v>1000000</v>
      </c>
      <c r="AK11" s="493">
        <v>0</v>
      </c>
      <c r="AL11" s="493">
        <v>0</v>
      </c>
      <c r="AM11" s="493">
        <v>0</v>
      </c>
      <c r="AN11" s="493">
        <v>0</v>
      </c>
      <c r="AO11" s="493">
        <v>0</v>
      </c>
      <c r="AP11" s="493">
        <v>0</v>
      </c>
      <c r="AQ11" s="493">
        <v>0</v>
      </c>
      <c r="AR11" s="493">
        <v>0</v>
      </c>
      <c r="AS11" s="493">
        <v>0</v>
      </c>
      <c r="AT11" s="493">
        <v>0</v>
      </c>
      <c r="AU11" s="493">
        <v>0</v>
      </c>
      <c r="AV11" s="493">
        <v>0</v>
      </c>
      <c r="AW11" s="493">
        <v>0</v>
      </c>
      <c r="AX11" s="493">
        <v>0</v>
      </c>
      <c r="AY11" s="493">
        <v>0</v>
      </c>
      <c r="AZ11" s="493">
        <v>0</v>
      </c>
      <c r="BA11" s="493">
        <v>0</v>
      </c>
      <c r="BB11" s="493">
        <v>0</v>
      </c>
      <c r="BC11" s="493">
        <v>0</v>
      </c>
      <c r="BD11" s="493">
        <v>0</v>
      </c>
      <c r="BE11" s="493">
        <v>0</v>
      </c>
      <c r="BF11" s="493">
        <v>0</v>
      </c>
      <c r="BG11" s="493">
        <v>0</v>
      </c>
      <c r="BH11" s="493">
        <v>0</v>
      </c>
      <c r="BI11" s="493">
        <v>0</v>
      </c>
      <c r="BJ11" s="493">
        <v>0</v>
      </c>
      <c r="BK11" s="493">
        <v>0</v>
      </c>
      <c r="BL11" s="493">
        <v>0</v>
      </c>
      <c r="BM11" s="493">
        <v>0</v>
      </c>
      <c r="BN11" s="493">
        <v>0</v>
      </c>
      <c r="BO11" s="493">
        <v>0</v>
      </c>
      <c r="BP11" s="493">
        <v>0</v>
      </c>
      <c r="BQ11" s="493">
        <v>0</v>
      </c>
      <c r="BR11" s="493">
        <v>0</v>
      </c>
      <c r="BS11" s="493">
        <v>0</v>
      </c>
      <c r="BT11" s="493">
        <v>0</v>
      </c>
      <c r="BU11" s="493">
        <v>0</v>
      </c>
      <c r="BV11" s="493">
        <v>0</v>
      </c>
      <c r="BW11" s="493">
        <v>0</v>
      </c>
      <c r="BX11" s="493">
        <v>0</v>
      </c>
      <c r="BY11" s="493">
        <v>0</v>
      </c>
      <c r="BZ11" s="493">
        <v>0</v>
      </c>
      <c r="CA11" s="493">
        <v>0</v>
      </c>
      <c r="CB11" s="493">
        <v>0</v>
      </c>
      <c r="CC11" s="493">
        <v>0</v>
      </c>
      <c r="CD11" s="493">
        <v>0</v>
      </c>
      <c r="CE11" s="493">
        <v>0</v>
      </c>
      <c r="CF11" s="493">
        <v>0</v>
      </c>
      <c r="CG11" s="493">
        <v>0</v>
      </c>
      <c r="CH11" s="493">
        <v>0</v>
      </c>
      <c r="CI11" s="493">
        <v>0</v>
      </c>
      <c r="CJ11" s="493">
        <v>0</v>
      </c>
      <c r="CK11" s="493">
        <v>0</v>
      </c>
      <c r="CL11" s="493">
        <v>0</v>
      </c>
      <c r="CM11" s="493">
        <v>0</v>
      </c>
      <c r="CN11" s="493">
        <v>0</v>
      </c>
      <c r="CO11" s="493">
        <v>0</v>
      </c>
      <c r="CP11" s="493">
        <v>0</v>
      </c>
      <c r="CQ11" s="493">
        <v>0</v>
      </c>
      <c r="CR11" s="493">
        <v>0</v>
      </c>
      <c r="CS11" s="493">
        <v>0</v>
      </c>
      <c r="CT11" s="493">
        <v>0</v>
      </c>
      <c r="CU11" s="493">
        <v>0</v>
      </c>
      <c r="CV11" s="493">
        <v>0</v>
      </c>
      <c r="CW11" s="493">
        <v>0</v>
      </c>
      <c r="CX11" s="493">
        <v>0</v>
      </c>
      <c r="CY11" s="493">
        <v>0</v>
      </c>
      <c r="CZ11" s="493">
        <v>0</v>
      </c>
      <c r="DA11" s="493">
        <v>0</v>
      </c>
      <c r="DB11" s="493">
        <v>0</v>
      </c>
      <c r="DC11" s="493">
        <v>0</v>
      </c>
      <c r="DD11" s="493">
        <v>0</v>
      </c>
      <c r="DE11" s="493">
        <v>0</v>
      </c>
      <c r="DF11" s="493">
        <v>0</v>
      </c>
      <c r="DG11" s="493">
        <v>0</v>
      </c>
      <c r="DH11" s="493">
        <v>0</v>
      </c>
      <c r="DI11" s="493">
        <v>0</v>
      </c>
      <c r="DJ11" s="493">
        <v>0</v>
      </c>
      <c r="DK11" s="493">
        <v>0</v>
      </c>
      <c r="DL11" s="493">
        <v>0</v>
      </c>
      <c r="DM11" s="493">
        <v>0</v>
      </c>
      <c r="DN11" s="493">
        <v>0</v>
      </c>
      <c r="DO11" s="493">
        <v>0</v>
      </c>
      <c r="DP11" s="493">
        <v>0</v>
      </c>
      <c r="DQ11" s="493">
        <v>0</v>
      </c>
      <c r="DR11" s="493">
        <v>0</v>
      </c>
      <c r="DS11" s="493">
        <v>0</v>
      </c>
      <c r="DT11" s="493">
        <v>0</v>
      </c>
      <c r="DU11" s="493">
        <v>0</v>
      </c>
      <c r="DV11" s="493">
        <v>0</v>
      </c>
      <c r="DW11" s="493">
        <v>0</v>
      </c>
      <c r="DX11" s="493">
        <v>0</v>
      </c>
      <c r="DY11" s="493">
        <v>0</v>
      </c>
      <c r="DZ11" s="493">
        <v>0</v>
      </c>
      <c r="EA11" s="493">
        <v>0</v>
      </c>
      <c r="EB11" s="493">
        <v>0</v>
      </c>
      <c r="EC11" s="493">
        <v>0</v>
      </c>
      <c r="ED11" s="493">
        <v>0</v>
      </c>
      <c r="EE11" s="493">
        <v>0</v>
      </c>
      <c r="EF11" s="493">
        <v>0</v>
      </c>
      <c r="EG11" s="493">
        <v>0</v>
      </c>
      <c r="EH11" s="493">
        <v>0</v>
      </c>
      <c r="EI11" s="493">
        <v>0</v>
      </c>
      <c r="EJ11" s="493">
        <v>0</v>
      </c>
      <c r="EK11" s="493">
        <v>0</v>
      </c>
      <c r="EL11" s="493">
        <v>0</v>
      </c>
      <c r="EM11" s="493">
        <v>0</v>
      </c>
      <c r="EN11" s="493">
        <v>0</v>
      </c>
      <c r="EO11" s="493">
        <v>0</v>
      </c>
      <c r="EP11" s="493">
        <v>0</v>
      </c>
      <c r="EQ11" s="493">
        <v>0</v>
      </c>
      <c r="ER11" s="493">
        <v>0</v>
      </c>
      <c r="ES11" s="493">
        <v>0</v>
      </c>
      <c r="ET11" s="493">
        <v>0</v>
      </c>
      <c r="EU11" s="493">
        <v>0</v>
      </c>
      <c r="EV11" s="493">
        <v>0</v>
      </c>
      <c r="EW11" s="493">
        <v>0</v>
      </c>
      <c r="EX11" s="493">
        <v>0</v>
      </c>
      <c r="EY11" s="493">
        <v>0</v>
      </c>
      <c r="EZ11" s="493">
        <v>0</v>
      </c>
      <c r="FA11" s="493">
        <v>0</v>
      </c>
      <c r="FB11" s="493">
        <v>0</v>
      </c>
      <c r="FC11" s="493">
        <v>0</v>
      </c>
      <c r="FD11" s="493">
        <v>0</v>
      </c>
      <c r="FE11" s="493">
        <v>0</v>
      </c>
      <c r="FF11" s="493">
        <v>0</v>
      </c>
      <c r="FG11" s="493">
        <v>0</v>
      </c>
      <c r="FH11" s="493">
        <v>0</v>
      </c>
      <c r="FI11" s="493">
        <v>0</v>
      </c>
      <c r="FJ11" s="45">
        <v>0</v>
      </c>
    </row>
    <row r="12" spans="1:166">
      <c r="A12" s="501" t="s">
        <v>1020</v>
      </c>
      <c r="B12" s="491" t="s">
        <v>1549</v>
      </c>
      <c r="C12" s="491" t="s">
        <v>246</v>
      </c>
      <c r="D12" s="491" t="s">
        <v>820</v>
      </c>
      <c r="E12" s="491" t="s">
        <v>248</v>
      </c>
      <c r="F12" s="491" t="s">
        <v>887</v>
      </c>
      <c r="G12" s="491" t="s">
        <v>1554</v>
      </c>
      <c r="H12" s="491">
        <v>0</v>
      </c>
      <c r="I12" s="491">
        <v>0</v>
      </c>
      <c r="J12" s="491" t="s">
        <v>252</v>
      </c>
      <c r="K12" s="491">
        <v>0</v>
      </c>
      <c r="L12" s="491" t="s">
        <v>1565</v>
      </c>
      <c r="M12" s="511">
        <v>1</v>
      </c>
      <c r="N12" s="493">
        <v>0</v>
      </c>
      <c r="O12" s="494">
        <v>0</v>
      </c>
      <c r="P12" s="495">
        <v>0</v>
      </c>
      <c r="Q12" s="493">
        <v>0</v>
      </c>
      <c r="R12" s="493">
        <v>5</v>
      </c>
      <c r="S12" s="496">
        <v>1</v>
      </c>
      <c r="T12" s="512">
        <v>1</v>
      </c>
      <c r="U12" s="491">
        <v>0</v>
      </c>
      <c r="V12" s="493">
        <v>280000</v>
      </c>
      <c r="W12" s="493">
        <v>1400000</v>
      </c>
      <c r="X12" s="493">
        <v>1400000</v>
      </c>
      <c r="Y12" s="493">
        <v>0</v>
      </c>
      <c r="Z12" s="493">
        <v>0</v>
      </c>
      <c r="AA12" s="493">
        <v>0</v>
      </c>
      <c r="AB12" s="493">
        <v>0</v>
      </c>
      <c r="AC12" s="493">
        <v>0</v>
      </c>
      <c r="AD12" s="493">
        <v>0</v>
      </c>
      <c r="AE12" s="493">
        <v>0</v>
      </c>
      <c r="AF12" s="493">
        <v>0</v>
      </c>
      <c r="AG12" s="493">
        <v>0</v>
      </c>
      <c r="AH12" s="493">
        <v>0</v>
      </c>
      <c r="AI12" s="493">
        <v>280000</v>
      </c>
      <c r="AJ12" s="493">
        <v>280000</v>
      </c>
      <c r="AK12" s="493">
        <v>280000</v>
      </c>
      <c r="AL12" s="493">
        <v>280000</v>
      </c>
      <c r="AM12" s="493">
        <v>280000</v>
      </c>
      <c r="AN12" s="493">
        <v>0</v>
      </c>
      <c r="AO12" s="493">
        <v>0</v>
      </c>
      <c r="AP12" s="493">
        <v>0</v>
      </c>
      <c r="AQ12" s="493">
        <v>0</v>
      </c>
      <c r="AR12" s="493">
        <v>0</v>
      </c>
      <c r="AS12" s="493">
        <v>0</v>
      </c>
      <c r="AT12" s="493">
        <v>0</v>
      </c>
      <c r="AU12" s="493">
        <v>0</v>
      </c>
      <c r="AV12" s="493">
        <v>0</v>
      </c>
      <c r="AW12" s="493">
        <v>0</v>
      </c>
      <c r="AX12" s="493">
        <v>0</v>
      </c>
      <c r="AY12" s="493">
        <v>0</v>
      </c>
      <c r="AZ12" s="493">
        <v>0</v>
      </c>
      <c r="BA12" s="493">
        <v>0</v>
      </c>
      <c r="BB12" s="493">
        <v>0</v>
      </c>
      <c r="BC12" s="493">
        <v>0</v>
      </c>
      <c r="BD12" s="493">
        <v>0</v>
      </c>
      <c r="BE12" s="493">
        <v>0</v>
      </c>
      <c r="BF12" s="493">
        <v>0</v>
      </c>
      <c r="BG12" s="493">
        <v>0</v>
      </c>
      <c r="BH12" s="493">
        <v>0</v>
      </c>
      <c r="BI12" s="493">
        <v>0</v>
      </c>
      <c r="BJ12" s="493">
        <v>0</v>
      </c>
      <c r="BK12" s="493">
        <v>0</v>
      </c>
      <c r="BL12" s="493">
        <v>0</v>
      </c>
      <c r="BM12" s="493">
        <v>0</v>
      </c>
      <c r="BN12" s="493">
        <v>0</v>
      </c>
      <c r="BO12" s="493">
        <v>0</v>
      </c>
      <c r="BP12" s="493">
        <v>0</v>
      </c>
      <c r="BQ12" s="493">
        <v>0</v>
      </c>
      <c r="BR12" s="493">
        <v>0</v>
      </c>
      <c r="BS12" s="493">
        <v>0</v>
      </c>
      <c r="BT12" s="493">
        <v>0</v>
      </c>
      <c r="BU12" s="493">
        <v>0</v>
      </c>
      <c r="BV12" s="493">
        <v>0</v>
      </c>
      <c r="BW12" s="493">
        <v>0</v>
      </c>
      <c r="BX12" s="493">
        <v>0</v>
      </c>
      <c r="BY12" s="493">
        <v>0</v>
      </c>
      <c r="BZ12" s="493">
        <v>0</v>
      </c>
      <c r="CA12" s="493">
        <v>0</v>
      </c>
      <c r="CB12" s="493">
        <v>0</v>
      </c>
      <c r="CC12" s="493">
        <v>0</v>
      </c>
      <c r="CD12" s="493">
        <v>0</v>
      </c>
      <c r="CE12" s="493">
        <v>0</v>
      </c>
      <c r="CF12" s="493">
        <v>0</v>
      </c>
      <c r="CG12" s="493">
        <v>0</v>
      </c>
      <c r="CH12" s="493">
        <v>0</v>
      </c>
      <c r="CI12" s="493">
        <v>0</v>
      </c>
      <c r="CJ12" s="493">
        <v>0</v>
      </c>
      <c r="CK12" s="493">
        <v>0</v>
      </c>
      <c r="CL12" s="493">
        <v>0</v>
      </c>
      <c r="CM12" s="493">
        <v>0</v>
      </c>
      <c r="CN12" s="493">
        <v>0</v>
      </c>
      <c r="CO12" s="493">
        <v>0</v>
      </c>
      <c r="CP12" s="493">
        <v>0</v>
      </c>
      <c r="CQ12" s="493">
        <v>0</v>
      </c>
      <c r="CR12" s="493">
        <v>0</v>
      </c>
      <c r="CS12" s="493">
        <v>0</v>
      </c>
      <c r="CT12" s="493">
        <v>0</v>
      </c>
      <c r="CU12" s="493">
        <v>0</v>
      </c>
      <c r="CV12" s="493">
        <v>0</v>
      </c>
      <c r="CW12" s="493">
        <v>0</v>
      </c>
      <c r="CX12" s="493">
        <v>0</v>
      </c>
      <c r="CY12" s="493">
        <v>0</v>
      </c>
      <c r="CZ12" s="493">
        <v>0</v>
      </c>
      <c r="DA12" s="493">
        <v>0</v>
      </c>
      <c r="DB12" s="493">
        <v>0</v>
      </c>
      <c r="DC12" s="493">
        <v>0</v>
      </c>
      <c r="DD12" s="493">
        <v>0</v>
      </c>
      <c r="DE12" s="493">
        <v>0</v>
      </c>
      <c r="DF12" s="493">
        <v>0</v>
      </c>
      <c r="DG12" s="493">
        <v>0</v>
      </c>
      <c r="DH12" s="493">
        <v>0</v>
      </c>
      <c r="DI12" s="493">
        <v>0</v>
      </c>
      <c r="DJ12" s="493">
        <v>0</v>
      </c>
      <c r="DK12" s="493">
        <v>0</v>
      </c>
      <c r="DL12" s="493">
        <v>0</v>
      </c>
      <c r="DM12" s="493">
        <v>0</v>
      </c>
      <c r="DN12" s="493">
        <v>0</v>
      </c>
      <c r="DO12" s="493">
        <v>0</v>
      </c>
      <c r="DP12" s="493">
        <v>0</v>
      </c>
      <c r="DQ12" s="493">
        <v>0</v>
      </c>
      <c r="DR12" s="493">
        <v>0</v>
      </c>
      <c r="DS12" s="493">
        <v>0</v>
      </c>
      <c r="DT12" s="493">
        <v>0</v>
      </c>
      <c r="DU12" s="493">
        <v>0</v>
      </c>
      <c r="DV12" s="493">
        <v>0</v>
      </c>
      <c r="DW12" s="493">
        <v>0</v>
      </c>
      <c r="DX12" s="493">
        <v>0</v>
      </c>
      <c r="DY12" s="493">
        <v>0</v>
      </c>
      <c r="DZ12" s="493">
        <v>0</v>
      </c>
      <c r="EA12" s="493">
        <v>0</v>
      </c>
      <c r="EB12" s="493">
        <v>0</v>
      </c>
      <c r="EC12" s="493">
        <v>0</v>
      </c>
      <c r="ED12" s="493">
        <v>0</v>
      </c>
      <c r="EE12" s="493">
        <v>0</v>
      </c>
      <c r="EF12" s="493">
        <v>0</v>
      </c>
      <c r="EG12" s="493">
        <v>0</v>
      </c>
      <c r="EH12" s="493">
        <v>0</v>
      </c>
      <c r="EI12" s="493">
        <v>0</v>
      </c>
      <c r="EJ12" s="493">
        <v>0</v>
      </c>
      <c r="EK12" s="493">
        <v>0</v>
      </c>
      <c r="EL12" s="493">
        <v>0</v>
      </c>
      <c r="EM12" s="493">
        <v>0</v>
      </c>
      <c r="EN12" s="493">
        <v>0</v>
      </c>
      <c r="EO12" s="493">
        <v>0</v>
      </c>
      <c r="EP12" s="493">
        <v>0</v>
      </c>
      <c r="EQ12" s="493">
        <v>0</v>
      </c>
      <c r="ER12" s="493">
        <v>0</v>
      </c>
      <c r="ES12" s="493">
        <v>0</v>
      </c>
      <c r="ET12" s="493">
        <v>0</v>
      </c>
      <c r="EU12" s="493">
        <v>0</v>
      </c>
      <c r="EV12" s="493">
        <v>0</v>
      </c>
      <c r="EW12" s="493">
        <v>0</v>
      </c>
      <c r="EX12" s="493">
        <v>0</v>
      </c>
      <c r="EY12" s="493">
        <v>0</v>
      </c>
      <c r="EZ12" s="493">
        <v>0</v>
      </c>
      <c r="FA12" s="493">
        <v>0</v>
      </c>
      <c r="FB12" s="493">
        <v>0</v>
      </c>
      <c r="FC12" s="493">
        <v>0</v>
      </c>
      <c r="FD12" s="493">
        <v>0</v>
      </c>
      <c r="FE12" s="493">
        <v>0</v>
      </c>
      <c r="FF12" s="493">
        <v>0</v>
      </c>
      <c r="FG12" s="493">
        <v>0</v>
      </c>
      <c r="FH12" s="493">
        <v>0</v>
      </c>
      <c r="FI12" s="493">
        <v>0</v>
      </c>
      <c r="FJ12" s="45">
        <v>0</v>
      </c>
    </row>
    <row r="13" spans="1:166">
      <c r="A13" s="501" t="s">
        <v>1021</v>
      </c>
      <c r="B13" s="491" t="s">
        <v>157</v>
      </c>
      <c r="C13" s="491" t="s">
        <v>246</v>
      </c>
      <c r="D13" s="491" t="s">
        <v>820</v>
      </c>
      <c r="E13" s="491" t="s">
        <v>248</v>
      </c>
      <c r="F13" s="491" t="s">
        <v>251</v>
      </c>
      <c r="G13" s="491">
        <v>0</v>
      </c>
      <c r="H13" s="491">
        <v>0</v>
      </c>
      <c r="I13" s="491">
        <v>0</v>
      </c>
      <c r="J13" s="491" t="s">
        <v>252</v>
      </c>
      <c r="K13" s="491">
        <v>0</v>
      </c>
      <c r="L13" s="491" t="s">
        <v>259</v>
      </c>
      <c r="M13" s="511">
        <v>1</v>
      </c>
      <c r="N13" s="493">
        <v>0</v>
      </c>
      <c r="O13" s="494">
        <v>0</v>
      </c>
      <c r="P13" s="495">
        <v>0</v>
      </c>
      <c r="Q13" s="493">
        <v>0</v>
      </c>
      <c r="R13" s="493">
        <v>120</v>
      </c>
      <c r="S13" s="496">
        <v>1</v>
      </c>
      <c r="T13" s="512">
        <v>1</v>
      </c>
      <c r="U13" s="491">
        <v>0</v>
      </c>
      <c r="V13" s="493">
        <v>3048038.6104290751</v>
      </c>
      <c r="W13" s="493">
        <v>365764633.25148898</v>
      </c>
      <c r="X13" s="493">
        <v>36576463.325148903</v>
      </c>
      <c r="Y13" s="493">
        <v>36576463.325148903</v>
      </c>
      <c r="Z13" s="493">
        <v>36576463.325148903</v>
      </c>
      <c r="AA13" s="493">
        <v>36576463.325148903</v>
      </c>
      <c r="AB13" s="493">
        <v>36576463.325148903</v>
      </c>
      <c r="AC13" s="493">
        <v>36576463.325148903</v>
      </c>
      <c r="AD13" s="493">
        <v>36576463.325148903</v>
      </c>
      <c r="AE13" s="493">
        <v>36576463.325148903</v>
      </c>
      <c r="AF13" s="493">
        <v>36576463.325148903</v>
      </c>
      <c r="AG13" s="493">
        <v>36576463.325148903</v>
      </c>
      <c r="AH13" s="493">
        <v>0</v>
      </c>
      <c r="AI13" s="493">
        <v>3048038.6104290751</v>
      </c>
      <c r="AJ13" s="493">
        <v>3048038.6104290751</v>
      </c>
      <c r="AK13" s="493">
        <v>3048038.6104290751</v>
      </c>
      <c r="AL13" s="493">
        <v>3048038.6104290751</v>
      </c>
      <c r="AM13" s="493">
        <v>3048038.6104290751</v>
      </c>
      <c r="AN13" s="493">
        <v>3048038.6104290751</v>
      </c>
      <c r="AO13" s="493">
        <v>3048038.6104290751</v>
      </c>
      <c r="AP13" s="493">
        <v>3048038.6104290751</v>
      </c>
      <c r="AQ13" s="493">
        <v>3048038.6104290751</v>
      </c>
      <c r="AR13" s="493">
        <v>3048038.6104290751</v>
      </c>
      <c r="AS13" s="493">
        <v>3048038.6104290751</v>
      </c>
      <c r="AT13" s="493">
        <v>3048038.6104290751</v>
      </c>
      <c r="AU13" s="493">
        <v>3048038.6104290751</v>
      </c>
      <c r="AV13" s="493">
        <v>3048038.6104290751</v>
      </c>
      <c r="AW13" s="493">
        <v>3048038.6104290751</v>
      </c>
      <c r="AX13" s="493">
        <v>3048038.6104290751</v>
      </c>
      <c r="AY13" s="493">
        <v>3048038.6104290751</v>
      </c>
      <c r="AZ13" s="493">
        <v>3048038.6104290751</v>
      </c>
      <c r="BA13" s="493">
        <v>3048038.6104290751</v>
      </c>
      <c r="BB13" s="493">
        <v>3048038.6104290751</v>
      </c>
      <c r="BC13" s="493">
        <v>3048038.6104290751</v>
      </c>
      <c r="BD13" s="493">
        <v>3048038.6104290751</v>
      </c>
      <c r="BE13" s="493">
        <v>3048038.6104290751</v>
      </c>
      <c r="BF13" s="493">
        <v>3048038.6104290751</v>
      </c>
      <c r="BG13" s="493">
        <v>3048038.6104290751</v>
      </c>
      <c r="BH13" s="493">
        <v>3048038.6104290751</v>
      </c>
      <c r="BI13" s="493">
        <v>3048038.6104290751</v>
      </c>
      <c r="BJ13" s="493">
        <v>3048038.6104290751</v>
      </c>
      <c r="BK13" s="493">
        <v>3048038.6104290751</v>
      </c>
      <c r="BL13" s="493">
        <v>3048038.6104290751</v>
      </c>
      <c r="BM13" s="493">
        <v>3048038.6104290751</v>
      </c>
      <c r="BN13" s="493">
        <v>3048038.6104290751</v>
      </c>
      <c r="BO13" s="493">
        <v>3048038.6104290751</v>
      </c>
      <c r="BP13" s="493">
        <v>3048038.6104290751</v>
      </c>
      <c r="BQ13" s="493">
        <v>3048038.6104290751</v>
      </c>
      <c r="BR13" s="493">
        <v>3048038.6104290751</v>
      </c>
      <c r="BS13" s="493">
        <v>3048038.6104290751</v>
      </c>
      <c r="BT13" s="493">
        <v>3048038.6104290751</v>
      </c>
      <c r="BU13" s="493">
        <v>3048038.6104290751</v>
      </c>
      <c r="BV13" s="493">
        <v>3048038.6104290751</v>
      </c>
      <c r="BW13" s="493">
        <v>3048038.6104290751</v>
      </c>
      <c r="BX13" s="493">
        <v>3048038.6104290751</v>
      </c>
      <c r="BY13" s="493">
        <v>3048038.6104290751</v>
      </c>
      <c r="BZ13" s="493">
        <v>3048038.6104290751</v>
      </c>
      <c r="CA13" s="493">
        <v>3048038.6104290751</v>
      </c>
      <c r="CB13" s="493">
        <v>3048038.6104290751</v>
      </c>
      <c r="CC13" s="493">
        <v>3048038.6104290751</v>
      </c>
      <c r="CD13" s="493">
        <v>3048038.6104290751</v>
      </c>
      <c r="CE13" s="493">
        <v>3048038.6104290751</v>
      </c>
      <c r="CF13" s="493">
        <v>3048038.6104290751</v>
      </c>
      <c r="CG13" s="493">
        <v>3048038.6104290751</v>
      </c>
      <c r="CH13" s="493">
        <v>3048038.6104290751</v>
      </c>
      <c r="CI13" s="493">
        <v>3048038.6104290751</v>
      </c>
      <c r="CJ13" s="493">
        <v>3048038.6104290751</v>
      </c>
      <c r="CK13" s="493">
        <v>3048038.6104290751</v>
      </c>
      <c r="CL13" s="493">
        <v>3048038.6104290751</v>
      </c>
      <c r="CM13" s="493">
        <v>3048038.6104290751</v>
      </c>
      <c r="CN13" s="493">
        <v>3048038.6104290751</v>
      </c>
      <c r="CO13" s="493">
        <v>3048038.6104290751</v>
      </c>
      <c r="CP13" s="493">
        <v>3048038.6104290751</v>
      </c>
      <c r="CQ13" s="493">
        <v>3048038.6104290751</v>
      </c>
      <c r="CR13" s="493">
        <v>3048038.6104290751</v>
      </c>
      <c r="CS13" s="493">
        <v>3048038.6104290751</v>
      </c>
      <c r="CT13" s="493">
        <v>3048038.6104290751</v>
      </c>
      <c r="CU13" s="493">
        <v>3048038.6104290751</v>
      </c>
      <c r="CV13" s="493">
        <v>3048038.6104290751</v>
      </c>
      <c r="CW13" s="493">
        <v>3048038.6104290751</v>
      </c>
      <c r="CX13" s="493">
        <v>3048038.6104290751</v>
      </c>
      <c r="CY13" s="493">
        <v>3048038.6104290751</v>
      </c>
      <c r="CZ13" s="493">
        <v>3048038.6104290751</v>
      </c>
      <c r="DA13" s="493">
        <v>3048038.6104290751</v>
      </c>
      <c r="DB13" s="493">
        <v>3048038.6104290751</v>
      </c>
      <c r="DC13" s="493">
        <v>3048038.6104290751</v>
      </c>
      <c r="DD13" s="493">
        <v>3048038.6104290751</v>
      </c>
      <c r="DE13" s="493">
        <v>3048038.6104290751</v>
      </c>
      <c r="DF13" s="493">
        <v>3048038.6104290751</v>
      </c>
      <c r="DG13" s="493">
        <v>3048038.6104290751</v>
      </c>
      <c r="DH13" s="493">
        <v>3048038.6104290751</v>
      </c>
      <c r="DI13" s="493">
        <v>3048038.6104290751</v>
      </c>
      <c r="DJ13" s="493">
        <v>3048038.6104290751</v>
      </c>
      <c r="DK13" s="493">
        <v>3048038.6104290751</v>
      </c>
      <c r="DL13" s="493">
        <v>3048038.6104290751</v>
      </c>
      <c r="DM13" s="493">
        <v>3048038.6104290751</v>
      </c>
      <c r="DN13" s="493">
        <v>3048038.6104290751</v>
      </c>
      <c r="DO13" s="493">
        <v>3048038.6104290751</v>
      </c>
      <c r="DP13" s="493">
        <v>3048038.6104290751</v>
      </c>
      <c r="DQ13" s="493">
        <v>3048038.6104290751</v>
      </c>
      <c r="DR13" s="493">
        <v>3048038.6104290751</v>
      </c>
      <c r="DS13" s="493">
        <v>3048038.6104290751</v>
      </c>
      <c r="DT13" s="493">
        <v>3048038.6104290751</v>
      </c>
      <c r="DU13" s="493">
        <v>3048038.6104290751</v>
      </c>
      <c r="DV13" s="493">
        <v>3048038.6104290751</v>
      </c>
      <c r="DW13" s="493">
        <v>3048038.6104290751</v>
      </c>
      <c r="DX13" s="493">
        <v>3048038.6104290751</v>
      </c>
      <c r="DY13" s="493">
        <v>3048038.6104290751</v>
      </c>
      <c r="DZ13" s="493">
        <v>3048038.6104290751</v>
      </c>
      <c r="EA13" s="493">
        <v>3048038.6104290751</v>
      </c>
      <c r="EB13" s="493">
        <v>3048038.6104290751</v>
      </c>
      <c r="EC13" s="493">
        <v>3048038.6104290751</v>
      </c>
      <c r="ED13" s="493">
        <v>3048038.6104290751</v>
      </c>
      <c r="EE13" s="493">
        <v>3048038.6104290751</v>
      </c>
      <c r="EF13" s="493">
        <v>3048038.6104290751</v>
      </c>
      <c r="EG13" s="493">
        <v>3048038.6104290751</v>
      </c>
      <c r="EH13" s="493">
        <v>3048038.6104290751</v>
      </c>
      <c r="EI13" s="493">
        <v>3048038.6104290751</v>
      </c>
      <c r="EJ13" s="493">
        <v>3048038.6104290751</v>
      </c>
      <c r="EK13" s="493">
        <v>3048038.6104290751</v>
      </c>
      <c r="EL13" s="493">
        <v>3048038.6104290751</v>
      </c>
      <c r="EM13" s="493">
        <v>3048038.6104290751</v>
      </c>
      <c r="EN13" s="493">
        <v>3048038.6104290751</v>
      </c>
      <c r="EO13" s="493">
        <v>3048038.6104290751</v>
      </c>
      <c r="EP13" s="493">
        <v>3048038.6104290751</v>
      </c>
      <c r="EQ13" s="493">
        <v>3048038.6104290751</v>
      </c>
      <c r="ER13" s="493">
        <v>3048038.6104290751</v>
      </c>
      <c r="ES13" s="493">
        <v>3048038.6104290751</v>
      </c>
      <c r="ET13" s="493">
        <v>3048038.6104290751</v>
      </c>
      <c r="EU13" s="493">
        <v>3048038.6104290751</v>
      </c>
      <c r="EV13" s="493">
        <v>3048038.6104290751</v>
      </c>
      <c r="EW13" s="493">
        <v>3048038.6104290751</v>
      </c>
      <c r="EX13" s="493">
        <v>3048038.6104290751</v>
      </c>
      <c r="EY13" s="493">
        <v>0</v>
      </c>
      <c r="EZ13" s="493">
        <v>0</v>
      </c>
      <c r="FA13" s="493">
        <v>0</v>
      </c>
      <c r="FB13" s="493">
        <v>0</v>
      </c>
      <c r="FC13" s="493">
        <v>0</v>
      </c>
      <c r="FD13" s="493">
        <v>0</v>
      </c>
      <c r="FE13" s="493">
        <v>0</v>
      </c>
      <c r="FF13" s="493">
        <v>0</v>
      </c>
      <c r="FG13" s="493">
        <v>0</v>
      </c>
      <c r="FH13" s="493">
        <v>0</v>
      </c>
      <c r="FI13" s="493">
        <v>0</v>
      </c>
      <c r="FJ13" s="45">
        <v>0</v>
      </c>
    </row>
    <row r="14" spans="1:166">
      <c r="A14" s="501" t="s">
        <v>1022</v>
      </c>
      <c r="B14" s="491" t="s">
        <v>1549</v>
      </c>
      <c r="C14" s="491" t="s">
        <v>246</v>
      </c>
      <c r="D14" s="491" t="s">
        <v>820</v>
      </c>
      <c r="E14" s="491" t="s">
        <v>248</v>
      </c>
      <c r="F14" s="491" t="s">
        <v>1550</v>
      </c>
      <c r="G14" s="491" t="s">
        <v>1555</v>
      </c>
      <c r="H14" s="491">
        <v>0</v>
      </c>
      <c r="I14" s="491">
        <v>0</v>
      </c>
      <c r="J14" s="491" t="s">
        <v>252</v>
      </c>
      <c r="K14" s="491">
        <v>0</v>
      </c>
      <c r="L14" s="491" t="s">
        <v>259</v>
      </c>
      <c r="M14" s="511">
        <v>1</v>
      </c>
      <c r="N14" s="493">
        <v>0</v>
      </c>
      <c r="O14" s="494">
        <v>0</v>
      </c>
      <c r="P14" s="495">
        <v>0</v>
      </c>
      <c r="Q14" s="493">
        <v>0</v>
      </c>
      <c r="R14" s="493">
        <v>120</v>
      </c>
      <c r="S14" s="496">
        <v>1</v>
      </c>
      <c r="T14" s="512">
        <v>1</v>
      </c>
      <c r="U14" s="491">
        <v>0</v>
      </c>
      <c r="V14" s="493">
        <v>68038.460886286528</v>
      </c>
      <c r="W14" s="493">
        <v>8164615.3063543867</v>
      </c>
      <c r="X14" s="493">
        <v>816461.53063543851</v>
      </c>
      <c r="Y14" s="493">
        <v>816461.53063543851</v>
      </c>
      <c r="Z14" s="493">
        <v>816461.53063543851</v>
      </c>
      <c r="AA14" s="493">
        <v>816461.53063543851</v>
      </c>
      <c r="AB14" s="493">
        <v>816461.53063543851</v>
      </c>
      <c r="AC14" s="493">
        <v>816461.53063543851</v>
      </c>
      <c r="AD14" s="493">
        <v>816461.53063543851</v>
      </c>
      <c r="AE14" s="493">
        <v>816461.53063543851</v>
      </c>
      <c r="AF14" s="493">
        <v>816461.53063543851</v>
      </c>
      <c r="AG14" s="493">
        <v>816461.53063543851</v>
      </c>
      <c r="AH14" s="493">
        <v>0</v>
      </c>
      <c r="AI14" s="493">
        <v>68038.460886286528</v>
      </c>
      <c r="AJ14" s="493">
        <v>68038.460886286528</v>
      </c>
      <c r="AK14" s="493">
        <v>68038.460886286528</v>
      </c>
      <c r="AL14" s="493">
        <v>68038.460886286528</v>
      </c>
      <c r="AM14" s="493">
        <v>68038.460886286528</v>
      </c>
      <c r="AN14" s="493">
        <v>68038.460886286528</v>
      </c>
      <c r="AO14" s="493">
        <v>68038.460886286528</v>
      </c>
      <c r="AP14" s="493">
        <v>68038.460886286528</v>
      </c>
      <c r="AQ14" s="493">
        <v>68038.460886286528</v>
      </c>
      <c r="AR14" s="493">
        <v>68038.460886286528</v>
      </c>
      <c r="AS14" s="493">
        <v>68038.460886286528</v>
      </c>
      <c r="AT14" s="493">
        <v>68038.460886286528</v>
      </c>
      <c r="AU14" s="493">
        <v>68038.460886286528</v>
      </c>
      <c r="AV14" s="493">
        <v>68038.460886286528</v>
      </c>
      <c r="AW14" s="493">
        <v>68038.460886286528</v>
      </c>
      <c r="AX14" s="493">
        <v>68038.460886286528</v>
      </c>
      <c r="AY14" s="493">
        <v>68038.460886286528</v>
      </c>
      <c r="AZ14" s="493">
        <v>68038.460886286528</v>
      </c>
      <c r="BA14" s="493">
        <v>68038.460886286528</v>
      </c>
      <c r="BB14" s="493">
        <v>68038.460886286528</v>
      </c>
      <c r="BC14" s="493">
        <v>68038.460886286528</v>
      </c>
      <c r="BD14" s="493">
        <v>68038.460886286528</v>
      </c>
      <c r="BE14" s="493">
        <v>68038.460886286528</v>
      </c>
      <c r="BF14" s="493">
        <v>68038.460886286528</v>
      </c>
      <c r="BG14" s="493">
        <v>68038.460886286528</v>
      </c>
      <c r="BH14" s="493">
        <v>68038.460886286528</v>
      </c>
      <c r="BI14" s="493">
        <v>68038.460886286528</v>
      </c>
      <c r="BJ14" s="493">
        <v>68038.460886286528</v>
      </c>
      <c r="BK14" s="493">
        <v>68038.460886286528</v>
      </c>
      <c r="BL14" s="493">
        <v>68038.460886286528</v>
      </c>
      <c r="BM14" s="493">
        <v>68038.460886286528</v>
      </c>
      <c r="BN14" s="493">
        <v>68038.460886286528</v>
      </c>
      <c r="BO14" s="493">
        <v>68038.460886286528</v>
      </c>
      <c r="BP14" s="493">
        <v>68038.460886286528</v>
      </c>
      <c r="BQ14" s="493">
        <v>68038.460886286528</v>
      </c>
      <c r="BR14" s="493">
        <v>68038.460886286528</v>
      </c>
      <c r="BS14" s="493">
        <v>68038.460886286528</v>
      </c>
      <c r="BT14" s="493">
        <v>68038.460886286528</v>
      </c>
      <c r="BU14" s="493">
        <v>68038.460886286528</v>
      </c>
      <c r="BV14" s="493">
        <v>68038.460886286528</v>
      </c>
      <c r="BW14" s="493">
        <v>68038.460886286528</v>
      </c>
      <c r="BX14" s="493">
        <v>68038.460886286528</v>
      </c>
      <c r="BY14" s="493">
        <v>68038.460886286528</v>
      </c>
      <c r="BZ14" s="493">
        <v>68038.460886286528</v>
      </c>
      <c r="CA14" s="493">
        <v>68038.460886286528</v>
      </c>
      <c r="CB14" s="493">
        <v>68038.460886286528</v>
      </c>
      <c r="CC14" s="493">
        <v>68038.460886286528</v>
      </c>
      <c r="CD14" s="493">
        <v>68038.460886286528</v>
      </c>
      <c r="CE14" s="493">
        <v>68038.460886286528</v>
      </c>
      <c r="CF14" s="493">
        <v>68038.460886286528</v>
      </c>
      <c r="CG14" s="493">
        <v>68038.460886286528</v>
      </c>
      <c r="CH14" s="493">
        <v>68038.460886286528</v>
      </c>
      <c r="CI14" s="493">
        <v>68038.460886286528</v>
      </c>
      <c r="CJ14" s="493">
        <v>68038.460886286528</v>
      </c>
      <c r="CK14" s="493">
        <v>68038.460886286528</v>
      </c>
      <c r="CL14" s="493">
        <v>68038.460886286528</v>
      </c>
      <c r="CM14" s="493">
        <v>68038.460886286528</v>
      </c>
      <c r="CN14" s="493">
        <v>68038.460886286528</v>
      </c>
      <c r="CO14" s="493">
        <v>68038.460886286528</v>
      </c>
      <c r="CP14" s="493">
        <v>68038.460886286528</v>
      </c>
      <c r="CQ14" s="493">
        <v>68038.460886286528</v>
      </c>
      <c r="CR14" s="493">
        <v>68038.460886286528</v>
      </c>
      <c r="CS14" s="493">
        <v>68038.460886286528</v>
      </c>
      <c r="CT14" s="493">
        <v>68038.460886286528</v>
      </c>
      <c r="CU14" s="493">
        <v>68038.460886286528</v>
      </c>
      <c r="CV14" s="493">
        <v>68038.460886286528</v>
      </c>
      <c r="CW14" s="493">
        <v>68038.460886286528</v>
      </c>
      <c r="CX14" s="493">
        <v>68038.460886286528</v>
      </c>
      <c r="CY14" s="493">
        <v>68038.460886286528</v>
      </c>
      <c r="CZ14" s="493">
        <v>68038.460886286528</v>
      </c>
      <c r="DA14" s="493">
        <v>68038.460886286528</v>
      </c>
      <c r="DB14" s="493">
        <v>68038.460886286528</v>
      </c>
      <c r="DC14" s="493">
        <v>68038.460886286528</v>
      </c>
      <c r="DD14" s="493">
        <v>68038.460886286528</v>
      </c>
      <c r="DE14" s="493">
        <v>68038.460886286528</v>
      </c>
      <c r="DF14" s="493">
        <v>68038.460886286528</v>
      </c>
      <c r="DG14" s="493">
        <v>68038.460886286528</v>
      </c>
      <c r="DH14" s="493">
        <v>68038.460886286528</v>
      </c>
      <c r="DI14" s="493">
        <v>68038.460886286528</v>
      </c>
      <c r="DJ14" s="493">
        <v>68038.460886286528</v>
      </c>
      <c r="DK14" s="493">
        <v>68038.460886286528</v>
      </c>
      <c r="DL14" s="493">
        <v>68038.460886286528</v>
      </c>
      <c r="DM14" s="493">
        <v>68038.460886286528</v>
      </c>
      <c r="DN14" s="493">
        <v>68038.460886286528</v>
      </c>
      <c r="DO14" s="493">
        <v>68038.460886286528</v>
      </c>
      <c r="DP14" s="493">
        <v>68038.460886286528</v>
      </c>
      <c r="DQ14" s="493">
        <v>68038.460886286528</v>
      </c>
      <c r="DR14" s="493">
        <v>68038.460886286528</v>
      </c>
      <c r="DS14" s="493">
        <v>68038.460886286528</v>
      </c>
      <c r="DT14" s="493">
        <v>68038.460886286528</v>
      </c>
      <c r="DU14" s="493">
        <v>68038.460886286528</v>
      </c>
      <c r="DV14" s="493">
        <v>68038.460886286528</v>
      </c>
      <c r="DW14" s="493">
        <v>68038.460886286528</v>
      </c>
      <c r="DX14" s="493">
        <v>68038.460886286528</v>
      </c>
      <c r="DY14" s="493">
        <v>68038.460886286528</v>
      </c>
      <c r="DZ14" s="493">
        <v>68038.460886286528</v>
      </c>
      <c r="EA14" s="493">
        <v>68038.460886286528</v>
      </c>
      <c r="EB14" s="493">
        <v>68038.460886286528</v>
      </c>
      <c r="EC14" s="493">
        <v>68038.460886286528</v>
      </c>
      <c r="ED14" s="493">
        <v>68038.460886286528</v>
      </c>
      <c r="EE14" s="493">
        <v>68038.460886286528</v>
      </c>
      <c r="EF14" s="493">
        <v>68038.460886286528</v>
      </c>
      <c r="EG14" s="493">
        <v>68038.460886286528</v>
      </c>
      <c r="EH14" s="493">
        <v>68038.460886286528</v>
      </c>
      <c r="EI14" s="493">
        <v>68038.460886286528</v>
      </c>
      <c r="EJ14" s="493">
        <v>68038.460886286528</v>
      </c>
      <c r="EK14" s="493">
        <v>68038.460886286528</v>
      </c>
      <c r="EL14" s="493">
        <v>68038.460886286528</v>
      </c>
      <c r="EM14" s="493">
        <v>68038.460886286528</v>
      </c>
      <c r="EN14" s="493">
        <v>68038.460886286528</v>
      </c>
      <c r="EO14" s="493">
        <v>68038.460886286528</v>
      </c>
      <c r="EP14" s="493">
        <v>68038.460886286528</v>
      </c>
      <c r="EQ14" s="493">
        <v>68038.460886286528</v>
      </c>
      <c r="ER14" s="493">
        <v>68038.460886286528</v>
      </c>
      <c r="ES14" s="493">
        <v>68038.460886286528</v>
      </c>
      <c r="ET14" s="493">
        <v>68038.460886286528</v>
      </c>
      <c r="EU14" s="493">
        <v>68038.460886286528</v>
      </c>
      <c r="EV14" s="493">
        <v>68038.460886286528</v>
      </c>
      <c r="EW14" s="493">
        <v>68038.460886286528</v>
      </c>
      <c r="EX14" s="493">
        <v>68038.460886286528</v>
      </c>
      <c r="EY14" s="493">
        <v>0</v>
      </c>
      <c r="EZ14" s="493">
        <v>0</v>
      </c>
      <c r="FA14" s="493">
        <v>0</v>
      </c>
      <c r="FB14" s="493">
        <v>0</v>
      </c>
      <c r="FC14" s="493">
        <v>0</v>
      </c>
      <c r="FD14" s="493">
        <v>0</v>
      </c>
      <c r="FE14" s="493">
        <v>0</v>
      </c>
      <c r="FF14" s="493">
        <v>0</v>
      </c>
      <c r="FG14" s="493">
        <v>0</v>
      </c>
      <c r="FH14" s="493">
        <v>0</v>
      </c>
      <c r="FI14" s="493">
        <v>0</v>
      </c>
      <c r="FJ14" s="45">
        <v>0</v>
      </c>
    </row>
    <row r="15" spans="1:166">
      <c r="A15" s="501" t="s">
        <v>1023</v>
      </c>
      <c r="B15" s="491" t="s">
        <v>157</v>
      </c>
      <c r="C15" s="491" t="s">
        <v>246</v>
      </c>
      <c r="D15" s="491" t="s">
        <v>820</v>
      </c>
      <c r="E15" s="491" t="s">
        <v>248</v>
      </c>
      <c r="F15" s="491" t="s">
        <v>981</v>
      </c>
      <c r="G15" s="491" t="s">
        <v>1556</v>
      </c>
      <c r="H15" s="491">
        <v>0</v>
      </c>
      <c r="I15" s="491">
        <v>0</v>
      </c>
      <c r="J15" s="491" t="s">
        <v>252</v>
      </c>
      <c r="K15" s="491">
        <v>0</v>
      </c>
      <c r="L15" s="491" t="s">
        <v>259</v>
      </c>
      <c r="M15" s="511">
        <v>1</v>
      </c>
      <c r="N15" s="493">
        <v>0</v>
      </c>
      <c r="O15" s="494">
        <v>0</v>
      </c>
      <c r="P15" s="495">
        <v>0</v>
      </c>
      <c r="Q15" s="493">
        <v>0</v>
      </c>
      <c r="R15" s="493">
        <v>20</v>
      </c>
      <c r="S15" s="496">
        <v>1</v>
      </c>
      <c r="T15" s="512">
        <v>1</v>
      </c>
      <c r="U15" s="491">
        <v>0</v>
      </c>
      <c r="V15" s="493">
        <v>309265.73130130244</v>
      </c>
      <c r="W15" s="493">
        <v>6185314.6260260502</v>
      </c>
      <c r="X15" s="493">
        <v>3711188.7756156302</v>
      </c>
      <c r="Y15" s="493">
        <v>2474125.85041042</v>
      </c>
      <c r="Z15" s="493">
        <v>0</v>
      </c>
      <c r="AA15" s="493">
        <v>0</v>
      </c>
      <c r="AB15" s="493">
        <v>0</v>
      </c>
      <c r="AC15" s="493">
        <v>0</v>
      </c>
      <c r="AD15" s="493">
        <v>0</v>
      </c>
      <c r="AE15" s="493">
        <v>0</v>
      </c>
      <c r="AF15" s="493">
        <v>0</v>
      </c>
      <c r="AG15" s="493">
        <v>0</v>
      </c>
      <c r="AH15" s="493">
        <v>0</v>
      </c>
      <c r="AI15" s="493">
        <v>309265.73130130244</v>
      </c>
      <c r="AJ15" s="493">
        <v>309265.73130130244</v>
      </c>
      <c r="AK15" s="493">
        <v>309265.73130130244</v>
      </c>
      <c r="AL15" s="493">
        <v>309265.73130130244</v>
      </c>
      <c r="AM15" s="493">
        <v>309265.73130130244</v>
      </c>
      <c r="AN15" s="493">
        <v>309265.73130130244</v>
      </c>
      <c r="AO15" s="493">
        <v>309265.73130130244</v>
      </c>
      <c r="AP15" s="493">
        <v>309265.73130130244</v>
      </c>
      <c r="AQ15" s="493">
        <v>309265.73130130244</v>
      </c>
      <c r="AR15" s="493">
        <v>309265.73130130244</v>
      </c>
      <c r="AS15" s="493">
        <v>309265.73130130244</v>
      </c>
      <c r="AT15" s="493">
        <v>309265.73130130244</v>
      </c>
      <c r="AU15" s="493">
        <v>309265.73130130244</v>
      </c>
      <c r="AV15" s="493">
        <v>309265.73130130244</v>
      </c>
      <c r="AW15" s="493">
        <v>309265.73130130244</v>
      </c>
      <c r="AX15" s="493">
        <v>309265.73130130244</v>
      </c>
      <c r="AY15" s="493">
        <v>309265.73130130244</v>
      </c>
      <c r="AZ15" s="493">
        <v>309265.73130130244</v>
      </c>
      <c r="BA15" s="493">
        <v>309265.73130130244</v>
      </c>
      <c r="BB15" s="493">
        <v>309265.73130130244</v>
      </c>
      <c r="BC15" s="493">
        <v>0</v>
      </c>
      <c r="BD15" s="493">
        <v>0</v>
      </c>
      <c r="BE15" s="493">
        <v>0</v>
      </c>
      <c r="BF15" s="493">
        <v>0</v>
      </c>
      <c r="BG15" s="493">
        <v>0</v>
      </c>
      <c r="BH15" s="493">
        <v>0</v>
      </c>
      <c r="BI15" s="493">
        <v>0</v>
      </c>
      <c r="BJ15" s="493">
        <v>0</v>
      </c>
      <c r="BK15" s="493">
        <v>0</v>
      </c>
      <c r="BL15" s="493">
        <v>0</v>
      </c>
      <c r="BM15" s="493">
        <v>0</v>
      </c>
      <c r="BN15" s="493">
        <v>0</v>
      </c>
      <c r="BO15" s="493">
        <v>0</v>
      </c>
      <c r="BP15" s="493">
        <v>0</v>
      </c>
      <c r="BQ15" s="493">
        <v>0</v>
      </c>
      <c r="BR15" s="493">
        <v>0</v>
      </c>
      <c r="BS15" s="493">
        <v>0</v>
      </c>
      <c r="BT15" s="493">
        <v>0</v>
      </c>
      <c r="BU15" s="493">
        <v>0</v>
      </c>
      <c r="BV15" s="493">
        <v>0</v>
      </c>
      <c r="BW15" s="493">
        <v>0</v>
      </c>
      <c r="BX15" s="493">
        <v>0</v>
      </c>
      <c r="BY15" s="493">
        <v>0</v>
      </c>
      <c r="BZ15" s="493">
        <v>0</v>
      </c>
      <c r="CA15" s="493">
        <v>0</v>
      </c>
      <c r="CB15" s="493">
        <v>0</v>
      </c>
      <c r="CC15" s="493">
        <v>0</v>
      </c>
      <c r="CD15" s="493">
        <v>0</v>
      </c>
      <c r="CE15" s="493">
        <v>0</v>
      </c>
      <c r="CF15" s="493">
        <v>0</v>
      </c>
      <c r="CG15" s="493">
        <v>0</v>
      </c>
      <c r="CH15" s="493">
        <v>0</v>
      </c>
      <c r="CI15" s="493">
        <v>0</v>
      </c>
      <c r="CJ15" s="493">
        <v>0</v>
      </c>
      <c r="CK15" s="493">
        <v>0</v>
      </c>
      <c r="CL15" s="493">
        <v>0</v>
      </c>
      <c r="CM15" s="493">
        <v>0</v>
      </c>
      <c r="CN15" s="493">
        <v>0</v>
      </c>
      <c r="CO15" s="493">
        <v>0</v>
      </c>
      <c r="CP15" s="493">
        <v>0</v>
      </c>
      <c r="CQ15" s="493">
        <v>0</v>
      </c>
      <c r="CR15" s="493">
        <v>0</v>
      </c>
      <c r="CS15" s="493">
        <v>0</v>
      </c>
      <c r="CT15" s="493">
        <v>0</v>
      </c>
      <c r="CU15" s="493">
        <v>0</v>
      </c>
      <c r="CV15" s="493">
        <v>0</v>
      </c>
      <c r="CW15" s="493">
        <v>0</v>
      </c>
      <c r="CX15" s="493">
        <v>0</v>
      </c>
      <c r="CY15" s="493">
        <v>0</v>
      </c>
      <c r="CZ15" s="493">
        <v>0</v>
      </c>
      <c r="DA15" s="493">
        <v>0</v>
      </c>
      <c r="DB15" s="493">
        <v>0</v>
      </c>
      <c r="DC15" s="493">
        <v>0</v>
      </c>
      <c r="DD15" s="493">
        <v>0</v>
      </c>
      <c r="DE15" s="493">
        <v>0</v>
      </c>
      <c r="DF15" s="493">
        <v>0</v>
      </c>
      <c r="DG15" s="493">
        <v>0</v>
      </c>
      <c r="DH15" s="493">
        <v>0</v>
      </c>
      <c r="DI15" s="493">
        <v>0</v>
      </c>
      <c r="DJ15" s="493">
        <v>0</v>
      </c>
      <c r="DK15" s="493">
        <v>0</v>
      </c>
      <c r="DL15" s="493">
        <v>0</v>
      </c>
      <c r="DM15" s="493">
        <v>0</v>
      </c>
      <c r="DN15" s="493">
        <v>0</v>
      </c>
      <c r="DO15" s="493">
        <v>0</v>
      </c>
      <c r="DP15" s="493">
        <v>0</v>
      </c>
      <c r="DQ15" s="493">
        <v>0</v>
      </c>
      <c r="DR15" s="493">
        <v>0</v>
      </c>
      <c r="DS15" s="493">
        <v>0</v>
      </c>
      <c r="DT15" s="493">
        <v>0</v>
      </c>
      <c r="DU15" s="493">
        <v>0</v>
      </c>
      <c r="DV15" s="493">
        <v>0</v>
      </c>
      <c r="DW15" s="493">
        <v>0</v>
      </c>
      <c r="DX15" s="493">
        <v>0</v>
      </c>
      <c r="DY15" s="493">
        <v>0</v>
      </c>
      <c r="DZ15" s="493">
        <v>0</v>
      </c>
      <c r="EA15" s="493">
        <v>0</v>
      </c>
      <c r="EB15" s="493">
        <v>0</v>
      </c>
      <c r="EC15" s="493">
        <v>0</v>
      </c>
      <c r="ED15" s="493">
        <v>0</v>
      </c>
      <c r="EE15" s="493">
        <v>0</v>
      </c>
      <c r="EF15" s="493">
        <v>0</v>
      </c>
      <c r="EG15" s="493">
        <v>0</v>
      </c>
      <c r="EH15" s="493">
        <v>0</v>
      </c>
      <c r="EI15" s="493">
        <v>0</v>
      </c>
      <c r="EJ15" s="493">
        <v>0</v>
      </c>
      <c r="EK15" s="493">
        <v>0</v>
      </c>
      <c r="EL15" s="493">
        <v>0</v>
      </c>
      <c r="EM15" s="493">
        <v>0</v>
      </c>
      <c r="EN15" s="493">
        <v>0</v>
      </c>
      <c r="EO15" s="493">
        <v>0</v>
      </c>
      <c r="EP15" s="493">
        <v>0</v>
      </c>
      <c r="EQ15" s="493">
        <v>0</v>
      </c>
      <c r="ER15" s="493">
        <v>0</v>
      </c>
      <c r="ES15" s="493">
        <v>0</v>
      </c>
      <c r="ET15" s="493">
        <v>0</v>
      </c>
      <c r="EU15" s="493">
        <v>0</v>
      </c>
      <c r="EV15" s="493">
        <v>0</v>
      </c>
      <c r="EW15" s="493">
        <v>0</v>
      </c>
      <c r="EX15" s="493">
        <v>0</v>
      </c>
      <c r="EY15" s="493">
        <v>0</v>
      </c>
      <c r="EZ15" s="493">
        <v>0</v>
      </c>
      <c r="FA15" s="493">
        <v>0</v>
      </c>
      <c r="FB15" s="493">
        <v>0</v>
      </c>
      <c r="FC15" s="493">
        <v>0</v>
      </c>
      <c r="FD15" s="493">
        <v>0</v>
      </c>
      <c r="FE15" s="493">
        <v>0</v>
      </c>
      <c r="FF15" s="493">
        <v>0</v>
      </c>
      <c r="FG15" s="493">
        <v>0</v>
      </c>
      <c r="FH15" s="493">
        <v>0</v>
      </c>
      <c r="FI15" s="493">
        <v>0</v>
      </c>
      <c r="FJ15" s="45">
        <v>0</v>
      </c>
    </row>
    <row r="16" spans="1:166">
      <c r="A16" s="501" t="s">
        <v>1024</v>
      </c>
      <c r="B16" s="491" t="s">
        <v>1549</v>
      </c>
      <c r="C16" s="491" t="s">
        <v>246</v>
      </c>
      <c r="D16" s="491" t="s">
        <v>820</v>
      </c>
      <c r="E16" s="491" t="s">
        <v>248</v>
      </c>
      <c r="F16" s="491" t="s">
        <v>885</v>
      </c>
      <c r="G16" s="491" t="s">
        <v>1557</v>
      </c>
      <c r="H16" s="491">
        <v>0</v>
      </c>
      <c r="I16" s="491">
        <v>0</v>
      </c>
      <c r="J16" s="491" t="s">
        <v>252</v>
      </c>
      <c r="K16" s="491">
        <v>0</v>
      </c>
      <c r="L16" s="491" t="s">
        <v>259</v>
      </c>
      <c r="M16" s="511">
        <v>1</v>
      </c>
      <c r="N16" s="493">
        <v>0</v>
      </c>
      <c r="O16" s="494">
        <v>0</v>
      </c>
      <c r="P16" s="495">
        <v>0</v>
      </c>
      <c r="Q16" s="493">
        <v>0</v>
      </c>
      <c r="R16" s="493">
        <v>5</v>
      </c>
      <c r="S16" s="496">
        <v>1</v>
      </c>
      <c r="T16" s="512">
        <v>1</v>
      </c>
      <c r="U16" s="491">
        <v>0</v>
      </c>
      <c r="V16" s="493">
        <v>432972.02382182342</v>
      </c>
      <c r="W16" s="493">
        <v>2164860.119109117</v>
      </c>
      <c r="X16" s="493">
        <v>2164860.119109117</v>
      </c>
      <c r="Y16" s="493">
        <v>0</v>
      </c>
      <c r="Z16" s="493">
        <v>0</v>
      </c>
      <c r="AA16" s="493">
        <v>0</v>
      </c>
      <c r="AB16" s="493">
        <v>0</v>
      </c>
      <c r="AC16" s="493">
        <v>0</v>
      </c>
      <c r="AD16" s="493">
        <v>0</v>
      </c>
      <c r="AE16" s="493">
        <v>0</v>
      </c>
      <c r="AF16" s="493">
        <v>0</v>
      </c>
      <c r="AG16" s="493">
        <v>0</v>
      </c>
      <c r="AH16" s="493">
        <v>0</v>
      </c>
      <c r="AI16" s="493">
        <v>432972.02382182342</v>
      </c>
      <c r="AJ16" s="493">
        <v>432972.02382182342</v>
      </c>
      <c r="AK16" s="493">
        <v>432972.02382182342</v>
      </c>
      <c r="AL16" s="493">
        <v>432972.02382182342</v>
      </c>
      <c r="AM16" s="493">
        <v>432972.02382182342</v>
      </c>
      <c r="AN16" s="493">
        <v>0</v>
      </c>
      <c r="AO16" s="493">
        <v>0</v>
      </c>
      <c r="AP16" s="493">
        <v>0</v>
      </c>
      <c r="AQ16" s="493">
        <v>0</v>
      </c>
      <c r="AR16" s="493">
        <v>0</v>
      </c>
      <c r="AS16" s="493">
        <v>0</v>
      </c>
      <c r="AT16" s="493">
        <v>0</v>
      </c>
      <c r="AU16" s="493">
        <v>0</v>
      </c>
      <c r="AV16" s="493">
        <v>0</v>
      </c>
      <c r="AW16" s="493">
        <v>0</v>
      </c>
      <c r="AX16" s="493">
        <v>0</v>
      </c>
      <c r="AY16" s="493">
        <v>0</v>
      </c>
      <c r="AZ16" s="493">
        <v>0</v>
      </c>
      <c r="BA16" s="493">
        <v>0</v>
      </c>
      <c r="BB16" s="493">
        <v>0</v>
      </c>
      <c r="BC16" s="493">
        <v>0</v>
      </c>
      <c r="BD16" s="493">
        <v>0</v>
      </c>
      <c r="BE16" s="493">
        <v>0</v>
      </c>
      <c r="BF16" s="493">
        <v>0</v>
      </c>
      <c r="BG16" s="493">
        <v>0</v>
      </c>
      <c r="BH16" s="493">
        <v>0</v>
      </c>
      <c r="BI16" s="493">
        <v>0</v>
      </c>
      <c r="BJ16" s="493">
        <v>0</v>
      </c>
      <c r="BK16" s="493">
        <v>0</v>
      </c>
      <c r="BL16" s="493">
        <v>0</v>
      </c>
      <c r="BM16" s="493">
        <v>0</v>
      </c>
      <c r="BN16" s="493">
        <v>0</v>
      </c>
      <c r="BO16" s="493">
        <v>0</v>
      </c>
      <c r="BP16" s="493">
        <v>0</v>
      </c>
      <c r="BQ16" s="493">
        <v>0</v>
      </c>
      <c r="BR16" s="493">
        <v>0</v>
      </c>
      <c r="BS16" s="493">
        <v>0</v>
      </c>
      <c r="BT16" s="493">
        <v>0</v>
      </c>
      <c r="BU16" s="493">
        <v>0</v>
      </c>
      <c r="BV16" s="493">
        <v>0</v>
      </c>
      <c r="BW16" s="493">
        <v>0</v>
      </c>
      <c r="BX16" s="493">
        <v>0</v>
      </c>
      <c r="BY16" s="493">
        <v>0</v>
      </c>
      <c r="BZ16" s="493">
        <v>0</v>
      </c>
      <c r="CA16" s="493">
        <v>0</v>
      </c>
      <c r="CB16" s="493">
        <v>0</v>
      </c>
      <c r="CC16" s="493">
        <v>0</v>
      </c>
      <c r="CD16" s="493">
        <v>0</v>
      </c>
      <c r="CE16" s="493">
        <v>0</v>
      </c>
      <c r="CF16" s="493">
        <v>0</v>
      </c>
      <c r="CG16" s="493">
        <v>0</v>
      </c>
      <c r="CH16" s="493">
        <v>0</v>
      </c>
      <c r="CI16" s="493">
        <v>0</v>
      </c>
      <c r="CJ16" s="493">
        <v>0</v>
      </c>
      <c r="CK16" s="493">
        <v>0</v>
      </c>
      <c r="CL16" s="493">
        <v>0</v>
      </c>
      <c r="CM16" s="493">
        <v>0</v>
      </c>
      <c r="CN16" s="493">
        <v>0</v>
      </c>
      <c r="CO16" s="493">
        <v>0</v>
      </c>
      <c r="CP16" s="493">
        <v>0</v>
      </c>
      <c r="CQ16" s="493">
        <v>0</v>
      </c>
      <c r="CR16" s="493">
        <v>0</v>
      </c>
      <c r="CS16" s="493">
        <v>0</v>
      </c>
      <c r="CT16" s="493">
        <v>0</v>
      </c>
      <c r="CU16" s="493">
        <v>0</v>
      </c>
      <c r="CV16" s="493">
        <v>0</v>
      </c>
      <c r="CW16" s="493">
        <v>0</v>
      </c>
      <c r="CX16" s="493">
        <v>0</v>
      </c>
      <c r="CY16" s="493">
        <v>0</v>
      </c>
      <c r="CZ16" s="493">
        <v>0</v>
      </c>
      <c r="DA16" s="493">
        <v>0</v>
      </c>
      <c r="DB16" s="493">
        <v>0</v>
      </c>
      <c r="DC16" s="493">
        <v>0</v>
      </c>
      <c r="DD16" s="493">
        <v>0</v>
      </c>
      <c r="DE16" s="493">
        <v>0</v>
      </c>
      <c r="DF16" s="493">
        <v>0</v>
      </c>
      <c r="DG16" s="493">
        <v>0</v>
      </c>
      <c r="DH16" s="493">
        <v>0</v>
      </c>
      <c r="DI16" s="493">
        <v>0</v>
      </c>
      <c r="DJ16" s="493">
        <v>0</v>
      </c>
      <c r="DK16" s="493">
        <v>0</v>
      </c>
      <c r="DL16" s="493">
        <v>0</v>
      </c>
      <c r="DM16" s="493">
        <v>0</v>
      </c>
      <c r="DN16" s="493">
        <v>0</v>
      </c>
      <c r="DO16" s="493">
        <v>0</v>
      </c>
      <c r="DP16" s="493">
        <v>0</v>
      </c>
      <c r="DQ16" s="493">
        <v>0</v>
      </c>
      <c r="DR16" s="493">
        <v>0</v>
      </c>
      <c r="DS16" s="493">
        <v>0</v>
      </c>
      <c r="DT16" s="493">
        <v>0</v>
      </c>
      <c r="DU16" s="493">
        <v>0</v>
      </c>
      <c r="DV16" s="493">
        <v>0</v>
      </c>
      <c r="DW16" s="493">
        <v>0</v>
      </c>
      <c r="DX16" s="493">
        <v>0</v>
      </c>
      <c r="DY16" s="493">
        <v>0</v>
      </c>
      <c r="DZ16" s="493">
        <v>0</v>
      </c>
      <c r="EA16" s="493">
        <v>0</v>
      </c>
      <c r="EB16" s="493">
        <v>0</v>
      </c>
      <c r="EC16" s="493">
        <v>0</v>
      </c>
      <c r="ED16" s="493">
        <v>0</v>
      </c>
      <c r="EE16" s="493">
        <v>0</v>
      </c>
      <c r="EF16" s="493">
        <v>0</v>
      </c>
      <c r="EG16" s="493">
        <v>0</v>
      </c>
      <c r="EH16" s="493">
        <v>0</v>
      </c>
      <c r="EI16" s="493">
        <v>0</v>
      </c>
      <c r="EJ16" s="493">
        <v>0</v>
      </c>
      <c r="EK16" s="493">
        <v>0</v>
      </c>
      <c r="EL16" s="493">
        <v>0</v>
      </c>
      <c r="EM16" s="493">
        <v>0</v>
      </c>
      <c r="EN16" s="493">
        <v>0</v>
      </c>
      <c r="EO16" s="493">
        <v>0</v>
      </c>
      <c r="EP16" s="493">
        <v>0</v>
      </c>
      <c r="EQ16" s="493">
        <v>0</v>
      </c>
      <c r="ER16" s="493">
        <v>0</v>
      </c>
      <c r="ES16" s="493">
        <v>0</v>
      </c>
      <c r="ET16" s="493">
        <v>0</v>
      </c>
      <c r="EU16" s="493">
        <v>0</v>
      </c>
      <c r="EV16" s="493">
        <v>0</v>
      </c>
      <c r="EW16" s="493">
        <v>0</v>
      </c>
      <c r="EX16" s="493">
        <v>0</v>
      </c>
      <c r="EY16" s="493">
        <v>0</v>
      </c>
      <c r="EZ16" s="493">
        <v>0</v>
      </c>
      <c r="FA16" s="493">
        <v>0</v>
      </c>
      <c r="FB16" s="493">
        <v>0</v>
      </c>
      <c r="FC16" s="493">
        <v>0</v>
      </c>
      <c r="FD16" s="493">
        <v>0</v>
      </c>
      <c r="FE16" s="493">
        <v>0</v>
      </c>
      <c r="FF16" s="493">
        <v>0</v>
      </c>
      <c r="FG16" s="493">
        <v>0</v>
      </c>
      <c r="FH16" s="493">
        <v>0</v>
      </c>
      <c r="FI16" s="493">
        <v>0</v>
      </c>
      <c r="FJ16" s="45">
        <v>0</v>
      </c>
    </row>
    <row r="17" spans="1:166">
      <c r="A17" s="501" t="s">
        <v>1025</v>
      </c>
      <c r="B17" s="491" t="s">
        <v>157</v>
      </c>
      <c r="C17" s="491" t="s">
        <v>246</v>
      </c>
      <c r="D17" s="491" t="s">
        <v>820</v>
      </c>
      <c r="E17" s="491" t="s">
        <v>248</v>
      </c>
      <c r="F17" s="491" t="s">
        <v>887</v>
      </c>
      <c r="G17" s="491" t="s">
        <v>1558</v>
      </c>
      <c r="H17" s="491">
        <v>0</v>
      </c>
      <c r="I17" s="491">
        <v>0</v>
      </c>
      <c r="J17" s="491" t="s">
        <v>252</v>
      </c>
      <c r="K17" s="491">
        <v>0</v>
      </c>
      <c r="L17" s="491" t="s">
        <v>1564</v>
      </c>
      <c r="M17" s="511">
        <v>1</v>
      </c>
      <c r="N17" s="493">
        <v>0</v>
      </c>
      <c r="O17" s="494">
        <v>0</v>
      </c>
      <c r="P17" s="495">
        <v>0</v>
      </c>
      <c r="Q17" s="493">
        <v>0</v>
      </c>
      <c r="R17" s="493">
        <v>120</v>
      </c>
      <c r="S17" s="496">
        <v>1</v>
      </c>
      <c r="T17" s="512">
        <v>1</v>
      </c>
      <c r="U17" s="491">
        <v>0</v>
      </c>
      <c r="V17" s="493">
        <v>61853.146260260481</v>
      </c>
      <c r="W17" s="493">
        <v>7422377.5512312558</v>
      </c>
      <c r="X17" s="493">
        <v>742237.75512312574</v>
      </c>
      <c r="Y17" s="493">
        <v>742237.75512312574</v>
      </c>
      <c r="Z17" s="493">
        <v>742237.75512312574</v>
      </c>
      <c r="AA17" s="493">
        <v>742237.75512312574</v>
      </c>
      <c r="AB17" s="493">
        <v>742237.75512312574</v>
      </c>
      <c r="AC17" s="493">
        <v>742237.75512312574</v>
      </c>
      <c r="AD17" s="493">
        <v>742237.75512312574</v>
      </c>
      <c r="AE17" s="493">
        <v>742237.75512312574</v>
      </c>
      <c r="AF17" s="493">
        <v>742237.75512312574</v>
      </c>
      <c r="AG17" s="493">
        <v>742237.75512312574</v>
      </c>
      <c r="AH17" s="493">
        <v>0</v>
      </c>
      <c r="AI17" s="493">
        <v>61853.146260260481</v>
      </c>
      <c r="AJ17" s="493">
        <v>61853.146260260481</v>
      </c>
      <c r="AK17" s="493">
        <v>61853.146260260481</v>
      </c>
      <c r="AL17" s="493">
        <v>61853.146260260481</v>
      </c>
      <c r="AM17" s="493">
        <v>61853.146260260481</v>
      </c>
      <c r="AN17" s="493">
        <v>61853.146260260481</v>
      </c>
      <c r="AO17" s="493">
        <v>61853.146260260481</v>
      </c>
      <c r="AP17" s="493">
        <v>61853.146260260481</v>
      </c>
      <c r="AQ17" s="493">
        <v>61853.146260260481</v>
      </c>
      <c r="AR17" s="493">
        <v>61853.146260260481</v>
      </c>
      <c r="AS17" s="493">
        <v>61853.146260260481</v>
      </c>
      <c r="AT17" s="493">
        <v>61853.146260260481</v>
      </c>
      <c r="AU17" s="493">
        <v>61853.146260260481</v>
      </c>
      <c r="AV17" s="493">
        <v>61853.146260260481</v>
      </c>
      <c r="AW17" s="493">
        <v>61853.146260260481</v>
      </c>
      <c r="AX17" s="493">
        <v>61853.146260260481</v>
      </c>
      <c r="AY17" s="493">
        <v>61853.146260260481</v>
      </c>
      <c r="AZ17" s="493">
        <v>61853.146260260481</v>
      </c>
      <c r="BA17" s="493">
        <v>61853.146260260481</v>
      </c>
      <c r="BB17" s="493">
        <v>61853.146260260481</v>
      </c>
      <c r="BC17" s="493">
        <v>61853.146260260481</v>
      </c>
      <c r="BD17" s="493">
        <v>61853.146260260481</v>
      </c>
      <c r="BE17" s="493">
        <v>61853.146260260481</v>
      </c>
      <c r="BF17" s="493">
        <v>61853.146260260481</v>
      </c>
      <c r="BG17" s="493">
        <v>61853.146260260481</v>
      </c>
      <c r="BH17" s="493">
        <v>61853.146260260481</v>
      </c>
      <c r="BI17" s="493">
        <v>61853.146260260481</v>
      </c>
      <c r="BJ17" s="493">
        <v>61853.146260260481</v>
      </c>
      <c r="BK17" s="493">
        <v>61853.146260260481</v>
      </c>
      <c r="BL17" s="493">
        <v>61853.146260260481</v>
      </c>
      <c r="BM17" s="493">
        <v>61853.146260260481</v>
      </c>
      <c r="BN17" s="493">
        <v>61853.146260260481</v>
      </c>
      <c r="BO17" s="493">
        <v>61853.146260260481</v>
      </c>
      <c r="BP17" s="493">
        <v>61853.146260260481</v>
      </c>
      <c r="BQ17" s="493">
        <v>61853.146260260481</v>
      </c>
      <c r="BR17" s="493">
        <v>61853.146260260481</v>
      </c>
      <c r="BS17" s="493">
        <v>61853.146260260481</v>
      </c>
      <c r="BT17" s="493">
        <v>61853.146260260481</v>
      </c>
      <c r="BU17" s="493">
        <v>61853.146260260481</v>
      </c>
      <c r="BV17" s="493">
        <v>61853.146260260481</v>
      </c>
      <c r="BW17" s="493">
        <v>61853.146260260481</v>
      </c>
      <c r="BX17" s="493">
        <v>61853.146260260481</v>
      </c>
      <c r="BY17" s="493">
        <v>61853.146260260481</v>
      </c>
      <c r="BZ17" s="493">
        <v>61853.146260260481</v>
      </c>
      <c r="CA17" s="493">
        <v>61853.146260260481</v>
      </c>
      <c r="CB17" s="493">
        <v>61853.146260260481</v>
      </c>
      <c r="CC17" s="493">
        <v>61853.146260260481</v>
      </c>
      <c r="CD17" s="493">
        <v>61853.146260260481</v>
      </c>
      <c r="CE17" s="493">
        <v>61853.146260260481</v>
      </c>
      <c r="CF17" s="493">
        <v>61853.146260260481</v>
      </c>
      <c r="CG17" s="493">
        <v>61853.146260260481</v>
      </c>
      <c r="CH17" s="493">
        <v>61853.146260260481</v>
      </c>
      <c r="CI17" s="493">
        <v>61853.146260260481</v>
      </c>
      <c r="CJ17" s="493">
        <v>61853.146260260481</v>
      </c>
      <c r="CK17" s="493">
        <v>61853.146260260481</v>
      </c>
      <c r="CL17" s="493">
        <v>61853.146260260481</v>
      </c>
      <c r="CM17" s="493">
        <v>61853.146260260481</v>
      </c>
      <c r="CN17" s="493">
        <v>61853.146260260481</v>
      </c>
      <c r="CO17" s="493">
        <v>61853.146260260481</v>
      </c>
      <c r="CP17" s="493">
        <v>61853.146260260481</v>
      </c>
      <c r="CQ17" s="493">
        <v>61853.146260260481</v>
      </c>
      <c r="CR17" s="493">
        <v>61853.146260260481</v>
      </c>
      <c r="CS17" s="493">
        <v>61853.146260260481</v>
      </c>
      <c r="CT17" s="493">
        <v>61853.146260260481</v>
      </c>
      <c r="CU17" s="493">
        <v>61853.146260260481</v>
      </c>
      <c r="CV17" s="493">
        <v>61853.146260260481</v>
      </c>
      <c r="CW17" s="493">
        <v>61853.146260260481</v>
      </c>
      <c r="CX17" s="493">
        <v>61853.146260260481</v>
      </c>
      <c r="CY17" s="493">
        <v>61853.146260260481</v>
      </c>
      <c r="CZ17" s="493">
        <v>61853.146260260481</v>
      </c>
      <c r="DA17" s="493">
        <v>61853.146260260481</v>
      </c>
      <c r="DB17" s="493">
        <v>61853.146260260481</v>
      </c>
      <c r="DC17" s="493">
        <v>61853.146260260481</v>
      </c>
      <c r="DD17" s="493">
        <v>61853.146260260481</v>
      </c>
      <c r="DE17" s="493">
        <v>61853.146260260481</v>
      </c>
      <c r="DF17" s="493">
        <v>61853.146260260481</v>
      </c>
      <c r="DG17" s="493">
        <v>61853.146260260481</v>
      </c>
      <c r="DH17" s="493">
        <v>61853.146260260481</v>
      </c>
      <c r="DI17" s="493">
        <v>61853.146260260481</v>
      </c>
      <c r="DJ17" s="493">
        <v>61853.146260260481</v>
      </c>
      <c r="DK17" s="493">
        <v>61853.146260260481</v>
      </c>
      <c r="DL17" s="493">
        <v>61853.146260260481</v>
      </c>
      <c r="DM17" s="493">
        <v>61853.146260260481</v>
      </c>
      <c r="DN17" s="493">
        <v>61853.146260260481</v>
      </c>
      <c r="DO17" s="493">
        <v>61853.146260260481</v>
      </c>
      <c r="DP17" s="493">
        <v>61853.146260260481</v>
      </c>
      <c r="DQ17" s="493">
        <v>61853.146260260481</v>
      </c>
      <c r="DR17" s="493">
        <v>61853.146260260481</v>
      </c>
      <c r="DS17" s="493">
        <v>61853.146260260481</v>
      </c>
      <c r="DT17" s="493">
        <v>61853.146260260481</v>
      </c>
      <c r="DU17" s="493">
        <v>61853.146260260481</v>
      </c>
      <c r="DV17" s="493">
        <v>61853.146260260481</v>
      </c>
      <c r="DW17" s="493">
        <v>61853.146260260481</v>
      </c>
      <c r="DX17" s="493">
        <v>61853.146260260481</v>
      </c>
      <c r="DY17" s="493">
        <v>61853.146260260481</v>
      </c>
      <c r="DZ17" s="493">
        <v>61853.146260260481</v>
      </c>
      <c r="EA17" s="493">
        <v>61853.146260260481</v>
      </c>
      <c r="EB17" s="493">
        <v>61853.146260260481</v>
      </c>
      <c r="EC17" s="493">
        <v>61853.146260260481</v>
      </c>
      <c r="ED17" s="493">
        <v>61853.146260260481</v>
      </c>
      <c r="EE17" s="493">
        <v>61853.146260260481</v>
      </c>
      <c r="EF17" s="493">
        <v>61853.146260260481</v>
      </c>
      <c r="EG17" s="493">
        <v>61853.146260260481</v>
      </c>
      <c r="EH17" s="493">
        <v>61853.146260260481</v>
      </c>
      <c r="EI17" s="493">
        <v>61853.146260260481</v>
      </c>
      <c r="EJ17" s="493">
        <v>61853.146260260481</v>
      </c>
      <c r="EK17" s="493">
        <v>61853.146260260481</v>
      </c>
      <c r="EL17" s="493">
        <v>61853.146260260481</v>
      </c>
      <c r="EM17" s="493">
        <v>61853.146260260481</v>
      </c>
      <c r="EN17" s="493">
        <v>61853.146260260481</v>
      </c>
      <c r="EO17" s="493">
        <v>61853.146260260481</v>
      </c>
      <c r="EP17" s="493">
        <v>61853.146260260481</v>
      </c>
      <c r="EQ17" s="493">
        <v>61853.146260260481</v>
      </c>
      <c r="ER17" s="493">
        <v>61853.146260260481</v>
      </c>
      <c r="ES17" s="493">
        <v>61853.146260260481</v>
      </c>
      <c r="ET17" s="493">
        <v>61853.146260260481</v>
      </c>
      <c r="EU17" s="493">
        <v>61853.146260260481</v>
      </c>
      <c r="EV17" s="493">
        <v>61853.146260260481</v>
      </c>
      <c r="EW17" s="493">
        <v>61853.146260260481</v>
      </c>
      <c r="EX17" s="493">
        <v>61853.146260260481</v>
      </c>
      <c r="EY17" s="493">
        <v>0</v>
      </c>
      <c r="EZ17" s="493">
        <v>0</v>
      </c>
      <c r="FA17" s="493">
        <v>0</v>
      </c>
      <c r="FB17" s="493">
        <v>0</v>
      </c>
      <c r="FC17" s="493">
        <v>0</v>
      </c>
      <c r="FD17" s="493">
        <v>0</v>
      </c>
      <c r="FE17" s="493">
        <v>0</v>
      </c>
      <c r="FF17" s="493">
        <v>0</v>
      </c>
      <c r="FG17" s="493">
        <v>0</v>
      </c>
      <c r="FH17" s="493">
        <v>0</v>
      </c>
      <c r="FI17" s="493">
        <v>0</v>
      </c>
      <c r="FJ17" s="45">
        <v>0</v>
      </c>
    </row>
    <row r="18" spans="1:166">
      <c r="A18" s="501" t="s">
        <v>1026</v>
      </c>
      <c r="B18" s="491" t="s">
        <v>1549</v>
      </c>
      <c r="C18" s="491" t="s">
        <v>246</v>
      </c>
      <c r="D18" s="491" t="s">
        <v>820</v>
      </c>
      <c r="E18" s="491" t="s">
        <v>248</v>
      </c>
      <c r="F18" s="498" t="s">
        <v>249</v>
      </c>
      <c r="G18" s="491" t="s">
        <v>1559</v>
      </c>
      <c r="H18" s="491">
        <v>0</v>
      </c>
      <c r="I18" s="491">
        <v>0</v>
      </c>
      <c r="J18" s="491" t="s">
        <v>252</v>
      </c>
      <c r="K18" s="491">
        <v>0</v>
      </c>
      <c r="L18" s="491" t="s">
        <v>1565</v>
      </c>
      <c r="M18" s="511">
        <v>1</v>
      </c>
      <c r="N18" s="491">
        <v>0</v>
      </c>
      <c r="O18" s="494">
        <v>0</v>
      </c>
      <c r="P18" s="495">
        <v>0</v>
      </c>
      <c r="Q18" s="493">
        <v>0</v>
      </c>
      <c r="R18" s="494">
        <v>120</v>
      </c>
      <c r="S18" s="496">
        <v>1</v>
      </c>
      <c r="T18" s="512">
        <v>1</v>
      </c>
      <c r="U18" s="491">
        <v>0</v>
      </c>
      <c r="V18" s="493">
        <v>4020.4545069169312</v>
      </c>
      <c r="W18" s="493">
        <v>482454.54083003174</v>
      </c>
      <c r="X18" s="493">
        <v>48245.454083003184</v>
      </c>
      <c r="Y18" s="493">
        <v>48245.454083003184</v>
      </c>
      <c r="Z18" s="493">
        <v>48245.454083003184</v>
      </c>
      <c r="AA18" s="493">
        <v>48245.454083003184</v>
      </c>
      <c r="AB18" s="493">
        <v>48245.454083003184</v>
      </c>
      <c r="AC18" s="493">
        <v>48245.454083003184</v>
      </c>
      <c r="AD18" s="493">
        <v>48245.454083003184</v>
      </c>
      <c r="AE18" s="493">
        <v>48245.454083003184</v>
      </c>
      <c r="AF18" s="493">
        <v>48245.454083003184</v>
      </c>
      <c r="AG18" s="493">
        <v>48245.454083003184</v>
      </c>
      <c r="AH18" s="493">
        <v>0</v>
      </c>
      <c r="AI18" s="493">
        <v>4020.4545069169312</v>
      </c>
      <c r="AJ18" s="493">
        <v>4020.4545069169312</v>
      </c>
      <c r="AK18" s="493">
        <v>4020.4545069169312</v>
      </c>
      <c r="AL18" s="493">
        <v>4020.4545069169312</v>
      </c>
      <c r="AM18" s="493">
        <v>4020.4545069169312</v>
      </c>
      <c r="AN18" s="493">
        <v>4020.4545069169312</v>
      </c>
      <c r="AO18" s="493">
        <v>4020.4545069169312</v>
      </c>
      <c r="AP18" s="493">
        <v>4020.4545069169312</v>
      </c>
      <c r="AQ18" s="493">
        <v>4020.4545069169312</v>
      </c>
      <c r="AR18" s="493">
        <v>4020.4545069169312</v>
      </c>
      <c r="AS18" s="493">
        <v>4020.4545069169312</v>
      </c>
      <c r="AT18" s="493">
        <v>4020.4545069169312</v>
      </c>
      <c r="AU18" s="493">
        <v>4020.4545069169312</v>
      </c>
      <c r="AV18" s="493">
        <v>4020.4545069169312</v>
      </c>
      <c r="AW18" s="493">
        <v>4020.4545069169312</v>
      </c>
      <c r="AX18" s="493">
        <v>4020.4545069169312</v>
      </c>
      <c r="AY18" s="493">
        <v>4020.4545069169312</v>
      </c>
      <c r="AZ18" s="493">
        <v>4020.4545069169312</v>
      </c>
      <c r="BA18" s="493">
        <v>4020.4545069169312</v>
      </c>
      <c r="BB18" s="493">
        <v>4020.4545069169312</v>
      </c>
      <c r="BC18" s="493">
        <v>4020.4545069169312</v>
      </c>
      <c r="BD18" s="493">
        <v>4020.4545069169312</v>
      </c>
      <c r="BE18" s="493">
        <v>4020.4545069169312</v>
      </c>
      <c r="BF18" s="493">
        <v>4020.4545069169312</v>
      </c>
      <c r="BG18" s="493">
        <v>4020.4545069169312</v>
      </c>
      <c r="BH18" s="493">
        <v>4020.4545069169312</v>
      </c>
      <c r="BI18" s="493">
        <v>4020.4545069169312</v>
      </c>
      <c r="BJ18" s="493">
        <v>4020.4545069169312</v>
      </c>
      <c r="BK18" s="493">
        <v>4020.4545069169312</v>
      </c>
      <c r="BL18" s="493">
        <v>4020.4545069169312</v>
      </c>
      <c r="BM18" s="493">
        <v>4020.4545069169312</v>
      </c>
      <c r="BN18" s="493">
        <v>4020.4545069169312</v>
      </c>
      <c r="BO18" s="493">
        <v>4020.4545069169312</v>
      </c>
      <c r="BP18" s="493">
        <v>4020.4545069169312</v>
      </c>
      <c r="BQ18" s="493">
        <v>4020.4545069169312</v>
      </c>
      <c r="BR18" s="493">
        <v>4020.4545069169312</v>
      </c>
      <c r="BS18" s="493">
        <v>4020.4545069169312</v>
      </c>
      <c r="BT18" s="493">
        <v>4020.4545069169312</v>
      </c>
      <c r="BU18" s="493">
        <v>4020.4545069169312</v>
      </c>
      <c r="BV18" s="493">
        <v>4020.4545069169312</v>
      </c>
      <c r="BW18" s="493">
        <v>4020.4545069169312</v>
      </c>
      <c r="BX18" s="493">
        <v>4020.4545069169312</v>
      </c>
      <c r="BY18" s="493">
        <v>4020.4545069169312</v>
      </c>
      <c r="BZ18" s="493">
        <v>4020.4545069169312</v>
      </c>
      <c r="CA18" s="493">
        <v>4020.4545069169312</v>
      </c>
      <c r="CB18" s="493">
        <v>4020.4545069169312</v>
      </c>
      <c r="CC18" s="493">
        <v>4020.4545069169312</v>
      </c>
      <c r="CD18" s="493">
        <v>4020.4545069169312</v>
      </c>
      <c r="CE18" s="493">
        <v>4020.4545069169312</v>
      </c>
      <c r="CF18" s="493">
        <v>4020.4545069169312</v>
      </c>
      <c r="CG18" s="493">
        <v>4020.4545069169312</v>
      </c>
      <c r="CH18" s="493">
        <v>4020.4545069169312</v>
      </c>
      <c r="CI18" s="493">
        <v>4020.4545069169312</v>
      </c>
      <c r="CJ18" s="493">
        <v>4020.4545069169312</v>
      </c>
      <c r="CK18" s="493">
        <v>4020.4545069169312</v>
      </c>
      <c r="CL18" s="493">
        <v>4020.4545069169312</v>
      </c>
      <c r="CM18" s="493">
        <v>4020.4545069169312</v>
      </c>
      <c r="CN18" s="493">
        <v>4020.4545069169312</v>
      </c>
      <c r="CO18" s="493">
        <v>4020.4545069169312</v>
      </c>
      <c r="CP18" s="493">
        <v>4020.4545069169312</v>
      </c>
      <c r="CQ18" s="493">
        <v>4020.4545069169312</v>
      </c>
      <c r="CR18" s="493">
        <v>4020.4545069169312</v>
      </c>
      <c r="CS18" s="493">
        <v>4020.4545069169312</v>
      </c>
      <c r="CT18" s="493">
        <v>4020.4545069169312</v>
      </c>
      <c r="CU18" s="493">
        <v>4020.4545069169312</v>
      </c>
      <c r="CV18" s="493">
        <v>4020.4545069169312</v>
      </c>
      <c r="CW18" s="493">
        <v>4020.4545069169312</v>
      </c>
      <c r="CX18" s="493">
        <v>4020.4545069169312</v>
      </c>
      <c r="CY18" s="493">
        <v>4020.4545069169312</v>
      </c>
      <c r="CZ18" s="493">
        <v>4020.4545069169312</v>
      </c>
      <c r="DA18" s="493">
        <v>4020.4545069169312</v>
      </c>
      <c r="DB18" s="493">
        <v>4020.4545069169312</v>
      </c>
      <c r="DC18" s="493">
        <v>4020.4545069169312</v>
      </c>
      <c r="DD18" s="493">
        <v>4020.4545069169312</v>
      </c>
      <c r="DE18" s="493">
        <v>4020.4545069169312</v>
      </c>
      <c r="DF18" s="493">
        <v>4020.4545069169312</v>
      </c>
      <c r="DG18" s="493">
        <v>4020.4545069169312</v>
      </c>
      <c r="DH18" s="493">
        <v>4020.4545069169312</v>
      </c>
      <c r="DI18" s="493">
        <v>4020.4545069169312</v>
      </c>
      <c r="DJ18" s="493">
        <v>4020.4545069169312</v>
      </c>
      <c r="DK18" s="493">
        <v>4020.4545069169312</v>
      </c>
      <c r="DL18" s="493">
        <v>4020.4545069169312</v>
      </c>
      <c r="DM18" s="493">
        <v>4020.4545069169312</v>
      </c>
      <c r="DN18" s="493">
        <v>4020.4545069169312</v>
      </c>
      <c r="DO18" s="493">
        <v>4020.4545069169312</v>
      </c>
      <c r="DP18" s="493">
        <v>4020.4545069169312</v>
      </c>
      <c r="DQ18" s="493">
        <v>4020.4545069169312</v>
      </c>
      <c r="DR18" s="493">
        <v>4020.4545069169312</v>
      </c>
      <c r="DS18" s="493">
        <v>4020.4545069169312</v>
      </c>
      <c r="DT18" s="493">
        <v>4020.4545069169312</v>
      </c>
      <c r="DU18" s="493">
        <v>4020.4545069169312</v>
      </c>
      <c r="DV18" s="493">
        <v>4020.4545069169312</v>
      </c>
      <c r="DW18" s="493">
        <v>4020.4545069169312</v>
      </c>
      <c r="DX18" s="493">
        <v>4020.4545069169312</v>
      </c>
      <c r="DY18" s="493">
        <v>4020.4545069169312</v>
      </c>
      <c r="DZ18" s="493">
        <v>4020.4545069169312</v>
      </c>
      <c r="EA18" s="493">
        <v>4020.4545069169312</v>
      </c>
      <c r="EB18" s="493">
        <v>4020.4545069169312</v>
      </c>
      <c r="EC18" s="493">
        <v>4020.4545069169312</v>
      </c>
      <c r="ED18" s="493">
        <v>4020.4545069169312</v>
      </c>
      <c r="EE18" s="493">
        <v>4020.4545069169312</v>
      </c>
      <c r="EF18" s="493">
        <v>4020.4545069169312</v>
      </c>
      <c r="EG18" s="493">
        <v>4020.4545069169312</v>
      </c>
      <c r="EH18" s="493">
        <v>4020.4545069169312</v>
      </c>
      <c r="EI18" s="493">
        <v>4020.4545069169312</v>
      </c>
      <c r="EJ18" s="493">
        <v>4020.4545069169312</v>
      </c>
      <c r="EK18" s="493">
        <v>4020.4545069169312</v>
      </c>
      <c r="EL18" s="493">
        <v>4020.4545069169312</v>
      </c>
      <c r="EM18" s="493">
        <v>4020.4545069169312</v>
      </c>
      <c r="EN18" s="493">
        <v>4020.4545069169312</v>
      </c>
      <c r="EO18" s="493">
        <v>4020.4545069169312</v>
      </c>
      <c r="EP18" s="493">
        <v>4020.4545069169312</v>
      </c>
      <c r="EQ18" s="493">
        <v>4020.4545069169312</v>
      </c>
      <c r="ER18" s="493">
        <v>4020.4545069169312</v>
      </c>
      <c r="ES18" s="493">
        <v>4020.4545069169312</v>
      </c>
      <c r="ET18" s="493">
        <v>4020.4545069169312</v>
      </c>
      <c r="EU18" s="493">
        <v>4020.4545069169312</v>
      </c>
      <c r="EV18" s="493">
        <v>4020.4545069169312</v>
      </c>
      <c r="EW18" s="493">
        <v>4020.4545069169312</v>
      </c>
      <c r="EX18" s="493">
        <v>4020.4545069169312</v>
      </c>
      <c r="EY18" s="493">
        <v>0</v>
      </c>
      <c r="EZ18" s="493">
        <v>0</v>
      </c>
      <c r="FA18" s="493">
        <v>0</v>
      </c>
      <c r="FB18" s="493">
        <v>0</v>
      </c>
      <c r="FC18" s="493">
        <v>0</v>
      </c>
      <c r="FD18" s="493">
        <v>0</v>
      </c>
      <c r="FE18" s="493">
        <v>0</v>
      </c>
      <c r="FF18" s="493">
        <v>0</v>
      </c>
      <c r="FG18" s="493">
        <v>0</v>
      </c>
      <c r="FH18" s="493">
        <v>0</v>
      </c>
      <c r="FI18" s="493">
        <v>0</v>
      </c>
      <c r="FJ18" s="45">
        <v>0</v>
      </c>
    </row>
    <row r="19" spans="1:166">
      <c r="A19" s="501" t="s">
        <v>1027</v>
      </c>
      <c r="B19" s="491" t="s">
        <v>157</v>
      </c>
      <c r="C19" s="491" t="s">
        <v>246</v>
      </c>
      <c r="D19" s="491" t="s">
        <v>820</v>
      </c>
      <c r="E19" s="491" t="s">
        <v>248</v>
      </c>
      <c r="F19" s="498" t="s">
        <v>250</v>
      </c>
      <c r="G19" s="491" t="s">
        <v>897</v>
      </c>
      <c r="H19" s="491">
        <v>0</v>
      </c>
      <c r="I19" s="491">
        <v>0</v>
      </c>
      <c r="J19" s="491" t="s">
        <v>252</v>
      </c>
      <c r="K19" s="491">
        <v>0</v>
      </c>
      <c r="L19" s="491" t="s">
        <v>259</v>
      </c>
      <c r="M19" s="511">
        <v>1</v>
      </c>
      <c r="N19" s="491">
        <v>0</v>
      </c>
      <c r="O19" s="494">
        <v>0</v>
      </c>
      <c r="P19" s="495">
        <v>0</v>
      </c>
      <c r="Q19" s="493">
        <v>0</v>
      </c>
      <c r="R19" s="494">
        <v>120</v>
      </c>
      <c r="S19" s="496">
        <v>1</v>
      </c>
      <c r="T19" s="512">
        <v>1</v>
      </c>
      <c r="U19" s="491">
        <v>0</v>
      </c>
      <c r="V19" s="493">
        <v>154632.86565065122</v>
      </c>
      <c r="W19" s="493">
        <v>18555943.878078148</v>
      </c>
      <c r="X19" s="493">
        <v>1855594.3878078151</v>
      </c>
      <c r="Y19" s="493">
        <v>1855594.3878078151</v>
      </c>
      <c r="Z19" s="493">
        <v>1855594.3878078151</v>
      </c>
      <c r="AA19" s="493">
        <v>1855594.3878078151</v>
      </c>
      <c r="AB19" s="493">
        <v>1855594.3878078151</v>
      </c>
      <c r="AC19" s="493">
        <v>1855594.3878078151</v>
      </c>
      <c r="AD19" s="493">
        <v>1855594.3878078151</v>
      </c>
      <c r="AE19" s="493">
        <v>1855594.3878078151</v>
      </c>
      <c r="AF19" s="493">
        <v>1855594.3878078151</v>
      </c>
      <c r="AG19" s="493">
        <v>1855594.3878078151</v>
      </c>
      <c r="AH19" s="493">
        <v>0</v>
      </c>
      <c r="AI19" s="493">
        <v>154632.86565065122</v>
      </c>
      <c r="AJ19" s="493">
        <v>154632.86565065122</v>
      </c>
      <c r="AK19" s="493">
        <v>154632.86565065122</v>
      </c>
      <c r="AL19" s="493">
        <v>154632.86565065122</v>
      </c>
      <c r="AM19" s="493">
        <v>154632.86565065122</v>
      </c>
      <c r="AN19" s="493">
        <v>154632.86565065122</v>
      </c>
      <c r="AO19" s="493">
        <v>154632.86565065122</v>
      </c>
      <c r="AP19" s="493">
        <v>154632.86565065122</v>
      </c>
      <c r="AQ19" s="493">
        <v>154632.86565065122</v>
      </c>
      <c r="AR19" s="493">
        <v>154632.86565065122</v>
      </c>
      <c r="AS19" s="493">
        <v>154632.86565065122</v>
      </c>
      <c r="AT19" s="493">
        <v>154632.86565065122</v>
      </c>
      <c r="AU19" s="493">
        <v>154632.86565065122</v>
      </c>
      <c r="AV19" s="493">
        <v>154632.86565065122</v>
      </c>
      <c r="AW19" s="493">
        <v>154632.86565065122</v>
      </c>
      <c r="AX19" s="493">
        <v>154632.86565065122</v>
      </c>
      <c r="AY19" s="493">
        <v>154632.86565065122</v>
      </c>
      <c r="AZ19" s="493">
        <v>154632.86565065122</v>
      </c>
      <c r="BA19" s="493">
        <v>154632.86565065122</v>
      </c>
      <c r="BB19" s="493">
        <v>154632.86565065122</v>
      </c>
      <c r="BC19" s="493">
        <v>154632.86565065122</v>
      </c>
      <c r="BD19" s="493">
        <v>154632.86565065122</v>
      </c>
      <c r="BE19" s="493">
        <v>154632.86565065122</v>
      </c>
      <c r="BF19" s="493">
        <v>154632.86565065122</v>
      </c>
      <c r="BG19" s="493">
        <v>154632.86565065122</v>
      </c>
      <c r="BH19" s="493">
        <v>154632.86565065122</v>
      </c>
      <c r="BI19" s="493">
        <v>154632.86565065122</v>
      </c>
      <c r="BJ19" s="493">
        <v>154632.86565065122</v>
      </c>
      <c r="BK19" s="493">
        <v>154632.86565065122</v>
      </c>
      <c r="BL19" s="493">
        <v>154632.86565065122</v>
      </c>
      <c r="BM19" s="493">
        <v>154632.86565065122</v>
      </c>
      <c r="BN19" s="493">
        <v>154632.86565065122</v>
      </c>
      <c r="BO19" s="493">
        <v>154632.86565065122</v>
      </c>
      <c r="BP19" s="493">
        <v>154632.86565065122</v>
      </c>
      <c r="BQ19" s="493">
        <v>154632.86565065122</v>
      </c>
      <c r="BR19" s="493">
        <v>154632.86565065122</v>
      </c>
      <c r="BS19" s="493">
        <v>154632.86565065122</v>
      </c>
      <c r="BT19" s="493">
        <v>154632.86565065122</v>
      </c>
      <c r="BU19" s="493">
        <v>154632.86565065122</v>
      </c>
      <c r="BV19" s="493">
        <v>154632.86565065122</v>
      </c>
      <c r="BW19" s="493">
        <v>154632.86565065122</v>
      </c>
      <c r="BX19" s="493">
        <v>154632.86565065122</v>
      </c>
      <c r="BY19" s="493">
        <v>154632.86565065122</v>
      </c>
      <c r="BZ19" s="493">
        <v>154632.86565065122</v>
      </c>
      <c r="CA19" s="493">
        <v>154632.86565065122</v>
      </c>
      <c r="CB19" s="493">
        <v>154632.86565065122</v>
      </c>
      <c r="CC19" s="493">
        <v>154632.86565065122</v>
      </c>
      <c r="CD19" s="493">
        <v>154632.86565065122</v>
      </c>
      <c r="CE19" s="493">
        <v>154632.86565065122</v>
      </c>
      <c r="CF19" s="493">
        <v>154632.86565065122</v>
      </c>
      <c r="CG19" s="493">
        <v>154632.86565065122</v>
      </c>
      <c r="CH19" s="493">
        <v>154632.86565065122</v>
      </c>
      <c r="CI19" s="493">
        <v>154632.86565065122</v>
      </c>
      <c r="CJ19" s="493">
        <v>154632.86565065122</v>
      </c>
      <c r="CK19" s="493">
        <v>154632.86565065122</v>
      </c>
      <c r="CL19" s="493">
        <v>154632.86565065122</v>
      </c>
      <c r="CM19" s="493">
        <v>154632.86565065122</v>
      </c>
      <c r="CN19" s="493">
        <v>154632.86565065122</v>
      </c>
      <c r="CO19" s="493">
        <v>154632.86565065122</v>
      </c>
      <c r="CP19" s="493">
        <v>154632.86565065122</v>
      </c>
      <c r="CQ19" s="493">
        <v>154632.86565065122</v>
      </c>
      <c r="CR19" s="493">
        <v>154632.86565065122</v>
      </c>
      <c r="CS19" s="493">
        <v>154632.86565065122</v>
      </c>
      <c r="CT19" s="493">
        <v>154632.86565065122</v>
      </c>
      <c r="CU19" s="493">
        <v>154632.86565065122</v>
      </c>
      <c r="CV19" s="493">
        <v>154632.86565065122</v>
      </c>
      <c r="CW19" s="493">
        <v>154632.86565065122</v>
      </c>
      <c r="CX19" s="493">
        <v>154632.86565065122</v>
      </c>
      <c r="CY19" s="493">
        <v>154632.86565065122</v>
      </c>
      <c r="CZ19" s="493">
        <v>154632.86565065122</v>
      </c>
      <c r="DA19" s="493">
        <v>154632.86565065122</v>
      </c>
      <c r="DB19" s="493">
        <v>154632.86565065122</v>
      </c>
      <c r="DC19" s="493">
        <v>154632.86565065122</v>
      </c>
      <c r="DD19" s="493">
        <v>154632.86565065122</v>
      </c>
      <c r="DE19" s="493">
        <v>154632.86565065122</v>
      </c>
      <c r="DF19" s="493">
        <v>154632.86565065122</v>
      </c>
      <c r="DG19" s="493">
        <v>154632.86565065122</v>
      </c>
      <c r="DH19" s="493">
        <v>154632.86565065122</v>
      </c>
      <c r="DI19" s="493">
        <v>154632.86565065122</v>
      </c>
      <c r="DJ19" s="493">
        <v>154632.86565065122</v>
      </c>
      <c r="DK19" s="493">
        <v>154632.86565065122</v>
      </c>
      <c r="DL19" s="493">
        <v>154632.86565065122</v>
      </c>
      <c r="DM19" s="493">
        <v>154632.86565065122</v>
      </c>
      <c r="DN19" s="493">
        <v>154632.86565065122</v>
      </c>
      <c r="DO19" s="493">
        <v>154632.86565065122</v>
      </c>
      <c r="DP19" s="493">
        <v>154632.86565065122</v>
      </c>
      <c r="DQ19" s="493">
        <v>154632.86565065122</v>
      </c>
      <c r="DR19" s="493">
        <v>154632.86565065122</v>
      </c>
      <c r="DS19" s="493">
        <v>154632.86565065122</v>
      </c>
      <c r="DT19" s="493">
        <v>154632.86565065122</v>
      </c>
      <c r="DU19" s="493">
        <v>154632.86565065122</v>
      </c>
      <c r="DV19" s="493">
        <v>154632.86565065122</v>
      </c>
      <c r="DW19" s="493">
        <v>154632.86565065122</v>
      </c>
      <c r="DX19" s="493">
        <v>154632.86565065122</v>
      </c>
      <c r="DY19" s="493">
        <v>154632.86565065122</v>
      </c>
      <c r="DZ19" s="493">
        <v>154632.86565065122</v>
      </c>
      <c r="EA19" s="493">
        <v>154632.86565065122</v>
      </c>
      <c r="EB19" s="493">
        <v>154632.86565065122</v>
      </c>
      <c r="EC19" s="493">
        <v>154632.86565065122</v>
      </c>
      <c r="ED19" s="493">
        <v>154632.86565065122</v>
      </c>
      <c r="EE19" s="493">
        <v>154632.86565065122</v>
      </c>
      <c r="EF19" s="493">
        <v>154632.86565065122</v>
      </c>
      <c r="EG19" s="493">
        <v>154632.86565065122</v>
      </c>
      <c r="EH19" s="493">
        <v>154632.86565065122</v>
      </c>
      <c r="EI19" s="493">
        <v>154632.86565065122</v>
      </c>
      <c r="EJ19" s="493">
        <v>154632.86565065122</v>
      </c>
      <c r="EK19" s="493">
        <v>154632.86565065122</v>
      </c>
      <c r="EL19" s="493">
        <v>154632.86565065122</v>
      </c>
      <c r="EM19" s="493">
        <v>154632.86565065122</v>
      </c>
      <c r="EN19" s="493">
        <v>154632.86565065122</v>
      </c>
      <c r="EO19" s="493">
        <v>154632.86565065122</v>
      </c>
      <c r="EP19" s="493">
        <v>154632.86565065122</v>
      </c>
      <c r="EQ19" s="493">
        <v>154632.86565065122</v>
      </c>
      <c r="ER19" s="493">
        <v>154632.86565065122</v>
      </c>
      <c r="ES19" s="493">
        <v>154632.86565065122</v>
      </c>
      <c r="ET19" s="493">
        <v>154632.86565065122</v>
      </c>
      <c r="EU19" s="493">
        <v>154632.86565065122</v>
      </c>
      <c r="EV19" s="493">
        <v>154632.86565065122</v>
      </c>
      <c r="EW19" s="493">
        <v>154632.86565065122</v>
      </c>
      <c r="EX19" s="493">
        <v>154632.86565065122</v>
      </c>
      <c r="EY19" s="493">
        <v>0</v>
      </c>
      <c r="EZ19" s="493">
        <v>0</v>
      </c>
      <c r="FA19" s="493">
        <v>0</v>
      </c>
      <c r="FB19" s="493">
        <v>0</v>
      </c>
      <c r="FC19" s="493">
        <v>0</v>
      </c>
      <c r="FD19" s="493">
        <v>0</v>
      </c>
      <c r="FE19" s="493">
        <v>0</v>
      </c>
      <c r="FF19" s="493">
        <v>0</v>
      </c>
      <c r="FG19" s="493">
        <v>0</v>
      </c>
      <c r="FH19" s="493">
        <v>0</v>
      </c>
      <c r="FI19" s="493">
        <v>0</v>
      </c>
      <c r="FJ19" s="45">
        <v>0</v>
      </c>
    </row>
    <row r="20" spans="1:166">
      <c r="A20" s="501" t="s">
        <v>1028</v>
      </c>
      <c r="B20" s="491" t="s">
        <v>1560</v>
      </c>
      <c r="C20" s="491" t="s">
        <v>246</v>
      </c>
      <c r="D20" s="491" t="s">
        <v>820</v>
      </c>
      <c r="E20" s="491" t="s">
        <v>248</v>
      </c>
      <c r="F20" s="491" t="s">
        <v>251</v>
      </c>
      <c r="G20" s="491">
        <v>0</v>
      </c>
      <c r="H20" s="491">
        <v>0</v>
      </c>
      <c r="I20" s="491">
        <v>0</v>
      </c>
      <c r="J20" s="491" t="s">
        <v>252</v>
      </c>
      <c r="K20" s="491">
        <v>0</v>
      </c>
      <c r="L20" s="491" t="s">
        <v>259</v>
      </c>
      <c r="M20" s="511">
        <v>1</v>
      </c>
      <c r="N20" s="491">
        <v>0</v>
      </c>
      <c r="O20" s="494">
        <v>0</v>
      </c>
      <c r="P20" s="495">
        <v>0</v>
      </c>
      <c r="Q20" s="493">
        <v>0</v>
      </c>
      <c r="R20" s="494">
        <v>120</v>
      </c>
      <c r="S20" s="496">
        <v>1</v>
      </c>
      <c r="T20" s="512">
        <v>1</v>
      </c>
      <c r="U20" s="491">
        <v>0</v>
      </c>
      <c r="V20" s="493">
        <v>2526585.9490557262</v>
      </c>
      <c r="W20" s="493">
        <v>303190313.88668722</v>
      </c>
      <c r="X20" s="493">
        <v>30319031.38866872</v>
      </c>
      <c r="Y20" s="493">
        <v>30319031.38866872</v>
      </c>
      <c r="Z20" s="493">
        <v>30319031.38866872</v>
      </c>
      <c r="AA20" s="493">
        <v>30319031.38866872</v>
      </c>
      <c r="AB20" s="493">
        <v>30319031.38866872</v>
      </c>
      <c r="AC20" s="493">
        <v>30319031.38866872</v>
      </c>
      <c r="AD20" s="493">
        <v>30319031.38866872</v>
      </c>
      <c r="AE20" s="493">
        <v>30319031.38866872</v>
      </c>
      <c r="AF20" s="493">
        <v>30319031.38866872</v>
      </c>
      <c r="AG20" s="493">
        <v>30319031.38866872</v>
      </c>
      <c r="AH20" s="493">
        <v>0</v>
      </c>
      <c r="AI20" s="493">
        <v>2526585.9490557262</v>
      </c>
      <c r="AJ20" s="493">
        <v>2526585.9490557262</v>
      </c>
      <c r="AK20" s="493">
        <v>2526585.9490557262</v>
      </c>
      <c r="AL20" s="493">
        <v>2526585.9490557262</v>
      </c>
      <c r="AM20" s="493">
        <v>2526585.9490557262</v>
      </c>
      <c r="AN20" s="493">
        <v>2526585.9490557262</v>
      </c>
      <c r="AO20" s="493">
        <v>2526585.9490557262</v>
      </c>
      <c r="AP20" s="493">
        <v>2526585.9490557262</v>
      </c>
      <c r="AQ20" s="493">
        <v>2526585.9490557262</v>
      </c>
      <c r="AR20" s="493">
        <v>2526585.9490557262</v>
      </c>
      <c r="AS20" s="493">
        <v>2526585.9490557262</v>
      </c>
      <c r="AT20" s="493">
        <v>2526585.9490557262</v>
      </c>
      <c r="AU20" s="493">
        <v>2526585.9490557262</v>
      </c>
      <c r="AV20" s="493">
        <v>2526585.9490557262</v>
      </c>
      <c r="AW20" s="493">
        <v>2526585.9490557262</v>
      </c>
      <c r="AX20" s="493">
        <v>2526585.9490557262</v>
      </c>
      <c r="AY20" s="493">
        <v>2526585.9490557262</v>
      </c>
      <c r="AZ20" s="493">
        <v>2526585.9490557262</v>
      </c>
      <c r="BA20" s="493">
        <v>2526585.9490557262</v>
      </c>
      <c r="BB20" s="493">
        <v>2526585.9490557262</v>
      </c>
      <c r="BC20" s="493">
        <v>2526585.9490557262</v>
      </c>
      <c r="BD20" s="493">
        <v>2526585.9490557262</v>
      </c>
      <c r="BE20" s="493">
        <v>2526585.9490557262</v>
      </c>
      <c r="BF20" s="493">
        <v>2526585.9490557262</v>
      </c>
      <c r="BG20" s="493">
        <v>2526585.9490557262</v>
      </c>
      <c r="BH20" s="493">
        <v>2526585.9490557262</v>
      </c>
      <c r="BI20" s="493">
        <v>2526585.9490557262</v>
      </c>
      <c r="BJ20" s="493">
        <v>2526585.9490557262</v>
      </c>
      <c r="BK20" s="493">
        <v>2526585.9490557262</v>
      </c>
      <c r="BL20" s="493">
        <v>2526585.9490557262</v>
      </c>
      <c r="BM20" s="493">
        <v>2526585.9490557262</v>
      </c>
      <c r="BN20" s="493">
        <v>2526585.9490557262</v>
      </c>
      <c r="BO20" s="493">
        <v>2526585.9490557262</v>
      </c>
      <c r="BP20" s="493">
        <v>2526585.9490557262</v>
      </c>
      <c r="BQ20" s="493">
        <v>2526585.9490557262</v>
      </c>
      <c r="BR20" s="493">
        <v>2526585.9490557262</v>
      </c>
      <c r="BS20" s="493">
        <v>2526585.9490557262</v>
      </c>
      <c r="BT20" s="493">
        <v>2526585.9490557262</v>
      </c>
      <c r="BU20" s="493">
        <v>2526585.9490557262</v>
      </c>
      <c r="BV20" s="493">
        <v>2526585.9490557262</v>
      </c>
      <c r="BW20" s="493">
        <v>2526585.9490557262</v>
      </c>
      <c r="BX20" s="493">
        <v>2526585.9490557262</v>
      </c>
      <c r="BY20" s="493">
        <v>2526585.9490557262</v>
      </c>
      <c r="BZ20" s="493">
        <v>2526585.9490557262</v>
      </c>
      <c r="CA20" s="493">
        <v>2526585.9490557262</v>
      </c>
      <c r="CB20" s="493">
        <v>2526585.9490557262</v>
      </c>
      <c r="CC20" s="493">
        <v>2526585.9490557262</v>
      </c>
      <c r="CD20" s="493">
        <v>2526585.9490557262</v>
      </c>
      <c r="CE20" s="493">
        <v>2526585.9490557262</v>
      </c>
      <c r="CF20" s="493">
        <v>2526585.9490557262</v>
      </c>
      <c r="CG20" s="493">
        <v>2526585.9490557262</v>
      </c>
      <c r="CH20" s="493">
        <v>2526585.9490557262</v>
      </c>
      <c r="CI20" s="493">
        <v>2526585.9490557262</v>
      </c>
      <c r="CJ20" s="493">
        <v>2526585.9490557262</v>
      </c>
      <c r="CK20" s="493">
        <v>2526585.9490557262</v>
      </c>
      <c r="CL20" s="493">
        <v>2526585.9490557262</v>
      </c>
      <c r="CM20" s="493">
        <v>2526585.9490557262</v>
      </c>
      <c r="CN20" s="493">
        <v>2526585.9490557262</v>
      </c>
      <c r="CO20" s="493">
        <v>2526585.9490557262</v>
      </c>
      <c r="CP20" s="493">
        <v>2526585.9490557262</v>
      </c>
      <c r="CQ20" s="493">
        <v>2526585.9490557262</v>
      </c>
      <c r="CR20" s="493">
        <v>2526585.9490557262</v>
      </c>
      <c r="CS20" s="493">
        <v>2526585.9490557262</v>
      </c>
      <c r="CT20" s="493">
        <v>2526585.9490557262</v>
      </c>
      <c r="CU20" s="493">
        <v>2526585.9490557262</v>
      </c>
      <c r="CV20" s="493">
        <v>2526585.9490557262</v>
      </c>
      <c r="CW20" s="493">
        <v>2526585.9490557262</v>
      </c>
      <c r="CX20" s="493">
        <v>2526585.9490557262</v>
      </c>
      <c r="CY20" s="493">
        <v>2526585.9490557262</v>
      </c>
      <c r="CZ20" s="493">
        <v>2526585.9490557262</v>
      </c>
      <c r="DA20" s="493">
        <v>2526585.9490557262</v>
      </c>
      <c r="DB20" s="493">
        <v>2526585.9490557262</v>
      </c>
      <c r="DC20" s="493">
        <v>2526585.9490557262</v>
      </c>
      <c r="DD20" s="493">
        <v>2526585.9490557262</v>
      </c>
      <c r="DE20" s="493">
        <v>2526585.9490557262</v>
      </c>
      <c r="DF20" s="493">
        <v>2526585.9490557262</v>
      </c>
      <c r="DG20" s="493">
        <v>2526585.9490557262</v>
      </c>
      <c r="DH20" s="493">
        <v>2526585.9490557262</v>
      </c>
      <c r="DI20" s="493">
        <v>2526585.9490557262</v>
      </c>
      <c r="DJ20" s="493">
        <v>2526585.9490557262</v>
      </c>
      <c r="DK20" s="493">
        <v>2526585.9490557262</v>
      </c>
      <c r="DL20" s="493">
        <v>2526585.9490557262</v>
      </c>
      <c r="DM20" s="493">
        <v>2526585.9490557262</v>
      </c>
      <c r="DN20" s="493">
        <v>2526585.9490557262</v>
      </c>
      <c r="DO20" s="493">
        <v>2526585.9490557262</v>
      </c>
      <c r="DP20" s="493">
        <v>2526585.9490557262</v>
      </c>
      <c r="DQ20" s="493">
        <v>2526585.9490557262</v>
      </c>
      <c r="DR20" s="493">
        <v>2526585.9490557262</v>
      </c>
      <c r="DS20" s="493">
        <v>2526585.9490557262</v>
      </c>
      <c r="DT20" s="493">
        <v>2526585.9490557262</v>
      </c>
      <c r="DU20" s="493">
        <v>2526585.9490557262</v>
      </c>
      <c r="DV20" s="493">
        <v>2526585.9490557262</v>
      </c>
      <c r="DW20" s="493">
        <v>2526585.9490557262</v>
      </c>
      <c r="DX20" s="493">
        <v>2526585.9490557262</v>
      </c>
      <c r="DY20" s="493">
        <v>2526585.9490557262</v>
      </c>
      <c r="DZ20" s="493">
        <v>2526585.9490557262</v>
      </c>
      <c r="EA20" s="493">
        <v>2526585.9490557262</v>
      </c>
      <c r="EB20" s="493">
        <v>2526585.9490557262</v>
      </c>
      <c r="EC20" s="493">
        <v>2526585.9490557262</v>
      </c>
      <c r="ED20" s="493">
        <v>2526585.9490557262</v>
      </c>
      <c r="EE20" s="493">
        <v>2526585.9490557262</v>
      </c>
      <c r="EF20" s="493">
        <v>2526585.9490557262</v>
      </c>
      <c r="EG20" s="493">
        <v>2526585.9490557262</v>
      </c>
      <c r="EH20" s="493">
        <v>2526585.9490557262</v>
      </c>
      <c r="EI20" s="493">
        <v>2526585.9490557262</v>
      </c>
      <c r="EJ20" s="493">
        <v>2526585.9490557262</v>
      </c>
      <c r="EK20" s="493">
        <v>2526585.9490557262</v>
      </c>
      <c r="EL20" s="493">
        <v>2526585.9490557262</v>
      </c>
      <c r="EM20" s="493">
        <v>2526585.9490557262</v>
      </c>
      <c r="EN20" s="493">
        <v>2526585.9490557262</v>
      </c>
      <c r="EO20" s="493">
        <v>2526585.9490557262</v>
      </c>
      <c r="EP20" s="493">
        <v>2526585.9490557262</v>
      </c>
      <c r="EQ20" s="493">
        <v>2526585.9490557262</v>
      </c>
      <c r="ER20" s="493">
        <v>2526585.9490557262</v>
      </c>
      <c r="ES20" s="493">
        <v>2526585.9490557262</v>
      </c>
      <c r="ET20" s="493">
        <v>2526585.9490557262</v>
      </c>
      <c r="EU20" s="493">
        <v>2526585.9490557262</v>
      </c>
      <c r="EV20" s="493">
        <v>2526585.9490557262</v>
      </c>
      <c r="EW20" s="493">
        <v>2526585.9490557262</v>
      </c>
      <c r="EX20" s="493">
        <v>2526585.9490557262</v>
      </c>
      <c r="EY20" s="493">
        <v>0</v>
      </c>
      <c r="EZ20" s="493">
        <v>0</v>
      </c>
      <c r="FA20" s="493">
        <v>0</v>
      </c>
      <c r="FB20" s="493">
        <v>0</v>
      </c>
      <c r="FC20" s="493">
        <v>0</v>
      </c>
      <c r="FD20" s="493">
        <v>0</v>
      </c>
      <c r="FE20" s="493">
        <v>0</v>
      </c>
      <c r="FF20" s="493">
        <v>0</v>
      </c>
      <c r="FG20" s="493">
        <v>0</v>
      </c>
      <c r="FH20" s="493">
        <v>0</v>
      </c>
      <c r="FI20" s="493">
        <v>0</v>
      </c>
      <c r="FJ20" s="45">
        <v>0</v>
      </c>
    </row>
    <row r="21" spans="1:166">
      <c r="A21" s="501" t="s">
        <v>1029</v>
      </c>
      <c r="B21" s="491" t="s">
        <v>1560</v>
      </c>
      <c r="C21" s="491" t="s">
        <v>246</v>
      </c>
      <c r="D21" s="491" t="s">
        <v>820</v>
      </c>
      <c r="E21" s="491" t="s">
        <v>248</v>
      </c>
      <c r="F21" s="491" t="s">
        <v>1550</v>
      </c>
      <c r="G21" s="491" t="s">
        <v>1555</v>
      </c>
      <c r="H21" s="491">
        <v>0</v>
      </c>
      <c r="I21" s="491">
        <v>0</v>
      </c>
      <c r="J21" s="491" t="s">
        <v>252</v>
      </c>
      <c r="K21" s="491">
        <v>0</v>
      </c>
      <c r="L21" s="491" t="s">
        <v>259</v>
      </c>
      <c r="M21" s="511">
        <v>1</v>
      </c>
      <c r="N21" s="491">
        <v>0</v>
      </c>
      <c r="O21" s="494">
        <v>0</v>
      </c>
      <c r="P21" s="495">
        <v>0</v>
      </c>
      <c r="Q21" s="493">
        <v>0</v>
      </c>
      <c r="R21" s="494">
        <v>120</v>
      </c>
      <c r="S21" s="496">
        <v>1</v>
      </c>
      <c r="T21" s="512">
        <v>1</v>
      </c>
      <c r="U21" s="491">
        <v>0</v>
      </c>
      <c r="V21" s="493">
        <v>56398.570110786743</v>
      </c>
      <c r="W21" s="493">
        <v>6767828.4132944085</v>
      </c>
      <c r="X21" s="493">
        <v>676782.84132944094</v>
      </c>
      <c r="Y21" s="493">
        <v>676782.84132944094</v>
      </c>
      <c r="Z21" s="493">
        <v>676782.84132944094</v>
      </c>
      <c r="AA21" s="493">
        <v>676782.84132944094</v>
      </c>
      <c r="AB21" s="493">
        <v>676782.84132944094</v>
      </c>
      <c r="AC21" s="493">
        <v>676782.84132944094</v>
      </c>
      <c r="AD21" s="493">
        <v>676782.84132944094</v>
      </c>
      <c r="AE21" s="493">
        <v>676782.84132944094</v>
      </c>
      <c r="AF21" s="493">
        <v>676782.84132944094</v>
      </c>
      <c r="AG21" s="493">
        <v>676782.84132944094</v>
      </c>
      <c r="AH21" s="493">
        <v>0</v>
      </c>
      <c r="AI21" s="493">
        <v>56398.570110786743</v>
      </c>
      <c r="AJ21" s="493">
        <v>56398.570110786743</v>
      </c>
      <c r="AK21" s="493">
        <v>56398.570110786743</v>
      </c>
      <c r="AL21" s="493">
        <v>56398.570110786743</v>
      </c>
      <c r="AM21" s="493">
        <v>56398.570110786743</v>
      </c>
      <c r="AN21" s="493">
        <v>56398.570110786743</v>
      </c>
      <c r="AO21" s="493">
        <v>56398.570110786743</v>
      </c>
      <c r="AP21" s="493">
        <v>56398.570110786743</v>
      </c>
      <c r="AQ21" s="493">
        <v>56398.570110786743</v>
      </c>
      <c r="AR21" s="493">
        <v>56398.570110786743</v>
      </c>
      <c r="AS21" s="493">
        <v>56398.570110786743</v>
      </c>
      <c r="AT21" s="493">
        <v>56398.570110786743</v>
      </c>
      <c r="AU21" s="493">
        <v>56398.570110786743</v>
      </c>
      <c r="AV21" s="493">
        <v>56398.570110786743</v>
      </c>
      <c r="AW21" s="493">
        <v>56398.570110786743</v>
      </c>
      <c r="AX21" s="493">
        <v>56398.570110786743</v>
      </c>
      <c r="AY21" s="493">
        <v>56398.570110786743</v>
      </c>
      <c r="AZ21" s="493">
        <v>56398.570110786743</v>
      </c>
      <c r="BA21" s="493">
        <v>56398.570110786743</v>
      </c>
      <c r="BB21" s="493">
        <v>56398.570110786743</v>
      </c>
      <c r="BC21" s="493">
        <v>56398.570110786743</v>
      </c>
      <c r="BD21" s="493">
        <v>56398.570110786743</v>
      </c>
      <c r="BE21" s="493">
        <v>56398.570110786743</v>
      </c>
      <c r="BF21" s="493">
        <v>56398.570110786743</v>
      </c>
      <c r="BG21" s="493">
        <v>56398.570110786743</v>
      </c>
      <c r="BH21" s="493">
        <v>56398.570110786743</v>
      </c>
      <c r="BI21" s="493">
        <v>56398.570110786743</v>
      </c>
      <c r="BJ21" s="493">
        <v>56398.570110786743</v>
      </c>
      <c r="BK21" s="493">
        <v>56398.570110786743</v>
      </c>
      <c r="BL21" s="493">
        <v>56398.570110786743</v>
      </c>
      <c r="BM21" s="493">
        <v>56398.570110786743</v>
      </c>
      <c r="BN21" s="493">
        <v>56398.570110786743</v>
      </c>
      <c r="BO21" s="493">
        <v>56398.570110786743</v>
      </c>
      <c r="BP21" s="493">
        <v>56398.570110786743</v>
      </c>
      <c r="BQ21" s="493">
        <v>56398.570110786743</v>
      </c>
      <c r="BR21" s="493">
        <v>56398.570110786743</v>
      </c>
      <c r="BS21" s="493">
        <v>56398.570110786743</v>
      </c>
      <c r="BT21" s="493">
        <v>56398.570110786743</v>
      </c>
      <c r="BU21" s="493">
        <v>56398.570110786743</v>
      </c>
      <c r="BV21" s="493">
        <v>56398.570110786743</v>
      </c>
      <c r="BW21" s="493">
        <v>56398.570110786743</v>
      </c>
      <c r="BX21" s="493">
        <v>56398.570110786743</v>
      </c>
      <c r="BY21" s="493">
        <v>56398.570110786743</v>
      </c>
      <c r="BZ21" s="493">
        <v>56398.570110786743</v>
      </c>
      <c r="CA21" s="493">
        <v>56398.570110786743</v>
      </c>
      <c r="CB21" s="493">
        <v>56398.570110786743</v>
      </c>
      <c r="CC21" s="493">
        <v>56398.570110786743</v>
      </c>
      <c r="CD21" s="493">
        <v>56398.570110786743</v>
      </c>
      <c r="CE21" s="493">
        <v>56398.570110786743</v>
      </c>
      <c r="CF21" s="493">
        <v>56398.570110786743</v>
      </c>
      <c r="CG21" s="493">
        <v>56398.570110786743</v>
      </c>
      <c r="CH21" s="493">
        <v>56398.570110786743</v>
      </c>
      <c r="CI21" s="493">
        <v>56398.570110786743</v>
      </c>
      <c r="CJ21" s="493">
        <v>56398.570110786743</v>
      </c>
      <c r="CK21" s="493">
        <v>56398.570110786743</v>
      </c>
      <c r="CL21" s="493">
        <v>56398.570110786743</v>
      </c>
      <c r="CM21" s="493">
        <v>56398.570110786743</v>
      </c>
      <c r="CN21" s="493">
        <v>56398.570110786743</v>
      </c>
      <c r="CO21" s="493">
        <v>56398.570110786743</v>
      </c>
      <c r="CP21" s="493">
        <v>56398.570110786743</v>
      </c>
      <c r="CQ21" s="493">
        <v>56398.570110786743</v>
      </c>
      <c r="CR21" s="493">
        <v>56398.570110786743</v>
      </c>
      <c r="CS21" s="493">
        <v>56398.570110786743</v>
      </c>
      <c r="CT21" s="493">
        <v>56398.570110786743</v>
      </c>
      <c r="CU21" s="493">
        <v>56398.570110786743</v>
      </c>
      <c r="CV21" s="493">
        <v>56398.570110786743</v>
      </c>
      <c r="CW21" s="493">
        <v>56398.570110786743</v>
      </c>
      <c r="CX21" s="493">
        <v>56398.570110786743</v>
      </c>
      <c r="CY21" s="493">
        <v>56398.570110786743</v>
      </c>
      <c r="CZ21" s="493">
        <v>56398.570110786743</v>
      </c>
      <c r="DA21" s="493">
        <v>56398.570110786743</v>
      </c>
      <c r="DB21" s="493">
        <v>56398.570110786743</v>
      </c>
      <c r="DC21" s="493">
        <v>56398.570110786743</v>
      </c>
      <c r="DD21" s="493">
        <v>56398.570110786743</v>
      </c>
      <c r="DE21" s="493">
        <v>56398.570110786743</v>
      </c>
      <c r="DF21" s="493">
        <v>56398.570110786743</v>
      </c>
      <c r="DG21" s="493">
        <v>56398.570110786743</v>
      </c>
      <c r="DH21" s="493">
        <v>56398.570110786743</v>
      </c>
      <c r="DI21" s="493">
        <v>56398.570110786743</v>
      </c>
      <c r="DJ21" s="493">
        <v>56398.570110786743</v>
      </c>
      <c r="DK21" s="493">
        <v>56398.570110786743</v>
      </c>
      <c r="DL21" s="493">
        <v>56398.570110786743</v>
      </c>
      <c r="DM21" s="493">
        <v>56398.570110786743</v>
      </c>
      <c r="DN21" s="493">
        <v>56398.570110786743</v>
      </c>
      <c r="DO21" s="493">
        <v>56398.570110786743</v>
      </c>
      <c r="DP21" s="493">
        <v>56398.570110786743</v>
      </c>
      <c r="DQ21" s="493">
        <v>56398.570110786743</v>
      </c>
      <c r="DR21" s="493">
        <v>56398.570110786743</v>
      </c>
      <c r="DS21" s="493">
        <v>56398.570110786743</v>
      </c>
      <c r="DT21" s="493">
        <v>56398.570110786743</v>
      </c>
      <c r="DU21" s="493">
        <v>56398.570110786743</v>
      </c>
      <c r="DV21" s="493">
        <v>56398.570110786743</v>
      </c>
      <c r="DW21" s="493">
        <v>56398.570110786743</v>
      </c>
      <c r="DX21" s="493">
        <v>56398.570110786743</v>
      </c>
      <c r="DY21" s="493">
        <v>56398.570110786743</v>
      </c>
      <c r="DZ21" s="493">
        <v>56398.570110786743</v>
      </c>
      <c r="EA21" s="493">
        <v>56398.570110786743</v>
      </c>
      <c r="EB21" s="493">
        <v>56398.570110786743</v>
      </c>
      <c r="EC21" s="493">
        <v>56398.570110786743</v>
      </c>
      <c r="ED21" s="493">
        <v>56398.570110786743</v>
      </c>
      <c r="EE21" s="493">
        <v>56398.570110786743</v>
      </c>
      <c r="EF21" s="493">
        <v>56398.570110786743</v>
      </c>
      <c r="EG21" s="493">
        <v>56398.570110786743</v>
      </c>
      <c r="EH21" s="493">
        <v>56398.570110786743</v>
      </c>
      <c r="EI21" s="493">
        <v>56398.570110786743</v>
      </c>
      <c r="EJ21" s="493">
        <v>56398.570110786743</v>
      </c>
      <c r="EK21" s="493">
        <v>56398.570110786743</v>
      </c>
      <c r="EL21" s="493">
        <v>56398.570110786743</v>
      </c>
      <c r="EM21" s="493">
        <v>56398.570110786743</v>
      </c>
      <c r="EN21" s="493">
        <v>56398.570110786743</v>
      </c>
      <c r="EO21" s="493">
        <v>56398.570110786743</v>
      </c>
      <c r="EP21" s="493">
        <v>56398.570110786743</v>
      </c>
      <c r="EQ21" s="493">
        <v>56398.570110786743</v>
      </c>
      <c r="ER21" s="493">
        <v>56398.570110786743</v>
      </c>
      <c r="ES21" s="493">
        <v>56398.570110786743</v>
      </c>
      <c r="ET21" s="493">
        <v>56398.570110786743</v>
      </c>
      <c r="EU21" s="493">
        <v>56398.570110786743</v>
      </c>
      <c r="EV21" s="493">
        <v>56398.570110786743</v>
      </c>
      <c r="EW21" s="493">
        <v>56398.570110786743</v>
      </c>
      <c r="EX21" s="493">
        <v>56398.570110786743</v>
      </c>
      <c r="EY21" s="493">
        <v>0</v>
      </c>
      <c r="EZ21" s="493">
        <v>0</v>
      </c>
      <c r="FA21" s="493">
        <v>0</v>
      </c>
      <c r="FB21" s="493">
        <v>0</v>
      </c>
      <c r="FC21" s="493">
        <v>0</v>
      </c>
      <c r="FD21" s="493">
        <v>0</v>
      </c>
      <c r="FE21" s="493">
        <v>0</v>
      </c>
      <c r="FF21" s="493">
        <v>0</v>
      </c>
      <c r="FG21" s="493">
        <v>0</v>
      </c>
      <c r="FH21" s="493">
        <v>0</v>
      </c>
      <c r="FI21" s="493">
        <v>0</v>
      </c>
      <c r="FJ21" s="45">
        <v>0</v>
      </c>
    </row>
    <row r="22" spans="1:166">
      <c r="A22" s="501" t="s">
        <v>1030</v>
      </c>
      <c r="B22" s="491" t="s">
        <v>1560</v>
      </c>
      <c r="C22" s="491" t="s">
        <v>246</v>
      </c>
      <c r="D22" s="491" t="s">
        <v>820</v>
      </c>
      <c r="E22" s="491" t="s">
        <v>248</v>
      </c>
      <c r="F22" s="491" t="s">
        <v>981</v>
      </c>
      <c r="G22" s="491" t="s">
        <v>1556</v>
      </c>
      <c r="H22" s="491">
        <v>0</v>
      </c>
      <c r="I22" s="491">
        <v>0</v>
      </c>
      <c r="J22" s="491" t="s">
        <v>252</v>
      </c>
      <c r="K22" s="491">
        <v>0</v>
      </c>
      <c r="L22" s="491" t="s">
        <v>1563</v>
      </c>
      <c r="M22" s="511">
        <v>1</v>
      </c>
      <c r="N22" s="491">
        <v>0</v>
      </c>
      <c r="O22" s="494">
        <v>0</v>
      </c>
      <c r="P22" s="495">
        <v>0</v>
      </c>
      <c r="Q22" s="493">
        <v>0</v>
      </c>
      <c r="R22" s="494">
        <v>20</v>
      </c>
      <c r="S22" s="496">
        <v>1</v>
      </c>
      <c r="T22" s="512">
        <v>1</v>
      </c>
      <c r="U22" s="491">
        <v>0</v>
      </c>
      <c r="V22" s="493">
        <v>256357.13686721245</v>
      </c>
      <c r="W22" s="493">
        <v>5127142.7373442492</v>
      </c>
      <c r="X22" s="493">
        <v>3076285.6424065498</v>
      </c>
      <c r="Y22" s="493">
        <v>2050857.0949376994</v>
      </c>
      <c r="Z22" s="493">
        <v>0</v>
      </c>
      <c r="AA22" s="493">
        <v>0</v>
      </c>
      <c r="AB22" s="493">
        <v>0</v>
      </c>
      <c r="AC22" s="493">
        <v>0</v>
      </c>
      <c r="AD22" s="493">
        <v>0</v>
      </c>
      <c r="AE22" s="493">
        <v>0</v>
      </c>
      <c r="AF22" s="493">
        <v>0</v>
      </c>
      <c r="AG22" s="493">
        <v>0</v>
      </c>
      <c r="AH22" s="493">
        <v>0</v>
      </c>
      <c r="AI22" s="493">
        <v>256357.13686721245</v>
      </c>
      <c r="AJ22" s="493">
        <v>256357.13686721245</v>
      </c>
      <c r="AK22" s="493">
        <v>256357.13686721245</v>
      </c>
      <c r="AL22" s="493">
        <v>256357.13686721245</v>
      </c>
      <c r="AM22" s="493">
        <v>256357.13686721245</v>
      </c>
      <c r="AN22" s="493">
        <v>256357.13686721245</v>
      </c>
      <c r="AO22" s="493">
        <v>256357.13686721245</v>
      </c>
      <c r="AP22" s="493">
        <v>256357.13686721245</v>
      </c>
      <c r="AQ22" s="493">
        <v>256357.13686721245</v>
      </c>
      <c r="AR22" s="493">
        <v>256357.13686721245</v>
      </c>
      <c r="AS22" s="493">
        <v>256357.13686721245</v>
      </c>
      <c r="AT22" s="493">
        <v>256357.13686721245</v>
      </c>
      <c r="AU22" s="493">
        <v>256357.13686721245</v>
      </c>
      <c r="AV22" s="493">
        <v>256357.13686721245</v>
      </c>
      <c r="AW22" s="493">
        <v>256357.13686721245</v>
      </c>
      <c r="AX22" s="493">
        <v>256357.13686721245</v>
      </c>
      <c r="AY22" s="493">
        <v>256357.13686721245</v>
      </c>
      <c r="AZ22" s="493">
        <v>256357.13686721245</v>
      </c>
      <c r="BA22" s="493">
        <v>256357.13686721245</v>
      </c>
      <c r="BB22" s="493">
        <v>256357.13686721245</v>
      </c>
      <c r="BC22" s="493">
        <v>0</v>
      </c>
      <c r="BD22" s="493">
        <v>0</v>
      </c>
      <c r="BE22" s="493">
        <v>0</v>
      </c>
      <c r="BF22" s="493">
        <v>0</v>
      </c>
      <c r="BG22" s="493">
        <v>0</v>
      </c>
      <c r="BH22" s="493">
        <v>0</v>
      </c>
      <c r="BI22" s="493">
        <v>0</v>
      </c>
      <c r="BJ22" s="493">
        <v>0</v>
      </c>
      <c r="BK22" s="493">
        <v>0</v>
      </c>
      <c r="BL22" s="493">
        <v>0</v>
      </c>
      <c r="BM22" s="493">
        <v>0</v>
      </c>
      <c r="BN22" s="493">
        <v>0</v>
      </c>
      <c r="BO22" s="493">
        <v>0</v>
      </c>
      <c r="BP22" s="493">
        <v>0</v>
      </c>
      <c r="BQ22" s="493">
        <v>0</v>
      </c>
      <c r="BR22" s="493">
        <v>0</v>
      </c>
      <c r="BS22" s="493">
        <v>0</v>
      </c>
      <c r="BT22" s="493">
        <v>0</v>
      </c>
      <c r="BU22" s="493">
        <v>0</v>
      </c>
      <c r="BV22" s="493">
        <v>0</v>
      </c>
      <c r="BW22" s="493">
        <v>0</v>
      </c>
      <c r="BX22" s="493">
        <v>0</v>
      </c>
      <c r="BY22" s="493">
        <v>0</v>
      </c>
      <c r="BZ22" s="493">
        <v>0</v>
      </c>
      <c r="CA22" s="493">
        <v>0</v>
      </c>
      <c r="CB22" s="493">
        <v>0</v>
      </c>
      <c r="CC22" s="493">
        <v>0</v>
      </c>
      <c r="CD22" s="493">
        <v>0</v>
      </c>
      <c r="CE22" s="493">
        <v>0</v>
      </c>
      <c r="CF22" s="493">
        <v>0</v>
      </c>
      <c r="CG22" s="493">
        <v>0</v>
      </c>
      <c r="CH22" s="493">
        <v>0</v>
      </c>
      <c r="CI22" s="493">
        <v>0</v>
      </c>
      <c r="CJ22" s="493">
        <v>0</v>
      </c>
      <c r="CK22" s="493">
        <v>0</v>
      </c>
      <c r="CL22" s="493">
        <v>0</v>
      </c>
      <c r="CM22" s="493">
        <v>0</v>
      </c>
      <c r="CN22" s="493">
        <v>0</v>
      </c>
      <c r="CO22" s="493">
        <v>0</v>
      </c>
      <c r="CP22" s="493">
        <v>0</v>
      </c>
      <c r="CQ22" s="493">
        <v>0</v>
      </c>
      <c r="CR22" s="493">
        <v>0</v>
      </c>
      <c r="CS22" s="493">
        <v>0</v>
      </c>
      <c r="CT22" s="493">
        <v>0</v>
      </c>
      <c r="CU22" s="493">
        <v>0</v>
      </c>
      <c r="CV22" s="493">
        <v>0</v>
      </c>
      <c r="CW22" s="493">
        <v>0</v>
      </c>
      <c r="CX22" s="493">
        <v>0</v>
      </c>
      <c r="CY22" s="493">
        <v>0</v>
      </c>
      <c r="CZ22" s="493">
        <v>0</v>
      </c>
      <c r="DA22" s="493">
        <v>0</v>
      </c>
      <c r="DB22" s="493">
        <v>0</v>
      </c>
      <c r="DC22" s="493">
        <v>0</v>
      </c>
      <c r="DD22" s="493">
        <v>0</v>
      </c>
      <c r="DE22" s="493">
        <v>0</v>
      </c>
      <c r="DF22" s="493">
        <v>0</v>
      </c>
      <c r="DG22" s="493">
        <v>0</v>
      </c>
      <c r="DH22" s="493">
        <v>0</v>
      </c>
      <c r="DI22" s="493">
        <v>0</v>
      </c>
      <c r="DJ22" s="493">
        <v>0</v>
      </c>
      <c r="DK22" s="493">
        <v>0</v>
      </c>
      <c r="DL22" s="493">
        <v>0</v>
      </c>
      <c r="DM22" s="493">
        <v>0</v>
      </c>
      <c r="DN22" s="493">
        <v>0</v>
      </c>
      <c r="DO22" s="493">
        <v>0</v>
      </c>
      <c r="DP22" s="493">
        <v>0</v>
      </c>
      <c r="DQ22" s="493">
        <v>0</v>
      </c>
      <c r="DR22" s="493">
        <v>0</v>
      </c>
      <c r="DS22" s="493">
        <v>0</v>
      </c>
      <c r="DT22" s="493">
        <v>0</v>
      </c>
      <c r="DU22" s="493">
        <v>0</v>
      </c>
      <c r="DV22" s="493">
        <v>0</v>
      </c>
      <c r="DW22" s="493">
        <v>0</v>
      </c>
      <c r="DX22" s="493">
        <v>0</v>
      </c>
      <c r="DY22" s="493">
        <v>0</v>
      </c>
      <c r="DZ22" s="493">
        <v>0</v>
      </c>
      <c r="EA22" s="493">
        <v>0</v>
      </c>
      <c r="EB22" s="493">
        <v>0</v>
      </c>
      <c r="EC22" s="493">
        <v>0</v>
      </c>
      <c r="ED22" s="493">
        <v>0</v>
      </c>
      <c r="EE22" s="493">
        <v>0</v>
      </c>
      <c r="EF22" s="493">
        <v>0</v>
      </c>
      <c r="EG22" s="493">
        <v>0</v>
      </c>
      <c r="EH22" s="493">
        <v>0</v>
      </c>
      <c r="EI22" s="493">
        <v>0</v>
      </c>
      <c r="EJ22" s="493">
        <v>0</v>
      </c>
      <c r="EK22" s="493">
        <v>0</v>
      </c>
      <c r="EL22" s="493">
        <v>0</v>
      </c>
      <c r="EM22" s="493">
        <v>0</v>
      </c>
      <c r="EN22" s="493">
        <v>0</v>
      </c>
      <c r="EO22" s="493">
        <v>0</v>
      </c>
      <c r="EP22" s="493">
        <v>0</v>
      </c>
      <c r="EQ22" s="493">
        <v>0</v>
      </c>
      <c r="ER22" s="493">
        <v>0</v>
      </c>
      <c r="ES22" s="493">
        <v>0</v>
      </c>
      <c r="ET22" s="493">
        <v>0</v>
      </c>
      <c r="EU22" s="493">
        <v>0</v>
      </c>
      <c r="EV22" s="493">
        <v>0</v>
      </c>
      <c r="EW22" s="493">
        <v>0</v>
      </c>
      <c r="EX22" s="493">
        <v>0</v>
      </c>
      <c r="EY22" s="493">
        <v>0</v>
      </c>
      <c r="EZ22" s="493">
        <v>0</v>
      </c>
      <c r="FA22" s="493">
        <v>0</v>
      </c>
      <c r="FB22" s="493">
        <v>0</v>
      </c>
      <c r="FC22" s="493">
        <v>0</v>
      </c>
      <c r="FD22" s="493">
        <v>0</v>
      </c>
      <c r="FE22" s="493">
        <v>0</v>
      </c>
      <c r="FF22" s="493">
        <v>0</v>
      </c>
      <c r="FG22" s="493">
        <v>0</v>
      </c>
      <c r="FH22" s="493">
        <v>0</v>
      </c>
      <c r="FI22" s="493">
        <v>0</v>
      </c>
      <c r="FJ22" s="45">
        <v>0</v>
      </c>
    </row>
    <row r="23" spans="1:166">
      <c r="A23" s="501" t="s">
        <v>1031</v>
      </c>
      <c r="B23" s="491" t="s">
        <v>1560</v>
      </c>
      <c r="C23" s="491" t="s">
        <v>246</v>
      </c>
      <c r="D23" s="491" t="s">
        <v>820</v>
      </c>
      <c r="E23" s="491" t="s">
        <v>248</v>
      </c>
      <c r="F23" s="491" t="s">
        <v>885</v>
      </c>
      <c r="G23" s="491" t="s">
        <v>1557</v>
      </c>
      <c r="H23" s="491">
        <v>0</v>
      </c>
      <c r="I23" s="491">
        <v>0</v>
      </c>
      <c r="J23" s="491" t="s">
        <v>252</v>
      </c>
      <c r="K23" s="491">
        <v>0</v>
      </c>
      <c r="L23" s="491" t="s">
        <v>259</v>
      </c>
      <c r="M23" s="511">
        <v>1</v>
      </c>
      <c r="N23" s="491">
        <v>0</v>
      </c>
      <c r="O23" s="494">
        <v>0</v>
      </c>
      <c r="P23" s="495">
        <v>0</v>
      </c>
      <c r="Q23" s="493">
        <v>0</v>
      </c>
      <c r="R23" s="494">
        <v>5</v>
      </c>
      <c r="S23" s="496">
        <v>1</v>
      </c>
      <c r="T23" s="512">
        <v>1</v>
      </c>
      <c r="U23" s="491">
        <v>0</v>
      </c>
      <c r="V23" s="493">
        <v>358899.99161409744</v>
      </c>
      <c r="W23" s="493">
        <v>1794499.9580704872</v>
      </c>
      <c r="X23" s="493">
        <v>1794499.9580704872</v>
      </c>
      <c r="Y23" s="493">
        <v>0</v>
      </c>
      <c r="Z23" s="493">
        <v>0</v>
      </c>
      <c r="AA23" s="493">
        <v>0</v>
      </c>
      <c r="AB23" s="493">
        <v>0</v>
      </c>
      <c r="AC23" s="493">
        <v>0</v>
      </c>
      <c r="AD23" s="493">
        <v>0</v>
      </c>
      <c r="AE23" s="493">
        <v>0</v>
      </c>
      <c r="AF23" s="493">
        <v>0</v>
      </c>
      <c r="AG23" s="493">
        <v>0</v>
      </c>
      <c r="AH23" s="493">
        <v>0</v>
      </c>
      <c r="AI23" s="493">
        <v>358899.99161409744</v>
      </c>
      <c r="AJ23" s="493">
        <v>358899.99161409744</v>
      </c>
      <c r="AK23" s="493">
        <v>358899.99161409744</v>
      </c>
      <c r="AL23" s="493">
        <v>358899.99161409744</v>
      </c>
      <c r="AM23" s="493">
        <v>358899.99161409744</v>
      </c>
      <c r="AN23" s="493">
        <v>0</v>
      </c>
      <c r="AO23" s="493">
        <v>0</v>
      </c>
      <c r="AP23" s="493">
        <v>0</v>
      </c>
      <c r="AQ23" s="493">
        <v>0</v>
      </c>
      <c r="AR23" s="493">
        <v>0</v>
      </c>
      <c r="AS23" s="493">
        <v>0</v>
      </c>
      <c r="AT23" s="493">
        <v>0</v>
      </c>
      <c r="AU23" s="493">
        <v>0</v>
      </c>
      <c r="AV23" s="493">
        <v>0</v>
      </c>
      <c r="AW23" s="493">
        <v>0</v>
      </c>
      <c r="AX23" s="493">
        <v>0</v>
      </c>
      <c r="AY23" s="493">
        <v>0</v>
      </c>
      <c r="AZ23" s="493">
        <v>0</v>
      </c>
      <c r="BA23" s="493">
        <v>0</v>
      </c>
      <c r="BB23" s="493">
        <v>0</v>
      </c>
      <c r="BC23" s="493">
        <v>0</v>
      </c>
      <c r="BD23" s="493">
        <v>0</v>
      </c>
      <c r="BE23" s="493">
        <v>0</v>
      </c>
      <c r="BF23" s="493">
        <v>0</v>
      </c>
      <c r="BG23" s="493">
        <v>0</v>
      </c>
      <c r="BH23" s="493">
        <v>0</v>
      </c>
      <c r="BI23" s="493">
        <v>0</v>
      </c>
      <c r="BJ23" s="493">
        <v>0</v>
      </c>
      <c r="BK23" s="493">
        <v>0</v>
      </c>
      <c r="BL23" s="493">
        <v>0</v>
      </c>
      <c r="BM23" s="493">
        <v>0</v>
      </c>
      <c r="BN23" s="493">
        <v>0</v>
      </c>
      <c r="BO23" s="493">
        <v>0</v>
      </c>
      <c r="BP23" s="493">
        <v>0</v>
      </c>
      <c r="BQ23" s="493">
        <v>0</v>
      </c>
      <c r="BR23" s="493">
        <v>0</v>
      </c>
      <c r="BS23" s="493">
        <v>0</v>
      </c>
      <c r="BT23" s="493">
        <v>0</v>
      </c>
      <c r="BU23" s="493">
        <v>0</v>
      </c>
      <c r="BV23" s="493">
        <v>0</v>
      </c>
      <c r="BW23" s="493">
        <v>0</v>
      </c>
      <c r="BX23" s="493">
        <v>0</v>
      </c>
      <c r="BY23" s="493">
        <v>0</v>
      </c>
      <c r="BZ23" s="493">
        <v>0</v>
      </c>
      <c r="CA23" s="493">
        <v>0</v>
      </c>
      <c r="CB23" s="493">
        <v>0</v>
      </c>
      <c r="CC23" s="493">
        <v>0</v>
      </c>
      <c r="CD23" s="493">
        <v>0</v>
      </c>
      <c r="CE23" s="493">
        <v>0</v>
      </c>
      <c r="CF23" s="493">
        <v>0</v>
      </c>
      <c r="CG23" s="493">
        <v>0</v>
      </c>
      <c r="CH23" s="493">
        <v>0</v>
      </c>
      <c r="CI23" s="493">
        <v>0</v>
      </c>
      <c r="CJ23" s="493">
        <v>0</v>
      </c>
      <c r="CK23" s="493">
        <v>0</v>
      </c>
      <c r="CL23" s="493">
        <v>0</v>
      </c>
      <c r="CM23" s="493">
        <v>0</v>
      </c>
      <c r="CN23" s="493">
        <v>0</v>
      </c>
      <c r="CO23" s="493">
        <v>0</v>
      </c>
      <c r="CP23" s="493">
        <v>0</v>
      </c>
      <c r="CQ23" s="493">
        <v>0</v>
      </c>
      <c r="CR23" s="493">
        <v>0</v>
      </c>
      <c r="CS23" s="493">
        <v>0</v>
      </c>
      <c r="CT23" s="493">
        <v>0</v>
      </c>
      <c r="CU23" s="493">
        <v>0</v>
      </c>
      <c r="CV23" s="493">
        <v>0</v>
      </c>
      <c r="CW23" s="493">
        <v>0</v>
      </c>
      <c r="CX23" s="493">
        <v>0</v>
      </c>
      <c r="CY23" s="493">
        <v>0</v>
      </c>
      <c r="CZ23" s="493">
        <v>0</v>
      </c>
      <c r="DA23" s="493">
        <v>0</v>
      </c>
      <c r="DB23" s="493">
        <v>0</v>
      </c>
      <c r="DC23" s="493">
        <v>0</v>
      </c>
      <c r="DD23" s="493">
        <v>0</v>
      </c>
      <c r="DE23" s="493">
        <v>0</v>
      </c>
      <c r="DF23" s="493">
        <v>0</v>
      </c>
      <c r="DG23" s="493">
        <v>0</v>
      </c>
      <c r="DH23" s="493">
        <v>0</v>
      </c>
      <c r="DI23" s="493">
        <v>0</v>
      </c>
      <c r="DJ23" s="493">
        <v>0</v>
      </c>
      <c r="DK23" s="493">
        <v>0</v>
      </c>
      <c r="DL23" s="493">
        <v>0</v>
      </c>
      <c r="DM23" s="493">
        <v>0</v>
      </c>
      <c r="DN23" s="493">
        <v>0</v>
      </c>
      <c r="DO23" s="493">
        <v>0</v>
      </c>
      <c r="DP23" s="493">
        <v>0</v>
      </c>
      <c r="DQ23" s="493">
        <v>0</v>
      </c>
      <c r="DR23" s="493">
        <v>0</v>
      </c>
      <c r="DS23" s="493">
        <v>0</v>
      </c>
      <c r="DT23" s="493">
        <v>0</v>
      </c>
      <c r="DU23" s="493">
        <v>0</v>
      </c>
      <c r="DV23" s="493">
        <v>0</v>
      </c>
      <c r="DW23" s="493">
        <v>0</v>
      </c>
      <c r="DX23" s="493">
        <v>0</v>
      </c>
      <c r="DY23" s="493">
        <v>0</v>
      </c>
      <c r="DZ23" s="493">
        <v>0</v>
      </c>
      <c r="EA23" s="493">
        <v>0</v>
      </c>
      <c r="EB23" s="493">
        <v>0</v>
      </c>
      <c r="EC23" s="493">
        <v>0</v>
      </c>
      <c r="ED23" s="493">
        <v>0</v>
      </c>
      <c r="EE23" s="493">
        <v>0</v>
      </c>
      <c r="EF23" s="493">
        <v>0</v>
      </c>
      <c r="EG23" s="493">
        <v>0</v>
      </c>
      <c r="EH23" s="493">
        <v>0</v>
      </c>
      <c r="EI23" s="493">
        <v>0</v>
      </c>
      <c r="EJ23" s="493">
        <v>0</v>
      </c>
      <c r="EK23" s="493">
        <v>0</v>
      </c>
      <c r="EL23" s="493">
        <v>0</v>
      </c>
      <c r="EM23" s="493">
        <v>0</v>
      </c>
      <c r="EN23" s="493">
        <v>0</v>
      </c>
      <c r="EO23" s="493">
        <v>0</v>
      </c>
      <c r="EP23" s="493">
        <v>0</v>
      </c>
      <c r="EQ23" s="493">
        <v>0</v>
      </c>
      <c r="ER23" s="493">
        <v>0</v>
      </c>
      <c r="ES23" s="493">
        <v>0</v>
      </c>
      <c r="ET23" s="493">
        <v>0</v>
      </c>
      <c r="EU23" s="493">
        <v>0</v>
      </c>
      <c r="EV23" s="493">
        <v>0</v>
      </c>
      <c r="EW23" s="493">
        <v>0</v>
      </c>
      <c r="EX23" s="493">
        <v>0</v>
      </c>
      <c r="EY23" s="493">
        <v>0</v>
      </c>
      <c r="EZ23" s="493">
        <v>0</v>
      </c>
      <c r="FA23" s="493">
        <v>0</v>
      </c>
      <c r="FB23" s="493">
        <v>0</v>
      </c>
      <c r="FC23" s="493">
        <v>0</v>
      </c>
      <c r="FD23" s="493">
        <v>0</v>
      </c>
      <c r="FE23" s="493">
        <v>0</v>
      </c>
      <c r="FF23" s="493">
        <v>0</v>
      </c>
      <c r="FG23" s="493">
        <v>0</v>
      </c>
      <c r="FH23" s="493">
        <v>0</v>
      </c>
      <c r="FI23" s="493">
        <v>0</v>
      </c>
      <c r="FJ23" s="45">
        <v>0</v>
      </c>
    </row>
    <row r="24" spans="1:166">
      <c r="A24" s="501" t="s">
        <v>1032</v>
      </c>
      <c r="B24" s="491" t="s">
        <v>1560</v>
      </c>
      <c r="C24" s="491" t="s">
        <v>246</v>
      </c>
      <c r="D24" s="491" t="s">
        <v>820</v>
      </c>
      <c r="E24" s="491" t="s">
        <v>248</v>
      </c>
      <c r="F24" s="491" t="s">
        <v>887</v>
      </c>
      <c r="G24" s="491" t="s">
        <v>1558</v>
      </c>
      <c r="H24" s="491">
        <v>0</v>
      </c>
      <c r="I24" s="491">
        <v>0</v>
      </c>
      <c r="J24" s="491" t="s">
        <v>252</v>
      </c>
      <c r="K24" s="491">
        <v>0</v>
      </c>
      <c r="L24" s="491" t="s">
        <v>1563</v>
      </c>
      <c r="M24" s="511">
        <v>1</v>
      </c>
      <c r="N24" s="491">
        <v>0</v>
      </c>
      <c r="O24" s="494">
        <v>0</v>
      </c>
      <c r="P24" s="495">
        <v>0</v>
      </c>
      <c r="Q24" s="493">
        <v>0</v>
      </c>
      <c r="R24" s="494">
        <v>120</v>
      </c>
      <c r="S24" s="496">
        <v>1</v>
      </c>
      <c r="T24" s="512">
        <v>1</v>
      </c>
      <c r="U24" s="491">
        <v>0</v>
      </c>
      <c r="V24" s="493">
        <v>51271.427373442493</v>
      </c>
      <c r="W24" s="493">
        <v>6152571.2848130995</v>
      </c>
      <c r="X24" s="493">
        <v>615257.12848130998</v>
      </c>
      <c r="Y24" s="493">
        <v>615257.12848130998</v>
      </c>
      <c r="Z24" s="493">
        <v>615257.12848130998</v>
      </c>
      <c r="AA24" s="493">
        <v>615257.12848130998</v>
      </c>
      <c r="AB24" s="493">
        <v>615257.12848130998</v>
      </c>
      <c r="AC24" s="493">
        <v>615257.12848130998</v>
      </c>
      <c r="AD24" s="493">
        <v>615257.12848130998</v>
      </c>
      <c r="AE24" s="493">
        <v>615257.12848130998</v>
      </c>
      <c r="AF24" s="493">
        <v>615257.12848130998</v>
      </c>
      <c r="AG24" s="493">
        <v>615257.12848130998</v>
      </c>
      <c r="AH24" s="493">
        <v>0</v>
      </c>
      <c r="AI24" s="493">
        <v>51271.427373442493</v>
      </c>
      <c r="AJ24" s="493">
        <v>51271.427373442493</v>
      </c>
      <c r="AK24" s="493">
        <v>51271.427373442493</v>
      </c>
      <c r="AL24" s="493">
        <v>51271.427373442493</v>
      </c>
      <c r="AM24" s="493">
        <v>51271.427373442493</v>
      </c>
      <c r="AN24" s="493">
        <v>51271.427373442493</v>
      </c>
      <c r="AO24" s="493">
        <v>51271.427373442493</v>
      </c>
      <c r="AP24" s="493">
        <v>51271.427373442493</v>
      </c>
      <c r="AQ24" s="493">
        <v>51271.427373442493</v>
      </c>
      <c r="AR24" s="493">
        <v>51271.427373442493</v>
      </c>
      <c r="AS24" s="493">
        <v>51271.427373442493</v>
      </c>
      <c r="AT24" s="493">
        <v>51271.427373442493</v>
      </c>
      <c r="AU24" s="493">
        <v>51271.427373442493</v>
      </c>
      <c r="AV24" s="493">
        <v>51271.427373442493</v>
      </c>
      <c r="AW24" s="493">
        <v>51271.427373442493</v>
      </c>
      <c r="AX24" s="493">
        <v>51271.427373442493</v>
      </c>
      <c r="AY24" s="493">
        <v>51271.427373442493</v>
      </c>
      <c r="AZ24" s="493">
        <v>51271.427373442493</v>
      </c>
      <c r="BA24" s="493">
        <v>51271.427373442493</v>
      </c>
      <c r="BB24" s="493">
        <v>51271.427373442493</v>
      </c>
      <c r="BC24" s="493">
        <v>51271.427373442493</v>
      </c>
      <c r="BD24" s="493">
        <v>51271.427373442493</v>
      </c>
      <c r="BE24" s="493">
        <v>51271.427373442493</v>
      </c>
      <c r="BF24" s="493">
        <v>51271.427373442493</v>
      </c>
      <c r="BG24" s="493">
        <v>51271.427373442493</v>
      </c>
      <c r="BH24" s="493">
        <v>51271.427373442493</v>
      </c>
      <c r="BI24" s="493">
        <v>51271.427373442493</v>
      </c>
      <c r="BJ24" s="493">
        <v>51271.427373442493</v>
      </c>
      <c r="BK24" s="493">
        <v>51271.427373442493</v>
      </c>
      <c r="BL24" s="493">
        <v>51271.427373442493</v>
      </c>
      <c r="BM24" s="493">
        <v>51271.427373442493</v>
      </c>
      <c r="BN24" s="493">
        <v>51271.427373442493</v>
      </c>
      <c r="BO24" s="493">
        <v>51271.427373442493</v>
      </c>
      <c r="BP24" s="493">
        <v>51271.427373442493</v>
      </c>
      <c r="BQ24" s="493">
        <v>51271.427373442493</v>
      </c>
      <c r="BR24" s="493">
        <v>51271.427373442493</v>
      </c>
      <c r="BS24" s="493">
        <v>51271.427373442493</v>
      </c>
      <c r="BT24" s="493">
        <v>51271.427373442493</v>
      </c>
      <c r="BU24" s="493">
        <v>51271.427373442493</v>
      </c>
      <c r="BV24" s="493">
        <v>51271.427373442493</v>
      </c>
      <c r="BW24" s="493">
        <v>51271.427373442493</v>
      </c>
      <c r="BX24" s="493">
        <v>51271.427373442493</v>
      </c>
      <c r="BY24" s="493">
        <v>51271.427373442493</v>
      </c>
      <c r="BZ24" s="493">
        <v>51271.427373442493</v>
      </c>
      <c r="CA24" s="493">
        <v>51271.427373442493</v>
      </c>
      <c r="CB24" s="493">
        <v>51271.427373442493</v>
      </c>
      <c r="CC24" s="493">
        <v>51271.427373442493</v>
      </c>
      <c r="CD24" s="493">
        <v>51271.427373442493</v>
      </c>
      <c r="CE24" s="493">
        <v>51271.427373442493</v>
      </c>
      <c r="CF24" s="493">
        <v>51271.427373442493</v>
      </c>
      <c r="CG24" s="493">
        <v>51271.427373442493</v>
      </c>
      <c r="CH24" s="493">
        <v>51271.427373442493</v>
      </c>
      <c r="CI24" s="493">
        <v>51271.427373442493</v>
      </c>
      <c r="CJ24" s="493">
        <v>51271.427373442493</v>
      </c>
      <c r="CK24" s="493">
        <v>51271.427373442493</v>
      </c>
      <c r="CL24" s="493">
        <v>51271.427373442493</v>
      </c>
      <c r="CM24" s="493">
        <v>51271.427373442493</v>
      </c>
      <c r="CN24" s="493">
        <v>51271.427373442493</v>
      </c>
      <c r="CO24" s="493">
        <v>51271.427373442493</v>
      </c>
      <c r="CP24" s="493">
        <v>51271.427373442493</v>
      </c>
      <c r="CQ24" s="493">
        <v>51271.427373442493</v>
      </c>
      <c r="CR24" s="493">
        <v>51271.427373442493</v>
      </c>
      <c r="CS24" s="493">
        <v>51271.427373442493</v>
      </c>
      <c r="CT24" s="493">
        <v>51271.427373442493</v>
      </c>
      <c r="CU24" s="493">
        <v>51271.427373442493</v>
      </c>
      <c r="CV24" s="493">
        <v>51271.427373442493</v>
      </c>
      <c r="CW24" s="493">
        <v>51271.427373442493</v>
      </c>
      <c r="CX24" s="493">
        <v>51271.427373442493</v>
      </c>
      <c r="CY24" s="493">
        <v>51271.427373442493</v>
      </c>
      <c r="CZ24" s="493">
        <v>51271.427373442493</v>
      </c>
      <c r="DA24" s="493">
        <v>51271.427373442493</v>
      </c>
      <c r="DB24" s="493">
        <v>51271.427373442493</v>
      </c>
      <c r="DC24" s="493">
        <v>51271.427373442493</v>
      </c>
      <c r="DD24" s="493">
        <v>51271.427373442493</v>
      </c>
      <c r="DE24" s="493">
        <v>51271.427373442493</v>
      </c>
      <c r="DF24" s="493">
        <v>51271.427373442493</v>
      </c>
      <c r="DG24" s="493">
        <v>51271.427373442493</v>
      </c>
      <c r="DH24" s="493">
        <v>51271.427373442493</v>
      </c>
      <c r="DI24" s="493">
        <v>51271.427373442493</v>
      </c>
      <c r="DJ24" s="493">
        <v>51271.427373442493</v>
      </c>
      <c r="DK24" s="493">
        <v>51271.427373442493</v>
      </c>
      <c r="DL24" s="493">
        <v>51271.427373442493</v>
      </c>
      <c r="DM24" s="493">
        <v>51271.427373442493</v>
      </c>
      <c r="DN24" s="493">
        <v>51271.427373442493</v>
      </c>
      <c r="DO24" s="493">
        <v>51271.427373442493</v>
      </c>
      <c r="DP24" s="493">
        <v>51271.427373442493</v>
      </c>
      <c r="DQ24" s="493">
        <v>51271.427373442493</v>
      </c>
      <c r="DR24" s="493">
        <v>51271.427373442493</v>
      </c>
      <c r="DS24" s="493">
        <v>51271.427373442493</v>
      </c>
      <c r="DT24" s="493">
        <v>51271.427373442493</v>
      </c>
      <c r="DU24" s="493">
        <v>51271.427373442493</v>
      </c>
      <c r="DV24" s="493">
        <v>51271.427373442493</v>
      </c>
      <c r="DW24" s="493">
        <v>51271.427373442493</v>
      </c>
      <c r="DX24" s="493">
        <v>51271.427373442493</v>
      </c>
      <c r="DY24" s="493">
        <v>51271.427373442493</v>
      </c>
      <c r="DZ24" s="493">
        <v>51271.427373442493</v>
      </c>
      <c r="EA24" s="493">
        <v>51271.427373442493</v>
      </c>
      <c r="EB24" s="493">
        <v>51271.427373442493</v>
      </c>
      <c r="EC24" s="493">
        <v>51271.427373442493</v>
      </c>
      <c r="ED24" s="493">
        <v>51271.427373442493</v>
      </c>
      <c r="EE24" s="493">
        <v>51271.427373442493</v>
      </c>
      <c r="EF24" s="493">
        <v>51271.427373442493</v>
      </c>
      <c r="EG24" s="493">
        <v>51271.427373442493</v>
      </c>
      <c r="EH24" s="493">
        <v>51271.427373442493</v>
      </c>
      <c r="EI24" s="493">
        <v>51271.427373442493</v>
      </c>
      <c r="EJ24" s="493">
        <v>51271.427373442493</v>
      </c>
      <c r="EK24" s="493">
        <v>51271.427373442493</v>
      </c>
      <c r="EL24" s="493">
        <v>51271.427373442493</v>
      </c>
      <c r="EM24" s="493">
        <v>51271.427373442493</v>
      </c>
      <c r="EN24" s="493">
        <v>51271.427373442493</v>
      </c>
      <c r="EO24" s="493">
        <v>51271.427373442493</v>
      </c>
      <c r="EP24" s="493">
        <v>51271.427373442493</v>
      </c>
      <c r="EQ24" s="493">
        <v>51271.427373442493</v>
      </c>
      <c r="ER24" s="493">
        <v>51271.427373442493</v>
      </c>
      <c r="ES24" s="493">
        <v>51271.427373442493</v>
      </c>
      <c r="ET24" s="493">
        <v>51271.427373442493</v>
      </c>
      <c r="EU24" s="493">
        <v>51271.427373442493</v>
      </c>
      <c r="EV24" s="493">
        <v>51271.427373442493</v>
      </c>
      <c r="EW24" s="493">
        <v>51271.427373442493</v>
      </c>
      <c r="EX24" s="493">
        <v>51271.427373442493</v>
      </c>
      <c r="EY24" s="493">
        <v>0</v>
      </c>
      <c r="EZ24" s="493">
        <v>0</v>
      </c>
      <c r="FA24" s="493">
        <v>0</v>
      </c>
      <c r="FB24" s="493">
        <v>0</v>
      </c>
      <c r="FC24" s="493">
        <v>0</v>
      </c>
      <c r="FD24" s="493">
        <v>0</v>
      </c>
      <c r="FE24" s="493">
        <v>0</v>
      </c>
      <c r="FF24" s="493">
        <v>0</v>
      </c>
      <c r="FG24" s="493">
        <v>0</v>
      </c>
      <c r="FH24" s="493">
        <v>0</v>
      </c>
      <c r="FI24" s="493">
        <v>0</v>
      </c>
      <c r="FJ24" s="45">
        <v>0</v>
      </c>
    </row>
    <row r="25" spans="1:166">
      <c r="A25" s="501" t="s">
        <v>1033</v>
      </c>
      <c r="B25" s="491" t="s">
        <v>1560</v>
      </c>
      <c r="C25" s="491" t="s">
        <v>246</v>
      </c>
      <c r="D25" s="491" t="s">
        <v>820</v>
      </c>
      <c r="E25" s="491" t="s">
        <v>248</v>
      </c>
      <c r="F25" s="498" t="s">
        <v>249</v>
      </c>
      <c r="G25" s="491" t="s">
        <v>1559</v>
      </c>
      <c r="H25" s="491">
        <v>0</v>
      </c>
      <c r="I25" s="491">
        <v>0</v>
      </c>
      <c r="J25" s="491" t="s">
        <v>252</v>
      </c>
      <c r="K25" s="491">
        <v>0</v>
      </c>
      <c r="L25" s="491" t="s">
        <v>1563</v>
      </c>
      <c r="M25" s="511">
        <v>1</v>
      </c>
      <c r="N25" s="491">
        <v>0</v>
      </c>
      <c r="O25" s="494">
        <v>0</v>
      </c>
      <c r="P25" s="495">
        <v>0</v>
      </c>
      <c r="Q25" s="493">
        <v>0</v>
      </c>
      <c r="R25" s="494">
        <v>120</v>
      </c>
      <c r="S25" s="496">
        <v>1</v>
      </c>
      <c r="T25" s="512">
        <v>1</v>
      </c>
      <c r="U25" s="491">
        <v>0</v>
      </c>
      <c r="V25" s="493">
        <v>3332.6427792737618</v>
      </c>
      <c r="W25" s="493">
        <v>399917.13351285143</v>
      </c>
      <c r="X25" s="493">
        <v>39991.713351285143</v>
      </c>
      <c r="Y25" s="493">
        <v>39991.713351285143</v>
      </c>
      <c r="Z25" s="493">
        <v>39991.713351285143</v>
      </c>
      <c r="AA25" s="493">
        <v>39991.713351285143</v>
      </c>
      <c r="AB25" s="493">
        <v>39991.713351285143</v>
      </c>
      <c r="AC25" s="493">
        <v>39991.713351285143</v>
      </c>
      <c r="AD25" s="493">
        <v>39991.713351285143</v>
      </c>
      <c r="AE25" s="493">
        <v>39991.713351285143</v>
      </c>
      <c r="AF25" s="493">
        <v>39991.713351285143</v>
      </c>
      <c r="AG25" s="493">
        <v>39991.713351285143</v>
      </c>
      <c r="AH25" s="493">
        <v>0</v>
      </c>
      <c r="AI25" s="493">
        <v>3332.6427792737618</v>
      </c>
      <c r="AJ25" s="493">
        <v>3332.6427792737618</v>
      </c>
      <c r="AK25" s="493">
        <v>3332.6427792737618</v>
      </c>
      <c r="AL25" s="493">
        <v>3332.6427792737618</v>
      </c>
      <c r="AM25" s="493">
        <v>3332.6427792737618</v>
      </c>
      <c r="AN25" s="493">
        <v>3332.6427792737618</v>
      </c>
      <c r="AO25" s="493">
        <v>3332.6427792737618</v>
      </c>
      <c r="AP25" s="493">
        <v>3332.6427792737618</v>
      </c>
      <c r="AQ25" s="493">
        <v>3332.6427792737618</v>
      </c>
      <c r="AR25" s="493">
        <v>3332.6427792737618</v>
      </c>
      <c r="AS25" s="493">
        <v>3332.6427792737618</v>
      </c>
      <c r="AT25" s="493">
        <v>3332.6427792737618</v>
      </c>
      <c r="AU25" s="493">
        <v>3332.6427792737618</v>
      </c>
      <c r="AV25" s="493">
        <v>3332.6427792737618</v>
      </c>
      <c r="AW25" s="493">
        <v>3332.6427792737618</v>
      </c>
      <c r="AX25" s="493">
        <v>3332.6427792737618</v>
      </c>
      <c r="AY25" s="493">
        <v>3332.6427792737618</v>
      </c>
      <c r="AZ25" s="493">
        <v>3332.6427792737618</v>
      </c>
      <c r="BA25" s="493">
        <v>3332.6427792737618</v>
      </c>
      <c r="BB25" s="493">
        <v>3332.6427792737618</v>
      </c>
      <c r="BC25" s="493">
        <v>3332.6427792737618</v>
      </c>
      <c r="BD25" s="493">
        <v>3332.6427792737618</v>
      </c>
      <c r="BE25" s="493">
        <v>3332.6427792737618</v>
      </c>
      <c r="BF25" s="493">
        <v>3332.6427792737618</v>
      </c>
      <c r="BG25" s="493">
        <v>3332.6427792737618</v>
      </c>
      <c r="BH25" s="493">
        <v>3332.6427792737618</v>
      </c>
      <c r="BI25" s="493">
        <v>3332.6427792737618</v>
      </c>
      <c r="BJ25" s="493">
        <v>3332.6427792737618</v>
      </c>
      <c r="BK25" s="493">
        <v>3332.6427792737618</v>
      </c>
      <c r="BL25" s="493">
        <v>3332.6427792737618</v>
      </c>
      <c r="BM25" s="493">
        <v>3332.6427792737618</v>
      </c>
      <c r="BN25" s="493">
        <v>3332.6427792737618</v>
      </c>
      <c r="BO25" s="493">
        <v>3332.6427792737618</v>
      </c>
      <c r="BP25" s="493">
        <v>3332.6427792737618</v>
      </c>
      <c r="BQ25" s="493">
        <v>3332.6427792737618</v>
      </c>
      <c r="BR25" s="493">
        <v>3332.6427792737618</v>
      </c>
      <c r="BS25" s="493">
        <v>3332.6427792737618</v>
      </c>
      <c r="BT25" s="493">
        <v>3332.6427792737618</v>
      </c>
      <c r="BU25" s="493">
        <v>3332.6427792737618</v>
      </c>
      <c r="BV25" s="493">
        <v>3332.6427792737618</v>
      </c>
      <c r="BW25" s="493">
        <v>3332.6427792737618</v>
      </c>
      <c r="BX25" s="493">
        <v>3332.6427792737618</v>
      </c>
      <c r="BY25" s="493">
        <v>3332.6427792737618</v>
      </c>
      <c r="BZ25" s="493">
        <v>3332.6427792737618</v>
      </c>
      <c r="CA25" s="493">
        <v>3332.6427792737618</v>
      </c>
      <c r="CB25" s="493">
        <v>3332.6427792737618</v>
      </c>
      <c r="CC25" s="493">
        <v>3332.6427792737618</v>
      </c>
      <c r="CD25" s="493">
        <v>3332.6427792737618</v>
      </c>
      <c r="CE25" s="493">
        <v>3332.6427792737618</v>
      </c>
      <c r="CF25" s="493">
        <v>3332.6427792737618</v>
      </c>
      <c r="CG25" s="493">
        <v>3332.6427792737618</v>
      </c>
      <c r="CH25" s="493">
        <v>3332.6427792737618</v>
      </c>
      <c r="CI25" s="493">
        <v>3332.6427792737618</v>
      </c>
      <c r="CJ25" s="493">
        <v>3332.6427792737618</v>
      </c>
      <c r="CK25" s="493">
        <v>3332.6427792737618</v>
      </c>
      <c r="CL25" s="493">
        <v>3332.6427792737618</v>
      </c>
      <c r="CM25" s="493">
        <v>3332.6427792737618</v>
      </c>
      <c r="CN25" s="493">
        <v>3332.6427792737618</v>
      </c>
      <c r="CO25" s="493">
        <v>3332.6427792737618</v>
      </c>
      <c r="CP25" s="493">
        <v>3332.6427792737618</v>
      </c>
      <c r="CQ25" s="493">
        <v>3332.6427792737618</v>
      </c>
      <c r="CR25" s="493">
        <v>3332.6427792737618</v>
      </c>
      <c r="CS25" s="493">
        <v>3332.6427792737618</v>
      </c>
      <c r="CT25" s="493">
        <v>3332.6427792737618</v>
      </c>
      <c r="CU25" s="493">
        <v>3332.6427792737618</v>
      </c>
      <c r="CV25" s="493">
        <v>3332.6427792737618</v>
      </c>
      <c r="CW25" s="493">
        <v>3332.6427792737618</v>
      </c>
      <c r="CX25" s="493">
        <v>3332.6427792737618</v>
      </c>
      <c r="CY25" s="493">
        <v>3332.6427792737618</v>
      </c>
      <c r="CZ25" s="493">
        <v>3332.6427792737618</v>
      </c>
      <c r="DA25" s="493">
        <v>3332.6427792737618</v>
      </c>
      <c r="DB25" s="493">
        <v>3332.6427792737618</v>
      </c>
      <c r="DC25" s="493">
        <v>3332.6427792737618</v>
      </c>
      <c r="DD25" s="493">
        <v>3332.6427792737618</v>
      </c>
      <c r="DE25" s="493">
        <v>3332.6427792737618</v>
      </c>
      <c r="DF25" s="493">
        <v>3332.6427792737618</v>
      </c>
      <c r="DG25" s="493">
        <v>3332.6427792737618</v>
      </c>
      <c r="DH25" s="493">
        <v>3332.6427792737618</v>
      </c>
      <c r="DI25" s="493">
        <v>3332.6427792737618</v>
      </c>
      <c r="DJ25" s="493">
        <v>3332.6427792737618</v>
      </c>
      <c r="DK25" s="493">
        <v>3332.6427792737618</v>
      </c>
      <c r="DL25" s="493">
        <v>3332.6427792737618</v>
      </c>
      <c r="DM25" s="493">
        <v>3332.6427792737618</v>
      </c>
      <c r="DN25" s="493">
        <v>3332.6427792737618</v>
      </c>
      <c r="DO25" s="493">
        <v>3332.6427792737618</v>
      </c>
      <c r="DP25" s="493">
        <v>3332.6427792737618</v>
      </c>
      <c r="DQ25" s="493">
        <v>3332.6427792737618</v>
      </c>
      <c r="DR25" s="493">
        <v>3332.6427792737618</v>
      </c>
      <c r="DS25" s="493">
        <v>3332.6427792737618</v>
      </c>
      <c r="DT25" s="493">
        <v>3332.6427792737618</v>
      </c>
      <c r="DU25" s="493">
        <v>3332.6427792737618</v>
      </c>
      <c r="DV25" s="493">
        <v>3332.6427792737618</v>
      </c>
      <c r="DW25" s="493">
        <v>3332.6427792737618</v>
      </c>
      <c r="DX25" s="493">
        <v>3332.6427792737618</v>
      </c>
      <c r="DY25" s="493">
        <v>3332.6427792737618</v>
      </c>
      <c r="DZ25" s="493">
        <v>3332.6427792737618</v>
      </c>
      <c r="EA25" s="493">
        <v>3332.6427792737618</v>
      </c>
      <c r="EB25" s="493">
        <v>3332.6427792737618</v>
      </c>
      <c r="EC25" s="493">
        <v>3332.6427792737618</v>
      </c>
      <c r="ED25" s="493">
        <v>3332.6427792737618</v>
      </c>
      <c r="EE25" s="493">
        <v>3332.6427792737618</v>
      </c>
      <c r="EF25" s="493">
        <v>3332.6427792737618</v>
      </c>
      <c r="EG25" s="493">
        <v>3332.6427792737618</v>
      </c>
      <c r="EH25" s="493">
        <v>3332.6427792737618</v>
      </c>
      <c r="EI25" s="493">
        <v>3332.6427792737618</v>
      </c>
      <c r="EJ25" s="493">
        <v>3332.6427792737618</v>
      </c>
      <c r="EK25" s="493">
        <v>3332.6427792737618</v>
      </c>
      <c r="EL25" s="493">
        <v>3332.6427792737618</v>
      </c>
      <c r="EM25" s="493">
        <v>3332.6427792737618</v>
      </c>
      <c r="EN25" s="493">
        <v>3332.6427792737618</v>
      </c>
      <c r="EO25" s="493">
        <v>3332.6427792737618</v>
      </c>
      <c r="EP25" s="493">
        <v>3332.6427792737618</v>
      </c>
      <c r="EQ25" s="493">
        <v>3332.6427792737618</v>
      </c>
      <c r="ER25" s="493">
        <v>3332.6427792737618</v>
      </c>
      <c r="ES25" s="493">
        <v>3332.6427792737618</v>
      </c>
      <c r="ET25" s="493">
        <v>3332.6427792737618</v>
      </c>
      <c r="EU25" s="493">
        <v>3332.6427792737618</v>
      </c>
      <c r="EV25" s="493">
        <v>3332.6427792737618</v>
      </c>
      <c r="EW25" s="493">
        <v>3332.6427792737618</v>
      </c>
      <c r="EX25" s="493">
        <v>3332.6427792737618</v>
      </c>
      <c r="EY25" s="493">
        <v>0</v>
      </c>
      <c r="EZ25" s="493">
        <v>0</v>
      </c>
      <c r="FA25" s="493">
        <v>0</v>
      </c>
      <c r="FB25" s="493">
        <v>0</v>
      </c>
      <c r="FC25" s="493">
        <v>0</v>
      </c>
      <c r="FD25" s="493">
        <v>0</v>
      </c>
      <c r="FE25" s="493">
        <v>0</v>
      </c>
      <c r="FF25" s="493">
        <v>0</v>
      </c>
      <c r="FG25" s="493">
        <v>0</v>
      </c>
      <c r="FH25" s="493">
        <v>0</v>
      </c>
      <c r="FI25" s="493">
        <v>0</v>
      </c>
      <c r="FJ25" s="45">
        <v>0</v>
      </c>
    </row>
    <row r="26" spans="1:166">
      <c r="A26" s="501" t="s">
        <v>1034</v>
      </c>
      <c r="B26" s="491" t="s">
        <v>1560</v>
      </c>
      <c r="C26" s="491" t="s">
        <v>246</v>
      </c>
      <c r="D26" s="491" t="s">
        <v>820</v>
      </c>
      <c r="E26" s="491" t="s">
        <v>248</v>
      </c>
      <c r="F26" s="498" t="s">
        <v>250</v>
      </c>
      <c r="G26" s="491" t="s">
        <v>897</v>
      </c>
      <c r="H26" s="491">
        <v>0</v>
      </c>
      <c r="I26" s="491">
        <v>0</v>
      </c>
      <c r="J26" s="491" t="s">
        <v>252</v>
      </c>
      <c r="K26" s="491">
        <v>0</v>
      </c>
      <c r="L26" s="491" t="s">
        <v>1565</v>
      </c>
      <c r="M26" s="511">
        <v>1</v>
      </c>
      <c r="N26" s="491">
        <v>0</v>
      </c>
      <c r="O26" s="494">
        <v>0</v>
      </c>
      <c r="P26" s="495">
        <v>0</v>
      </c>
      <c r="Q26" s="493">
        <v>0</v>
      </c>
      <c r="R26" s="491">
        <v>120</v>
      </c>
      <c r="S26" s="496">
        <v>1</v>
      </c>
      <c r="T26" s="512">
        <v>1</v>
      </c>
      <c r="U26" s="491">
        <v>0</v>
      </c>
      <c r="V26" s="493">
        <v>128178.56843360623</v>
      </c>
      <c r="W26" s="493">
        <v>15381428.212032748</v>
      </c>
      <c r="X26" s="493">
        <v>1538142.8212032749</v>
      </c>
      <c r="Y26" s="493">
        <v>1538142.8212032749</v>
      </c>
      <c r="Z26" s="493">
        <v>1538142.8212032749</v>
      </c>
      <c r="AA26" s="493">
        <v>1538142.8212032749</v>
      </c>
      <c r="AB26" s="493">
        <v>1538142.8212032749</v>
      </c>
      <c r="AC26" s="493">
        <v>1538142.8212032749</v>
      </c>
      <c r="AD26" s="493">
        <v>1538142.8212032749</v>
      </c>
      <c r="AE26" s="493">
        <v>1538142.8212032749</v>
      </c>
      <c r="AF26" s="493">
        <v>1538142.8212032749</v>
      </c>
      <c r="AG26" s="493">
        <v>1538142.8212032749</v>
      </c>
      <c r="AH26" s="493">
        <v>0</v>
      </c>
      <c r="AI26" s="493">
        <v>128178.56843360623</v>
      </c>
      <c r="AJ26" s="493">
        <v>128178.56843360623</v>
      </c>
      <c r="AK26" s="493">
        <v>128178.56843360623</v>
      </c>
      <c r="AL26" s="493">
        <v>128178.56843360623</v>
      </c>
      <c r="AM26" s="493">
        <v>128178.56843360623</v>
      </c>
      <c r="AN26" s="493">
        <v>128178.56843360623</v>
      </c>
      <c r="AO26" s="493">
        <v>128178.56843360623</v>
      </c>
      <c r="AP26" s="493">
        <v>128178.56843360623</v>
      </c>
      <c r="AQ26" s="493">
        <v>128178.56843360623</v>
      </c>
      <c r="AR26" s="493">
        <v>128178.56843360623</v>
      </c>
      <c r="AS26" s="493">
        <v>128178.56843360623</v>
      </c>
      <c r="AT26" s="493">
        <v>128178.56843360623</v>
      </c>
      <c r="AU26" s="493">
        <v>128178.56843360623</v>
      </c>
      <c r="AV26" s="493">
        <v>128178.56843360623</v>
      </c>
      <c r="AW26" s="493">
        <v>128178.56843360623</v>
      </c>
      <c r="AX26" s="493">
        <v>128178.56843360623</v>
      </c>
      <c r="AY26" s="493">
        <v>128178.56843360623</v>
      </c>
      <c r="AZ26" s="493">
        <v>128178.56843360623</v>
      </c>
      <c r="BA26" s="493">
        <v>128178.56843360623</v>
      </c>
      <c r="BB26" s="493">
        <v>128178.56843360623</v>
      </c>
      <c r="BC26" s="493">
        <v>128178.56843360623</v>
      </c>
      <c r="BD26" s="493">
        <v>128178.56843360623</v>
      </c>
      <c r="BE26" s="493">
        <v>128178.56843360623</v>
      </c>
      <c r="BF26" s="493">
        <v>128178.56843360623</v>
      </c>
      <c r="BG26" s="493">
        <v>128178.56843360623</v>
      </c>
      <c r="BH26" s="493">
        <v>128178.56843360623</v>
      </c>
      <c r="BI26" s="493">
        <v>128178.56843360623</v>
      </c>
      <c r="BJ26" s="493">
        <v>128178.56843360623</v>
      </c>
      <c r="BK26" s="493">
        <v>128178.56843360623</v>
      </c>
      <c r="BL26" s="493">
        <v>128178.56843360623</v>
      </c>
      <c r="BM26" s="493">
        <v>128178.56843360623</v>
      </c>
      <c r="BN26" s="493">
        <v>128178.56843360623</v>
      </c>
      <c r="BO26" s="493">
        <v>128178.56843360623</v>
      </c>
      <c r="BP26" s="493">
        <v>128178.56843360623</v>
      </c>
      <c r="BQ26" s="493">
        <v>128178.56843360623</v>
      </c>
      <c r="BR26" s="493">
        <v>128178.56843360623</v>
      </c>
      <c r="BS26" s="493">
        <v>128178.56843360623</v>
      </c>
      <c r="BT26" s="493">
        <v>128178.56843360623</v>
      </c>
      <c r="BU26" s="493">
        <v>128178.56843360623</v>
      </c>
      <c r="BV26" s="493">
        <v>128178.56843360623</v>
      </c>
      <c r="BW26" s="493">
        <v>128178.56843360623</v>
      </c>
      <c r="BX26" s="493">
        <v>128178.56843360623</v>
      </c>
      <c r="BY26" s="493">
        <v>128178.56843360623</v>
      </c>
      <c r="BZ26" s="493">
        <v>128178.56843360623</v>
      </c>
      <c r="CA26" s="493">
        <v>128178.56843360623</v>
      </c>
      <c r="CB26" s="493">
        <v>128178.56843360623</v>
      </c>
      <c r="CC26" s="493">
        <v>128178.56843360623</v>
      </c>
      <c r="CD26" s="493">
        <v>128178.56843360623</v>
      </c>
      <c r="CE26" s="493">
        <v>128178.56843360623</v>
      </c>
      <c r="CF26" s="493">
        <v>128178.56843360623</v>
      </c>
      <c r="CG26" s="493">
        <v>128178.56843360623</v>
      </c>
      <c r="CH26" s="493">
        <v>128178.56843360623</v>
      </c>
      <c r="CI26" s="493">
        <v>128178.56843360623</v>
      </c>
      <c r="CJ26" s="493">
        <v>128178.56843360623</v>
      </c>
      <c r="CK26" s="493">
        <v>128178.56843360623</v>
      </c>
      <c r="CL26" s="493">
        <v>128178.56843360623</v>
      </c>
      <c r="CM26" s="493">
        <v>128178.56843360623</v>
      </c>
      <c r="CN26" s="493">
        <v>128178.56843360623</v>
      </c>
      <c r="CO26" s="493">
        <v>128178.56843360623</v>
      </c>
      <c r="CP26" s="493">
        <v>128178.56843360623</v>
      </c>
      <c r="CQ26" s="493">
        <v>128178.56843360623</v>
      </c>
      <c r="CR26" s="493">
        <v>128178.56843360623</v>
      </c>
      <c r="CS26" s="493">
        <v>128178.56843360623</v>
      </c>
      <c r="CT26" s="493">
        <v>128178.56843360623</v>
      </c>
      <c r="CU26" s="493">
        <v>128178.56843360623</v>
      </c>
      <c r="CV26" s="493">
        <v>128178.56843360623</v>
      </c>
      <c r="CW26" s="493">
        <v>128178.56843360623</v>
      </c>
      <c r="CX26" s="493">
        <v>128178.56843360623</v>
      </c>
      <c r="CY26" s="493">
        <v>128178.56843360623</v>
      </c>
      <c r="CZ26" s="493">
        <v>128178.56843360623</v>
      </c>
      <c r="DA26" s="493">
        <v>128178.56843360623</v>
      </c>
      <c r="DB26" s="493">
        <v>128178.56843360623</v>
      </c>
      <c r="DC26" s="493">
        <v>128178.56843360623</v>
      </c>
      <c r="DD26" s="493">
        <v>128178.56843360623</v>
      </c>
      <c r="DE26" s="493">
        <v>128178.56843360623</v>
      </c>
      <c r="DF26" s="493">
        <v>128178.56843360623</v>
      </c>
      <c r="DG26" s="493">
        <v>128178.56843360623</v>
      </c>
      <c r="DH26" s="493">
        <v>128178.56843360623</v>
      </c>
      <c r="DI26" s="493">
        <v>128178.56843360623</v>
      </c>
      <c r="DJ26" s="493">
        <v>128178.56843360623</v>
      </c>
      <c r="DK26" s="493">
        <v>128178.56843360623</v>
      </c>
      <c r="DL26" s="493">
        <v>128178.56843360623</v>
      </c>
      <c r="DM26" s="493">
        <v>128178.56843360623</v>
      </c>
      <c r="DN26" s="493">
        <v>128178.56843360623</v>
      </c>
      <c r="DO26" s="493">
        <v>128178.56843360623</v>
      </c>
      <c r="DP26" s="493">
        <v>128178.56843360623</v>
      </c>
      <c r="DQ26" s="493">
        <v>128178.56843360623</v>
      </c>
      <c r="DR26" s="493">
        <v>128178.56843360623</v>
      </c>
      <c r="DS26" s="493">
        <v>128178.56843360623</v>
      </c>
      <c r="DT26" s="493">
        <v>128178.56843360623</v>
      </c>
      <c r="DU26" s="493">
        <v>128178.56843360623</v>
      </c>
      <c r="DV26" s="493">
        <v>128178.56843360623</v>
      </c>
      <c r="DW26" s="493">
        <v>128178.56843360623</v>
      </c>
      <c r="DX26" s="493">
        <v>128178.56843360623</v>
      </c>
      <c r="DY26" s="493">
        <v>128178.56843360623</v>
      </c>
      <c r="DZ26" s="493">
        <v>128178.56843360623</v>
      </c>
      <c r="EA26" s="493">
        <v>128178.56843360623</v>
      </c>
      <c r="EB26" s="493">
        <v>128178.56843360623</v>
      </c>
      <c r="EC26" s="493">
        <v>128178.56843360623</v>
      </c>
      <c r="ED26" s="493">
        <v>128178.56843360623</v>
      </c>
      <c r="EE26" s="493">
        <v>128178.56843360623</v>
      </c>
      <c r="EF26" s="493">
        <v>128178.56843360623</v>
      </c>
      <c r="EG26" s="493">
        <v>128178.56843360623</v>
      </c>
      <c r="EH26" s="493">
        <v>128178.56843360623</v>
      </c>
      <c r="EI26" s="493">
        <v>128178.56843360623</v>
      </c>
      <c r="EJ26" s="493">
        <v>128178.56843360623</v>
      </c>
      <c r="EK26" s="493">
        <v>128178.56843360623</v>
      </c>
      <c r="EL26" s="493">
        <v>128178.56843360623</v>
      </c>
      <c r="EM26" s="493">
        <v>128178.56843360623</v>
      </c>
      <c r="EN26" s="493">
        <v>128178.56843360623</v>
      </c>
      <c r="EO26" s="493">
        <v>128178.56843360623</v>
      </c>
      <c r="EP26" s="493">
        <v>128178.56843360623</v>
      </c>
      <c r="EQ26" s="493">
        <v>128178.56843360623</v>
      </c>
      <c r="ER26" s="493">
        <v>128178.56843360623</v>
      </c>
      <c r="ES26" s="493">
        <v>128178.56843360623</v>
      </c>
      <c r="ET26" s="493">
        <v>128178.56843360623</v>
      </c>
      <c r="EU26" s="493">
        <v>128178.56843360623</v>
      </c>
      <c r="EV26" s="493">
        <v>128178.56843360623</v>
      </c>
      <c r="EW26" s="493">
        <v>128178.56843360623</v>
      </c>
      <c r="EX26" s="493">
        <v>128178.56843360623</v>
      </c>
      <c r="EY26" s="493">
        <v>0</v>
      </c>
      <c r="EZ26" s="493">
        <v>0</v>
      </c>
      <c r="FA26" s="493">
        <v>0</v>
      </c>
      <c r="FB26" s="493">
        <v>0</v>
      </c>
      <c r="FC26" s="493">
        <v>0</v>
      </c>
      <c r="FD26" s="493">
        <v>0</v>
      </c>
      <c r="FE26" s="493">
        <v>0</v>
      </c>
      <c r="FF26" s="493">
        <v>0</v>
      </c>
      <c r="FG26" s="493">
        <v>0</v>
      </c>
      <c r="FH26" s="493">
        <v>0</v>
      </c>
      <c r="FI26" s="493">
        <v>0</v>
      </c>
      <c r="FJ26" s="45">
        <v>0</v>
      </c>
    </row>
    <row r="27" spans="1:166">
      <c r="A27" s="501" t="s">
        <v>1013</v>
      </c>
      <c r="B27" s="491" t="s">
        <v>1522</v>
      </c>
      <c r="C27" s="491" t="s">
        <v>256</v>
      </c>
      <c r="D27" s="491" t="s">
        <v>821</v>
      </c>
      <c r="E27" s="491" t="s">
        <v>470</v>
      </c>
      <c r="F27" s="491" t="s">
        <v>1546</v>
      </c>
      <c r="G27" s="491">
        <v>0</v>
      </c>
      <c r="H27" s="491">
        <v>0</v>
      </c>
      <c r="I27" s="491">
        <v>0</v>
      </c>
      <c r="J27" s="491" t="s">
        <v>252</v>
      </c>
      <c r="K27" s="491">
        <v>0</v>
      </c>
      <c r="L27" s="491" t="s">
        <v>1565</v>
      </c>
      <c r="M27" s="511">
        <v>1</v>
      </c>
      <c r="N27" s="493">
        <v>0</v>
      </c>
      <c r="O27" s="494">
        <v>0</v>
      </c>
      <c r="P27" s="495">
        <v>0</v>
      </c>
      <c r="Q27" s="493">
        <v>0</v>
      </c>
      <c r="R27" s="493">
        <v>10</v>
      </c>
      <c r="S27" s="496">
        <v>1</v>
      </c>
      <c r="T27" s="512">
        <v>1</v>
      </c>
      <c r="U27" s="491">
        <v>0</v>
      </c>
      <c r="V27" s="493">
        <v>13000000</v>
      </c>
      <c r="W27" s="493">
        <v>130000000</v>
      </c>
      <c r="X27" s="493">
        <v>130000000</v>
      </c>
      <c r="Y27" s="493">
        <v>0</v>
      </c>
      <c r="Z27" s="493">
        <v>0</v>
      </c>
      <c r="AA27" s="493">
        <v>0</v>
      </c>
      <c r="AB27" s="493">
        <v>0</v>
      </c>
      <c r="AC27" s="493">
        <v>0</v>
      </c>
      <c r="AD27" s="493">
        <v>0</v>
      </c>
      <c r="AE27" s="493">
        <v>0</v>
      </c>
      <c r="AF27" s="493">
        <v>0</v>
      </c>
      <c r="AG27" s="493">
        <v>0</v>
      </c>
      <c r="AH27" s="493">
        <v>0</v>
      </c>
      <c r="AI27" s="493">
        <v>13000000</v>
      </c>
      <c r="AJ27" s="493">
        <v>13000000</v>
      </c>
      <c r="AK27" s="493">
        <v>13000000</v>
      </c>
      <c r="AL27" s="493">
        <v>13000000</v>
      </c>
      <c r="AM27" s="493">
        <v>13000000</v>
      </c>
      <c r="AN27" s="493">
        <v>13000000</v>
      </c>
      <c r="AO27" s="493">
        <v>13000000</v>
      </c>
      <c r="AP27" s="493">
        <v>13000000</v>
      </c>
      <c r="AQ27" s="493">
        <v>13000000</v>
      </c>
      <c r="AR27" s="493">
        <v>13000000</v>
      </c>
      <c r="AS27" s="493">
        <v>0</v>
      </c>
      <c r="AT27" s="493">
        <v>0</v>
      </c>
      <c r="AU27" s="493">
        <v>0</v>
      </c>
      <c r="AV27" s="493">
        <v>0</v>
      </c>
      <c r="AW27" s="493">
        <v>0</v>
      </c>
      <c r="AX27" s="493">
        <v>0</v>
      </c>
      <c r="AY27" s="493">
        <v>0</v>
      </c>
      <c r="AZ27" s="493">
        <v>0</v>
      </c>
      <c r="BA27" s="493">
        <v>0</v>
      </c>
      <c r="BB27" s="493">
        <v>0</v>
      </c>
      <c r="BC27" s="493">
        <v>0</v>
      </c>
      <c r="BD27" s="493">
        <v>0</v>
      </c>
      <c r="BE27" s="493">
        <v>0</v>
      </c>
      <c r="BF27" s="493">
        <v>0</v>
      </c>
      <c r="BG27" s="493">
        <v>0</v>
      </c>
      <c r="BH27" s="493">
        <v>0</v>
      </c>
      <c r="BI27" s="493">
        <v>0</v>
      </c>
      <c r="BJ27" s="493">
        <v>0</v>
      </c>
      <c r="BK27" s="493">
        <v>0</v>
      </c>
      <c r="BL27" s="493">
        <v>0</v>
      </c>
      <c r="BM27" s="493">
        <v>0</v>
      </c>
      <c r="BN27" s="493">
        <v>0</v>
      </c>
      <c r="BO27" s="493">
        <v>0</v>
      </c>
      <c r="BP27" s="493">
        <v>0</v>
      </c>
      <c r="BQ27" s="493">
        <v>0</v>
      </c>
      <c r="BR27" s="493">
        <v>0</v>
      </c>
      <c r="BS27" s="493">
        <v>0</v>
      </c>
      <c r="BT27" s="493">
        <v>0</v>
      </c>
      <c r="BU27" s="493">
        <v>0</v>
      </c>
      <c r="BV27" s="493">
        <v>0</v>
      </c>
      <c r="BW27" s="493">
        <v>0</v>
      </c>
      <c r="BX27" s="493">
        <v>0</v>
      </c>
      <c r="BY27" s="493">
        <v>0</v>
      </c>
      <c r="BZ27" s="493">
        <v>0</v>
      </c>
      <c r="CA27" s="493">
        <v>0</v>
      </c>
      <c r="CB27" s="493">
        <v>0</v>
      </c>
      <c r="CC27" s="493">
        <v>0</v>
      </c>
      <c r="CD27" s="493">
        <v>0</v>
      </c>
      <c r="CE27" s="493">
        <v>0</v>
      </c>
      <c r="CF27" s="493">
        <v>0</v>
      </c>
      <c r="CG27" s="493">
        <v>0</v>
      </c>
      <c r="CH27" s="493">
        <v>0</v>
      </c>
      <c r="CI27" s="493">
        <v>0</v>
      </c>
      <c r="CJ27" s="493">
        <v>0</v>
      </c>
      <c r="CK27" s="493">
        <v>0</v>
      </c>
      <c r="CL27" s="493">
        <v>0</v>
      </c>
      <c r="CM27" s="493">
        <v>0</v>
      </c>
      <c r="CN27" s="493">
        <v>0</v>
      </c>
      <c r="CO27" s="493">
        <v>0</v>
      </c>
      <c r="CP27" s="493">
        <v>0</v>
      </c>
      <c r="CQ27" s="493">
        <v>0</v>
      </c>
      <c r="CR27" s="493">
        <v>0</v>
      </c>
      <c r="CS27" s="493">
        <v>0</v>
      </c>
      <c r="CT27" s="493">
        <v>0</v>
      </c>
      <c r="CU27" s="493">
        <v>0</v>
      </c>
      <c r="CV27" s="493">
        <v>0</v>
      </c>
      <c r="CW27" s="493">
        <v>0</v>
      </c>
      <c r="CX27" s="493">
        <v>0</v>
      </c>
      <c r="CY27" s="493">
        <v>0</v>
      </c>
      <c r="CZ27" s="493">
        <v>0</v>
      </c>
      <c r="DA27" s="493">
        <v>0</v>
      </c>
      <c r="DB27" s="493">
        <v>0</v>
      </c>
      <c r="DC27" s="493">
        <v>0</v>
      </c>
      <c r="DD27" s="493">
        <v>0</v>
      </c>
      <c r="DE27" s="493">
        <v>0</v>
      </c>
      <c r="DF27" s="493">
        <v>0</v>
      </c>
      <c r="DG27" s="493">
        <v>0</v>
      </c>
      <c r="DH27" s="493">
        <v>0</v>
      </c>
      <c r="DI27" s="493">
        <v>0</v>
      </c>
      <c r="DJ27" s="493">
        <v>0</v>
      </c>
      <c r="DK27" s="493">
        <v>0</v>
      </c>
      <c r="DL27" s="493">
        <v>0</v>
      </c>
      <c r="DM27" s="493">
        <v>0</v>
      </c>
      <c r="DN27" s="493">
        <v>0</v>
      </c>
      <c r="DO27" s="493">
        <v>0</v>
      </c>
      <c r="DP27" s="493">
        <v>0</v>
      </c>
      <c r="DQ27" s="493">
        <v>0</v>
      </c>
      <c r="DR27" s="493">
        <v>0</v>
      </c>
      <c r="DS27" s="493">
        <v>0</v>
      </c>
      <c r="DT27" s="493">
        <v>0</v>
      </c>
      <c r="DU27" s="493">
        <v>0</v>
      </c>
      <c r="DV27" s="493">
        <v>0</v>
      </c>
      <c r="DW27" s="493">
        <v>0</v>
      </c>
      <c r="DX27" s="493">
        <v>0</v>
      </c>
      <c r="DY27" s="493">
        <v>0</v>
      </c>
      <c r="DZ27" s="493">
        <v>0</v>
      </c>
      <c r="EA27" s="493">
        <v>0</v>
      </c>
      <c r="EB27" s="493">
        <v>0</v>
      </c>
      <c r="EC27" s="493">
        <v>0</v>
      </c>
      <c r="ED27" s="493">
        <v>0</v>
      </c>
      <c r="EE27" s="493">
        <v>0</v>
      </c>
      <c r="EF27" s="493">
        <v>0</v>
      </c>
      <c r="EG27" s="493">
        <v>0</v>
      </c>
      <c r="EH27" s="493">
        <v>0</v>
      </c>
      <c r="EI27" s="493">
        <v>0</v>
      </c>
      <c r="EJ27" s="493">
        <v>0</v>
      </c>
      <c r="EK27" s="493">
        <v>0</v>
      </c>
      <c r="EL27" s="493">
        <v>0</v>
      </c>
      <c r="EM27" s="493">
        <v>0</v>
      </c>
      <c r="EN27" s="493">
        <v>0</v>
      </c>
      <c r="EO27" s="493">
        <v>0</v>
      </c>
      <c r="EP27" s="493">
        <v>0</v>
      </c>
      <c r="EQ27" s="493">
        <v>0</v>
      </c>
      <c r="ER27" s="493">
        <v>0</v>
      </c>
      <c r="ES27" s="493">
        <v>0</v>
      </c>
      <c r="ET27" s="493">
        <v>0</v>
      </c>
      <c r="EU27" s="493">
        <v>0</v>
      </c>
      <c r="EV27" s="493">
        <v>0</v>
      </c>
      <c r="EW27" s="493">
        <v>0</v>
      </c>
      <c r="EX27" s="493">
        <v>0</v>
      </c>
      <c r="EY27" s="493">
        <v>0</v>
      </c>
      <c r="EZ27" s="493">
        <v>0</v>
      </c>
      <c r="FA27" s="493">
        <v>0</v>
      </c>
      <c r="FB27" s="493">
        <v>0</v>
      </c>
      <c r="FC27" s="493">
        <v>0</v>
      </c>
      <c r="FD27" s="493">
        <v>0</v>
      </c>
      <c r="FE27" s="493">
        <v>0</v>
      </c>
      <c r="FF27" s="493">
        <v>0</v>
      </c>
      <c r="FG27" s="493">
        <v>0</v>
      </c>
      <c r="FH27" s="493">
        <v>0</v>
      </c>
      <c r="FI27" s="493">
        <v>0</v>
      </c>
      <c r="FJ27" s="45">
        <v>0</v>
      </c>
    </row>
    <row r="28" spans="1:166">
      <c r="A28" s="501" t="s">
        <v>1035</v>
      </c>
      <c r="B28" s="491" t="s">
        <v>195</v>
      </c>
      <c r="C28" s="491" t="s">
        <v>246</v>
      </c>
      <c r="D28" s="491" t="s">
        <v>820</v>
      </c>
      <c r="E28" s="491" t="s">
        <v>248</v>
      </c>
      <c r="F28" s="491" t="s">
        <v>251</v>
      </c>
      <c r="G28" s="491">
        <v>0</v>
      </c>
      <c r="H28" s="491">
        <v>0</v>
      </c>
      <c r="I28" s="491">
        <v>0</v>
      </c>
      <c r="J28" s="491" t="s">
        <v>252</v>
      </c>
      <c r="K28" s="491">
        <v>0</v>
      </c>
      <c r="L28" s="491" t="s">
        <v>1565</v>
      </c>
      <c r="M28" s="511">
        <v>1</v>
      </c>
      <c r="N28" s="491">
        <v>0</v>
      </c>
      <c r="O28" s="494">
        <v>0</v>
      </c>
      <c r="P28" s="495">
        <v>0</v>
      </c>
      <c r="Q28" s="493">
        <v>0</v>
      </c>
      <c r="R28" s="491">
        <v>120</v>
      </c>
      <c r="S28" s="496">
        <v>1</v>
      </c>
      <c r="T28" s="512">
        <v>1</v>
      </c>
      <c r="U28" s="491">
        <v>0</v>
      </c>
      <c r="V28" s="493">
        <v>4281102.4155143145</v>
      </c>
      <c r="W28" s="493">
        <v>513732289.8617177</v>
      </c>
      <c r="X28" s="493">
        <v>51373228.98617176</v>
      </c>
      <c r="Y28" s="493">
        <v>51373228.98617176</v>
      </c>
      <c r="Z28" s="493">
        <v>51373228.98617176</v>
      </c>
      <c r="AA28" s="493">
        <v>51373228.98617176</v>
      </c>
      <c r="AB28" s="493">
        <v>51373228.98617176</v>
      </c>
      <c r="AC28" s="493">
        <v>51373228.98617176</v>
      </c>
      <c r="AD28" s="493">
        <v>51373228.98617176</v>
      </c>
      <c r="AE28" s="493">
        <v>51373228.98617176</v>
      </c>
      <c r="AF28" s="493">
        <v>51373228.98617176</v>
      </c>
      <c r="AG28" s="493">
        <v>51373228.98617176</v>
      </c>
      <c r="AH28" s="493">
        <v>0</v>
      </c>
      <c r="AI28" s="493">
        <v>4281102.4155143145</v>
      </c>
      <c r="AJ28" s="493">
        <v>4281102.4155143145</v>
      </c>
      <c r="AK28" s="493">
        <v>4281102.4155143145</v>
      </c>
      <c r="AL28" s="493">
        <v>4281102.4155143145</v>
      </c>
      <c r="AM28" s="493">
        <v>4281102.4155143145</v>
      </c>
      <c r="AN28" s="493">
        <v>4281102.4155143145</v>
      </c>
      <c r="AO28" s="493">
        <v>4281102.4155143145</v>
      </c>
      <c r="AP28" s="493">
        <v>4281102.4155143145</v>
      </c>
      <c r="AQ28" s="493">
        <v>4281102.4155143145</v>
      </c>
      <c r="AR28" s="493">
        <v>4281102.4155143145</v>
      </c>
      <c r="AS28" s="493">
        <v>4281102.4155143145</v>
      </c>
      <c r="AT28" s="493">
        <v>4281102.4155143145</v>
      </c>
      <c r="AU28" s="493">
        <v>4281102.4155143145</v>
      </c>
      <c r="AV28" s="493">
        <v>4281102.4155143145</v>
      </c>
      <c r="AW28" s="493">
        <v>4281102.4155143145</v>
      </c>
      <c r="AX28" s="493">
        <v>4281102.4155143145</v>
      </c>
      <c r="AY28" s="493">
        <v>4281102.4155143145</v>
      </c>
      <c r="AZ28" s="493">
        <v>4281102.4155143145</v>
      </c>
      <c r="BA28" s="493">
        <v>4281102.4155143145</v>
      </c>
      <c r="BB28" s="493">
        <v>4281102.4155143145</v>
      </c>
      <c r="BC28" s="493">
        <v>4281102.4155143145</v>
      </c>
      <c r="BD28" s="493">
        <v>4281102.4155143145</v>
      </c>
      <c r="BE28" s="493">
        <v>4281102.4155143145</v>
      </c>
      <c r="BF28" s="493">
        <v>4281102.4155143145</v>
      </c>
      <c r="BG28" s="493">
        <v>4281102.4155143145</v>
      </c>
      <c r="BH28" s="493">
        <v>4281102.4155143145</v>
      </c>
      <c r="BI28" s="493">
        <v>4281102.4155143145</v>
      </c>
      <c r="BJ28" s="493">
        <v>4281102.4155143145</v>
      </c>
      <c r="BK28" s="493">
        <v>4281102.4155143145</v>
      </c>
      <c r="BL28" s="493">
        <v>4281102.4155143145</v>
      </c>
      <c r="BM28" s="493">
        <v>4281102.4155143145</v>
      </c>
      <c r="BN28" s="493">
        <v>4281102.4155143145</v>
      </c>
      <c r="BO28" s="493">
        <v>4281102.4155143145</v>
      </c>
      <c r="BP28" s="493">
        <v>4281102.4155143145</v>
      </c>
      <c r="BQ28" s="493">
        <v>4281102.4155143145</v>
      </c>
      <c r="BR28" s="493">
        <v>4281102.4155143145</v>
      </c>
      <c r="BS28" s="493">
        <v>4281102.4155143145</v>
      </c>
      <c r="BT28" s="493">
        <v>4281102.4155143145</v>
      </c>
      <c r="BU28" s="493">
        <v>4281102.4155143145</v>
      </c>
      <c r="BV28" s="493">
        <v>4281102.4155143145</v>
      </c>
      <c r="BW28" s="493">
        <v>4281102.4155143145</v>
      </c>
      <c r="BX28" s="493">
        <v>4281102.4155143145</v>
      </c>
      <c r="BY28" s="493">
        <v>4281102.4155143145</v>
      </c>
      <c r="BZ28" s="493">
        <v>4281102.4155143145</v>
      </c>
      <c r="CA28" s="493">
        <v>4281102.4155143145</v>
      </c>
      <c r="CB28" s="493">
        <v>4281102.4155143145</v>
      </c>
      <c r="CC28" s="493">
        <v>4281102.4155143145</v>
      </c>
      <c r="CD28" s="493">
        <v>4281102.4155143145</v>
      </c>
      <c r="CE28" s="493">
        <v>4281102.4155143145</v>
      </c>
      <c r="CF28" s="493">
        <v>4281102.4155143145</v>
      </c>
      <c r="CG28" s="493">
        <v>4281102.4155143145</v>
      </c>
      <c r="CH28" s="493">
        <v>4281102.4155143145</v>
      </c>
      <c r="CI28" s="493">
        <v>4281102.4155143145</v>
      </c>
      <c r="CJ28" s="493">
        <v>4281102.4155143145</v>
      </c>
      <c r="CK28" s="493">
        <v>4281102.4155143145</v>
      </c>
      <c r="CL28" s="493">
        <v>4281102.4155143145</v>
      </c>
      <c r="CM28" s="493">
        <v>4281102.4155143145</v>
      </c>
      <c r="CN28" s="493">
        <v>4281102.4155143145</v>
      </c>
      <c r="CO28" s="493">
        <v>4281102.4155143145</v>
      </c>
      <c r="CP28" s="493">
        <v>4281102.4155143145</v>
      </c>
      <c r="CQ28" s="493">
        <v>4281102.4155143145</v>
      </c>
      <c r="CR28" s="493">
        <v>4281102.4155143145</v>
      </c>
      <c r="CS28" s="493">
        <v>4281102.4155143145</v>
      </c>
      <c r="CT28" s="493">
        <v>4281102.4155143145</v>
      </c>
      <c r="CU28" s="493">
        <v>4281102.4155143145</v>
      </c>
      <c r="CV28" s="493">
        <v>4281102.4155143145</v>
      </c>
      <c r="CW28" s="493">
        <v>4281102.4155143145</v>
      </c>
      <c r="CX28" s="493">
        <v>4281102.4155143145</v>
      </c>
      <c r="CY28" s="493">
        <v>4281102.4155143145</v>
      </c>
      <c r="CZ28" s="493">
        <v>4281102.4155143145</v>
      </c>
      <c r="DA28" s="493">
        <v>4281102.4155143145</v>
      </c>
      <c r="DB28" s="493">
        <v>4281102.4155143145</v>
      </c>
      <c r="DC28" s="493">
        <v>4281102.4155143145</v>
      </c>
      <c r="DD28" s="493">
        <v>4281102.4155143145</v>
      </c>
      <c r="DE28" s="493">
        <v>4281102.4155143145</v>
      </c>
      <c r="DF28" s="493">
        <v>4281102.4155143145</v>
      </c>
      <c r="DG28" s="493">
        <v>4281102.4155143145</v>
      </c>
      <c r="DH28" s="493">
        <v>4281102.4155143145</v>
      </c>
      <c r="DI28" s="493">
        <v>4281102.4155143145</v>
      </c>
      <c r="DJ28" s="493">
        <v>4281102.4155143145</v>
      </c>
      <c r="DK28" s="493">
        <v>4281102.4155143145</v>
      </c>
      <c r="DL28" s="493">
        <v>4281102.4155143145</v>
      </c>
      <c r="DM28" s="493">
        <v>4281102.4155143145</v>
      </c>
      <c r="DN28" s="493">
        <v>4281102.4155143145</v>
      </c>
      <c r="DO28" s="493">
        <v>4281102.4155143145</v>
      </c>
      <c r="DP28" s="493">
        <v>4281102.4155143145</v>
      </c>
      <c r="DQ28" s="493">
        <v>4281102.4155143145</v>
      </c>
      <c r="DR28" s="493">
        <v>4281102.4155143145</v>
      </c>
      <c r="DS28" s="493">
        <v>4281102.4155143145</v>
      </c>
      <c r="DT28" s="493">
        <v>4281102.4155143145</v>
      </c>
      <c r="DU28" s="493">
        <v>4281102.4155143145</v>
      </c>
      <c r="DV28" s="493">
        <v>4281102.4155143145</v>
      </c>
      <c r="DW28" s="493">
        <v>4281102.4155143145</v>
      </c>
      <c r="DX28" s="493">
        <v>4281102.4155143145</v>
      </c>
      <c r="DY28" s="493">
        <v>4281102.4155143145</v>
      </c>
      <c r="DZ28" s="493">
        <v>4281102.4155143145</v>
      </c>
      <c r="EA28" s="493">
        <v>4281102.4155143145</v>
      </c>
      <c r="EB28" s="493">
        <v>4281102.4155143145</v>
      </c>
      <c r="EC28" s="493">
        <v>4281102.4155143145</v>
      </c>
      <c r="ED28" s="493">
        <v>4281102.4155143145</v>
      </c>
      <c r="EE28" s="493">
        <v>4281102.4155143145</v>
      </c>
      <c r="EF28" s="493">
        <v>4281102.4155143145</v>
      </c>
      <c r="EG28" s="493">
        <v>4281102.4155143145</v>
      </c>
      <c r="EH28" s="493">
        <v>4281102.4155143145</v>
      </c>
      <c r="EI28" s="493">
        <v>4281102.4155143145</v>
      </c>
      <c r="EJ28" s="493">
        <v>4281102.4155143145</v>
      </c>
      <c r="EK28" s="493">
        <v>4281102.4155143145</v>
      </c>
      <c r="EL28" s="493">
        <v>4281102.4155143145</v>
      </c>
      <c r="EM28" s="493">
        <v>4281102.4155143145</v>
      </c>
      <c r="EN28" s="493">
        <v>4281102.4155143145</v>
      </c>
      <c r="EO28" s="493">
        <v>4281102.4155143145</v>
      </c>
      <c r="EP28" s="493">
        <v>4281102.4155143145</v>
      </c>
      <c r="EQ28" s="493">
        <v>4281102.4155143145</v>
      </c>
      <c r="ER28" s="493">
        <v>4281102.4155143145</v>
      </c>
      <c r="ES28" s="493">
        <v>4281102.4155143145</v>
      </c>
      <c r="ET28" s="493">
        <v>4281102.4155143145</v>
      </c>
      <c r="EU28" s="493">
        <v>4281102.4155143145</v>
      </c>
      <c r="EV28" s="493">
        <v>4281102.4155143145</v>
      </c>
      <c r="EW28" s="493">
        <v>4281102.4155143145</v>
      </c>
      <c r="EX28" s="493">
        <v>4281102.4155143145</v>
      </c>
      <c r="EY28" s="493">
        <v>0</v>
      </c>
      <c r="EZ28" s="493">
        <v>0</v>
      </c>
      <c r="FA28" s="493">
        <v>0</v>
      </c>
      <c r="FB28" s="493">
        <v>0</v>
      </c>
      <c r="FC28" s="493">
        <v>0</v>
      </c>
      <c r="FD28" s="493">
        <v>0</v>
      </c>
      <c r="FE28" s="493">
        <v>0</v>
      </c>
      <c r="FF28" s="493">
        <v>0</v>
      </c>
      <c r="FG28" s="493">
        <v>0</v>
      </c>
      <c r="FH28" s="493">
        <v>0</v>
      </c>
      <c r="FI28" s="493">
        <v>0</v>
      </c>
      <c r="FJ28" s="45">
        <v>0</v>
      </c>
    </row>
    <row r="29" spans="1:166">
      <c r="A29" s="501" t="s">
        <v>1036</v>
      </c>
      <c r="B29" s="491" t="s">
        <v>195</v>
      </c>
      <c r="C29" s="491" t="s">
        <v>246</v>
      </c>
      <c r="D29" s="491" t="s">
        <v>820</v>
      </c>
      <c r="E29" s="491" t="s">
        <v>248</v>
      </c>
      <c r="F29" s="491" t="s">
        <v>1550</v>
      </c>
      <c r="G29" s="491" t="s">
        <v>1555</v>
      </c>
      <c r="H29" s="491">
        <v>0</v>
      </c>
      <c r="I29" s="491">
        <v>0</v>
      </c>
      <c r="J29" s="491" t="s">
        <v>252</v>
      </c>
      <c r="K29" s="491">
        <v>0</v>
      </c>
      <c r="L29" s="491" t="s">
        <v>1565</v>
      </c>
      <c r="M29" s="511">
        <v>1</v>
      </c>
      <c r="N29" s="491">
        <v>0</v>
      </c>
      <c r="O29" s="494">
        <v>0</v>
      </c>
      <c r="P29" s="495">
        <v>0</v>
      </c>
      <c r="Q29" s="493">
        <v>0</v>
      </c>
      <c r="R29" s="494">
        <v>120</v>
      </c>
      <c r="S29" s="496">
        <v>1</v>
      </c>
      <c r="T29" s="512">
        <v>1</v>
      </c>
      <c r="U29" s="491">
        <v>0</v>
      </c>
      <c r="V29" s="493">
        <v>95562.969002926722</v>
      </c>
      <c r="W29" s="493">
        <v>11467556.280351207</v>
      </c>
      <c r="X29" s="493">
        <v>1146755.6280351207</v>
      </c>
      <c r="Y29" s="493">
        <v>1146755.6280351207</v>
      </c>
      <c r="Z29" s="493">
        <v>1146755.6280351207</v>
      </c>
      <c r="AA29" s="493">
        <v>1146755.6280351207</v>
      </c>
      <c r="AB29" s="493">
        <v>1146755.6280351207</v>
      </c>
      <c r="AC29" s="493">
        <v>1146755.6280351207</v>
      </c>
      <c r="AD29" s="493">
        <v>1146755.6280351207</v>
      </c>
      <c r="AE29" s="493">
        <v>1146755.6280351207</v>
      </c>
      <c r="AF29" s="493">
        <v>1146755.6280351207</v>
      </c>
      <c r="AG29" s="493">
        <v>1146755.6280351207</v>
      </c>
      <c r="AH29" s="493">
        <v>0</v>
      </c>
      <c r="AI29" s="493">
        <v>95562.969002926722</v>
      </c>
      <c r="AJ29" s="493">
        <v>95562.969002926722</v>
      </c>
      <c r="AK29" s="493">
        <v>95562.969002926722</v>
      </c>
      <c r="AL29" s="493">
        <v>95562.969002926722</v>
      </c>
      <c r="AM29" s="493">
        <v>95562.969002926722</v>
      </c>
      <c r="AN29" s="493">
        <v>95562.969002926722</v>
      </c>
      <c r="AO29" s="493">
        <v>95562.969002926722</v>
      </c>
      <c r="AP29" s="493">
        <v>95562.969002926722</v>
      </c>
      <c r="AQ29" s="493">
        <v>95562.969002926722</v>
      </c>
      <c r="AR29" s="493">
        <v>95562.969002926722</v>
      </c>
      <c r="AS29" s="493">
        <v>95562.969002926722</v>
      </c>
      <c r="AT29" s="493">
        <v>95562.969002926722</v>
      </c>
      <c r="AU29" s="493">
        <v>95562.969002926722</v>
      </c>
      <c r="AV29" s="493">
        <v>95562.969002926722</v>
      </c>
      <c r="AW29" s="493">
        <v>95562.969002926722</v>
      </c>
      <c r="AX29" s="493">
        <v>95562.969002926722</v>
      </c>
      <c r="AY29" s="493">
        <v>95562.969002926722</v>
      </c>
      <c r="AZ29" s="493">
        <v>95562.969002926722</v>
      </c>
      <c r="BA29" s="493">
        <v>95562.969002926722</v>
      </c>
      <c r="BB29" s="493">
        <v>95562.969002926722</v>
      </c>
      <c r="BC29" s="493">
        <v>95562.969002926722</v>
      </c>
      <c r="BD29" s="493">
        <v>95562.969002926722</v>
      </c>
      <c r="BE29" s="493">
        <v>95562.969002926722</v>
      </c>
      <c r="BF29" s="493">
        <v>95562.969002926722</v>
      </c>
      <c r="BG29" s="493">
        <v>95562.969002926722</v>
      </c>
      <c r="BH29" s="493">
        <v>95562.969002926722</v>
      </c>
      <c r="BI29" s="493">
        <v>95562.969002926722</v>
      </c>
      <c r="BJ29" s="493">
        <v>95562.969002926722</v>
      </c>
      <c r="BK29" s="493">
        <v>95562.969002926722</v>
      </c>
      <c r="BL29" s="493">
        <v>95562.969002926722</v>
      </c>
      <c r="BM29" s="493">
        <v>95562.969002926722</v>
      </c>
      <c r="BN29" s="493">
        <v>95562.969002926722</v>
      </c>
      <c r="BO29" s="493">
        <v>95562.969002926722</v>
      </c>
      <c r="BP29" s="493">
        <v>95562.969002926722</v>
      </c>
      <c r="BQ29" s="493">
        <v>95562.969002926722</v>
      </c>
      <c r="BR29" s="493">
        <v>95562.969002926722</v>
      </c>
      <c r="BS29" s="493">
        <v>95562.969002926722</v>
      </c>
      <c r="BT29" s="493">
        <v>95562.969002926722</v>
      </c>
      <c r="BU29" s="493">
        <v>95562.969002926722</v>
      </c>
      <c r="BV29" s="493">
        <v>95562.969002926722</v>
      </c>
      <c r="BW29" s="493">
        <v>95562.969002926722</v>
      </c>
      <c r="BX29" s="493">
        <v>95562.969002926722</v>
      </c>
      <c r="BY29" s="493">
        <v>95562.969002926722</v>
      </c>
      <c r="BZ29" s="493">
        <v>95562.969002926722</v>
      </c>
      <c r="CA29" s="493">
        <v>95562.969002926722</v>
      </c>
      <c r="CB29" s="493">
        <v>95562.969002926722</v>
      </c>
      <c r="CC29" s="493">
        <v>95562.969002926722</v>
      </c>
      <c r="CD29" s="493">
        <v>95562.969002926722</v>
      </c>
      <c r="CE29" s="493">
        <v>95562.969002926722</v>
      </c>
      <c r="CF29" s="493">
        <v>95562.969002926722</v>
      </c>
      <c r="CG29" s="493">
        <v>95562.969002926722</v>
      </c>
      <c r="CH29" s="493">
        <v>95562.969002926722</v>
      </c>
      <c r="CI29" s="493">
        <v>95562.969002926722</v>
      </c>
      <c r="CJ29" s="493">
        <v>95562.969002926722</v>
      </c>
      <c r="CK29" s="493">
        <v>95562.969002926722</v>
      </c>
      <c r="CL29" s="493">
        <v>95562.969002926722</v>
      </c>
      <c r="CM29" s="493">
        <v>95562.969002926722</v>
      </c>
      <c r="CN29" s="493">
        <v>95562.969002926722</v>
      </c>
      <c r="CO29" s="493">
        <v>95562.969002926722</v>
      </c>
      <c r="CP29" s="493">
        <v>95562.969002926722</v>
      </c>
      <c r="CQ29" s="493">
        <v>95562.969002926722</v>
      </c>
      <c r="CR29" s="493">
        <v>95562.969002926722</v>
      </c>
      <c r="CS29" s="493">
        <v>95562.969002926722</v>
      </c>
      <c r="CT29" s="493">
        <v>95562.969002926722</v>
      </c>
      <c r="CU29" s="493">
        <v>95562.969002926722</v>
      </c>
      <c r="CV29" s="493">
        <v>95562.969002926722</v>
      </c>
      <c r="CW29" s="493">
        <v>95562.969002926722</v>
      </c>
      <c r="CX29" s="493">
        <v>95562.969002926722</v>
      </c>
      <c r="CY29" s="493">
        <v>95562.969002926722</v>
      </c>
      <c r="CZ29" s="493">
        <v>95562.969002926722</v>
      </c>
      <c r="DA29" s="493">
        <v>95562.969002926722</v>
      </c>
      <c r="DB29" s="493">
        <v>95562.969002926722</v>
      </c>
      <c r="DC29" s="493">
        <v>95562.969002926722</v>
      </c>
      <c r="DD29" s="493">
        <v>95562.969002926722</v>
      </c>
      <c r="DE29" s="493">
        <v>95562.969002926722</v>
      </c>
      <c r="DF29" s="493">
        <v>95562.969002926722</v>
      </c>
      <c r="DG29" s="493">
        <v>95562.969002926722</v>
      </c>
      <c r="DH29" s="493">
        <v>95562.969002926722</v>
      </c>
      <c r="DI29" s="493">
        <v>95562.969002926722</v>
      </c>
      <c r="DJ29" s="493">
        <v>95562.969002926722</v>
      </c>
      <c r="DK29" s="493">
        <v>95562.969002926722</v>
      </c>
      <c r="DL29" s="493">
        <v>95562.969002926722</v>
      </c>
      <c r="DM29" s="493">
        <v>95562.969002926722</v>
      </c>
      <c r="DN29" s="493">
        <v>95562.969002926722</v>
      </c>
      <c r="DO29" s="493">
        <v>95562.969002926722</v>
      </c>
      <c r="DP29" s="493">
        <v>95562.969002926722</v>
      </c>
      <c r="DQ29" s="493">
        <v>95562.969002926722</v>
      </c>
      <c r="DR29" s="493">
        <v>95562.969002926722</v>
      </c>
      <c r="DS29" s="493">
        <v>95562.969002926722</v>
      </c>
      <c r="DT29" s="493">
        <v>95562.969002926722</v>
      </c>
      <c r="DU29" s="493">
        <v>95562.969002926722</v>
      </c>
      <c r="DV29" s="493">
        <v>95562.969002926722</v>
      </c>
      <c r="DW29" s="493">
        <v>95562.969002926722</v>
      </c>
      <c r="DX29" s="493">
        <v>95562.969002926722</v>
      </c>
      <c r="DY29" s="493">
        <v>95562.969002926722</v>
      </c>
      <c r="DZ29" s="493">
        <v>95562.969002926722</v>
      </c>
      <c r="EA29" s="493">
        <v>95562.969002926722</v>
      </c>
      <c r="EB29" s="493">
        <v>95562.969002926722</v>
      </c>
      <c r="EC29" s="493">
        <v>95562.969002926722</v>
      </c>
      <c r="ED29" s="493">
        <v>95562.969002926722</v>
      </c>
      <c r="EE29" s="493">
        <v>95562.969002926722</v>
      </c>
      <c r="EF29" s="493">
        <v>95562.969002926722</v>
      </c>
      <c r="EG29" s="493">
        <v>95562.969002926722</v>
      </c>
      <c r="EH29" s="493">
        <v>95562.969002926722</v>
      </c>
      <c r="EI29" s="493">
        <v>95562.969002926722</v>
      </c>
      <c r="EJ29" s="493">
        <v>95562.969002926722</v>
      </c>
      <c r="EK29" s="493">
        <v>95562.969002926722</v>
      </c>
      <c r="EL29" s="493">
        <v>95562.969002926722</v>
      </c>
      <c r="EM29" s="493">
        <v>95562.969002926722</v>
      </c>
      <c r="EN29" s="493">
        <v>95562.969002926722</v>
      </c>
      <c r="EO29" s="493">
        <v>95562.969002926722</v>
      </c>
      <c r="EP29" s="493">
        <v>95562.969002926722</v>
      </c>
      <c r="EQ29" s="493">
        <v>95562.969002926722</v>
      </c>
      <c r="ER29" s="493">
        <v>95562.969002926722</v>
      </c>
      <c r="ES29" s="493">
        <v>95562.969002926722</v>
      </c>
      <c r="ET29" s="493">
        <v>95562.969002926722</v>
      </c>
      <c r="EU29" s="493">
        <v>95562.969002926722</v>
      </c>
      <c r="EV29" s="493">
        <v>95562.969002926722</v>
      </c>
      <c r="EW29" s="493">
        <v>95562.969002926722</v>
      </c>
      <c r="EX29" s="493">
        <v>95562.969002926722</v>
      </c>
      <c r="EY29" s="493">
        <v>0</v>
      </c>
      <c r="EZ29" s="493">
        <v>0</v>
      </c>
      <c r="FA29" s="493">
        <v>0</v>
      </c>
      <c r="FB29" s="493">
        <v>0</v>
      </c>
      <c r="FC29" s="493">
        <v>0</v>
      </c>
      <c r="FD29" s="493">
        <v>0</v>
      </c>
      <c r="FE29" s="493">
        <v>0</v>
      </c>
      <c r="FF29" s="493">
        <v>0</v>
      </c>
      <c r="FG29" s="493">
        <v>0</v>
      </c>
      <c r="FH29" s="493">
        <v>0</v>
      </c>
      <c r="FI29" s="493">
        <v>0</v>
      </c>
      <c r="FJ29" s="45">
        <v>0</v>
      </c>
    </row>
    <row r="30" spans="1:166">
      <c r="A30" s="501" t="s">
        <v>1037</v>
      </c>
      <c r="B30" s="491" t="s">
        <v>195</v>
      </c>
      <c r="C30" s="491" t="s">
        <v>246</v>
      </c>
      <c r="D30" s="491" t="s">
        <v>820</v>
      </c>
      <c r="E30" s="491" t="s">
        <v>248</v>
      </c>
      <c r="F30" s="491" t="s">
        <v>981</v>
      </c>
      <c r="G30" s="491" t="s">
        <v>1556</v>
      </c>
      <c r="H30" s="491">
        <v>0</v>
      </c>
      <c r="I30" s="491">
        <v>0</v>
      </c>
      <c r="J30" s="491" t="s">
        <v>252</v>
      </c>
      <c r="K30" s="491">
        <v>0</v>
      </c>
      <c r="L30" s="491" t="s">
        <v>259</v>
      </c>
      <c r="M30" s="511">
        <v>1</v>
      </c>
      <c r="N30" s="491">
        <v>0</v>
      </c>
      <c r="O30" s="494">
        <v>0</v>
      </c>
      <c r="P30" s="495">
        <v>0</v>
      </c>
      <c r="Q30" s="493">
        <v>0</v>
      </c>
      <c r="R30" s="494">
        <v>20</v>
      </c>
      <c r="S30" s="496">
        <v>1</v>
      </c>
      <c r="T30" s="512">
        <v>1</v>
      </c>
      <c r="U30" s="491">
        <v>0</v>
      </c>
      <c r="V30" s="493">
        <v>434377.13183148502</v>
      </c>
      <c r="W30" s="493">
        <v>8687542.6366296988</v>
      </c>
      <c r="X30" s="493">
        <v>5212525.5819778191</v>
      </c>
      <c r="Y30" s="493">
        <v>3475017.0546518797</v>
      </c>
      <c r="Z30" s="493">
        <v>0</v>
      </c>
      <c r="AA30" s="493">
        <v>0</v>
      </c>
      <c r="AB30" s="493">
        <v>0</v>
      </c>
      <c r="AC30" s="493">
        <v>0</v>
      </c>
      <c r="AD30" s="493">
        <v>0</v>
      </c>
      <c r="AE30" s="493">
        <v>0</v>
      </c>
      <c r="AF30" s="493">
        <v>0</v>
      </c>
      <c r="AG30" s="493">
        <v>0</v>
      </c>
      <c r="AH30" s="493">
        <v>0</v>
      </c>
      <c r="AI30" s="493">
        <v>434377.13183148502</v>
      </c>
      <c r="AJ30" s="493">
        <v>434377.13183148502</v>
      </c>
      <c r="AK30" s="493">
        <v>434377.13183148502</v>
      </c>
      <c r="AL30" s="493">
        <v>434377.13183148502</v>
      </c>
      <c r="AM30" s="493">
        <v>434377.13183148502</v>
      </c>
      <c r="AN30" s="493">
        <v>434377.13183148502</v>
      </c>
      <c r="AO30" s="493">
        <v>434377.13183148502</v>
      </c>
      <c r="AP30" s="493">
        <v>434377.13183148502</v>
      </c>
      <c r="AQ30" s="493">
        <v>434377.13183148502</v>
      </c>
      <c r="AR30" s="493">
        <v>434377.13183148502</v>
      </c>
      <c r="AS30" s="493">
        <v>434377.13183148502</v>
      </c>
      <c r="AT30" s="493">
        <v>434377.13183148502</v>
      </c>
      <c r="AU30" s="493">
        <v>434377.13183148502</v>
      </c>
      <c r="AV30" s="493">
        <v>434377.13183148502</v>
      </c>
      <c r="AW30" s="493">
        <v>434377.13183148502</v>
      </c>
      <c r="AX30" s="493">
        <v>434377.13183148502</v>
      </c>
      <c r="AY30" s="493">
        <v>434377.13183148502</v>
      </c>
      <c r="AZ30" s="493">
        <v>434377.13183148502</v>
      </c>
      <c r="BA30" s="493">
        <v>434377.13183148502</v>
      </c>
      <c r="BB30" s="493">
        <v>434377.13183148502</v>
      </c>
      <c r="BC30" s="493">
        <v>0</v>
      </c>
      <c r="BD30" s="493">
        <v>0</v>
      </c>
      <c r="BE30" s="493">
        <v>0</v>
      </c>
      <c r="BF30" s="493">
        <v>0</v>
      </c>
      <c r="BG30" s="493">
        <v>0</v>
      </c>
      <c r="BH30" s="493">
        <v>0</v>
      </c>
      <c r="BI30" s="493">
        <v>0</v>
      </c>
      <c r="BJ30" s="493">
        <v>0</v>
      </c>
      <c r="BK30" s="493">
        <v>0</v>
      </c>
      <c r="BL30" s="493">
        <v>0</v>
      </c>
      <c r="BM30" s="493">
        <v>0</v>
      </c>
      <c r="BN30" s="493">
        <v>0</v>
      </c>
      <c r="BO30" s="493">
        <v>0</v>
      </c>
      <c r="BP30" s="493">
        <v>0</v>
      </c>
      <c r="BQ30" s="493">
        <v>0</v>
      </c>
      <c r="BR30" s="493">
        <v>0</v>
      </c>
      <c r="BS30" s="493">
        <v>0</v>
      </c>
      <c r="BT30" s="493">
        <v>0</v>
      </c>
      <c r="BU30" s="493">
        <v>0</v>
      </c>
      <c r="BV30" s="493">
        <v>0</v>
      </c>
      <c r="BW30" s="493">
        <v>0</v>
      </c>
      <c r="BX30" s="493">
        <v>0</v>
      </c>
      <c r="BY30" s="493">
        <v>0</v>
      </c>
      <c r="BZ30" s="493">
        <v>0</v>
      </c>
      <c r="CA30" s="493">
        <v>0</v>
      </c>
      <c r="CB30" s="493">
        <v>0</v>
      </c>
      <c r="CC30" s="493">
        <v>0</v>
      </c>
      <c r="CD30" s="493">
        <v>0</v>
      </c>
      <c r="CE30" s="493">
        <v>0</v>
      </c>
      <c r="CF30" s="493">
        <v>0</v>
      </c>
      <c r="CG30" s="493">
        <v>0</v>
      </c>
      <c r="CH30" s="493">
        <v>0</v>
      </c>
      <c r="CI30" s="493">
        <v>0</v>
      </c>
      <c r="CJ30" s="493">
        <v>0</v>
      </c>
      <c r="CK30" s="493">
        <v>0</v>
      </c>
      <c r="CL30" s="493">
        <v>0</v>
      </c>
      <c r="CM30" s="493">
        <v>0</v>
      </c>
      <c r="CN30" s="493">
        <v>0</v>
      </c>
      <c r="CO30" s="493">
        <v>0</v>
      </c>
      <c r="CP30" s="493">
        <v>0</v>
      </c>
      <c r="CQ30" s="493">
        <v>0</v>
      </c>
      <c r="CR30" s="493">
        <v>0</v>
      </c>
      <c r="CS30" s="493">
        <v>0</v>
      </c>
      <c r="CT30" s="493">
        <v>0</v>
      </c>
      <c r="CU30" s="493">
        <v>0</v>
      </c>
      <c r="CV30" s="493">
        <v>0</v>
      </c>
      <c r="CW30" s="493">
        <v>0</v>
      </c>
      <c r="CX30" s="493">
        <v>0</v>
      </c>
      <c r="CY30" s="493">
        <v>0</v>
      </c>
      <c r="CZ30" s="493">
        <v>0</v>
      </c>
      <c r="DA30" s="493">
        <v>0</v>
      </c>
      <c r="DB30" s="493">
        <v>0</v>
      </c>
      <c r="DC30" s="493">
        <v>0</v>
      </c>
      <c r="DD30" s="493">
        <v>0</v>
      </c>
      <c r="DE30" s="493">
        <v>0</v>
      </c>
      <c r="DF30" s="493">
        <v>0</v>
      </c>
      <c r="DG30" s="493">
        <v>0</v>
      </c>
      <c r="DH30" s="493">
        <v>0</v>
      </c>
      <c r="DI30" s="493">
        <v>0</v>
      </c>
      <c r="DJ30" s="493">
        <v>0</v>
      </c>
      <c r="DK30" s="493">
        <v>0</v>
      </c>
      <c r="DL30" s="493">
        <v>0</v>
      </c>
      <c r="DM30" s="493">
        <v>0</v>
      </c>
      <c r="DN30" s="493">
        <v>0</v>
      </c>
      <c r="DO30" s="493">
        <v>0</v>
      </c>
      <c r="DP30" s="493">
        <v>0</v>
      </c>
      <c r="DQ30" s="493">
        <v>0</v>
      </c>
      <c r="DR30" s="493">
        <v>0</v>
      </c>
      <c r="DS30" s="493">
        <v>0</v>
      </c>
      <c r="DT30" s="493">
        <v>0</v>
      </c>
      <c r="DU30" s="493">
        <v>0</v>
      </c>
      <c r="DV30" s="493">
        <v>0</v>
      </c>
      <c r="DW30" s="493">
        <v>0</v>
      </c>
      <c r="DX30" s="493">
        <v>0</v>
      </c>
      <c r="DY30" s="493">
        <v>0</v>
      </c>
      <c r="DZ30" s="493">
        <v>0</v>
      </c>
      <c r="EA30" s="493">
        <v>0</v>
      </c>
      <c r="EB30" s="493">
        <v>0</v>
      </c>
      <c r="EC30" s="493">
        <v>0</v>
      </c>
      <c r="ED30" s="493">
        <v>0</v>
      </c>
      <c r="EE30" s="493">
        <v>0</v>
      </c>
      <c r="EF30" s="493">
        <v>0</v>
      </c>
      <c r="EG30" s="493">
        <v>0</v>
      </c>
      <c r="EH30" s="493">
        <v>0</v>
      </c>
      <c r="EI30" s="493">
        <v>0</v>
      </c>
      <c r="EJ30" s="493">
        <v>0</v>
      </c>
      <c r="EK30" s="493">
        <v>0</v>
      </c>
      <c r="EL30" s="493">
        <v>0</v>
      </c>
      <c r="EM30" s="493">
        <v>0</v>
      </c>
      <c r="EN30" s="493">
        <v>0</v>
      </c>
      <c r="EO30" s="493">
        <v>0</v>
      </c>
      <c r="EP30" s="493">
        <v>0</v>
      </c>
      <c r="EQ30" s="493">
        <v>0</v>
      </c>
      <c r="ER30" s="493">
        <v>0</v>
      </c>
      <c r="ES30" s="493">
        <v>0</v>
      </c>
      <c r="ET30" s="493">
        <v>0</v>
      </c>
      <c r="EU30" s="493">
        <v>0</v>
      </c>
      <c r="EV30" s="493">
        <v>0</v>
      </c>
      <c r="EW30" s="493">
        <v>0</v>
      </c>
      <c r="EX30" s="493">
        <v>0</v>
      </c>
      <c r="EY30" s="493">
        <v>0</v>
      </c>
      <c r="EZ30" s="493">
        <v>0</v>
      </c>
      <c r="FA30" s="493">
        <v>0</v>
      </c>
      <c r="FB30" s="493">
        <v>0</v>
      </c>
      <c r="FC30" s="493">
        <v>0</v>
      </c>
      <c r="FD30" s="493">
        <v>0</v>
      </c>
      <c r="FE30" s="493">
        <v>0</v>
      </c>
      <c r="FF30" s="493">
        <v>0</v>
      </c>
      <c r="FG30" s="493">
        <v>0</v>
      </c>
      <c r="FH30" s="493">
        <v>0</v>
      </c>
      <c r="FI30" s="493">
        <v>0</v>
      </c>
      <c r="FJ30" s="45">
        <v>0</v>
      </c>
    </row>
    <row r="31" spans="1:166">
      <c r="A31" s="501" t="s">
        <v>1038</v>
      </c>
      <c r="B31" s="491" t="s">
        <v>195</v>
      </c>
      <c r="C31" s="491" t="s">
        <v>246</v>
      </c>
      <c r="D31" s="491" t="s">
        <v>820</v>
      </c>
      <c r="E31" s="491" t="s">
        <v>248</v>
      </c>
      <c r="F31" s="491" t="s">
        <v>885</v>
      </c>
      <c r="G31" s="491" t="s">
        <v>1557</v>
      </c>
      <c r="H31" s="491">
        <v>0</v>
      </c>
      <c r="I31" s="491">
        <v>0</v>
      </c>
      <c r="J31" s="491" t="s">
        <v>252</v>
      </c>
      <c r="K31" s="491">
        <v>0</v>
      </c>
      <c r="L31" s="491" t="s">
        <v>259</v>
      </c>
      <c r="M31" s="511">
        <v>1</v>
      </c>
      <c r="N31" s="491">
        <v>0</v>
      </c>
      <c r="O31" s="494">
        <v>0</v>
      </c>
      <c r="P31" s="495">
        <v>0</v>
      </c>
      <c r="Q31" s="493">
        <v>0</v>
      </c>
      <c r="R31" s="494">
        <v>5</v>
      </c>
      <c r="S31" s="496">
        <v>1</v>
      </c>
      <c r="T31" s="512">
        <v>1</v>
      </c>
      <c r="U31" s="491">
        <v>0</v>
      </c>
      <c r="V31" s="493">
        <v>608127.98456407909</v>
      </c>
      <c r="W31" s="493">
        <v>3040639.9228203953</v>
      </c>
      <c r="X31" s="493">
        <v>3040639.9228203953</v>
      </c>
      <c r="Y31" s="493">
        <v>0</v>
      </c>
      <c r="Z31" s="493">
        <v>0</v>
      </c>
      <c r="AA31" s="493">
        <v>0</v>
      </c>
      <c r="AB31" s="493">
        <v>0</v>
      </c>
      <c r="AC31" s="493">
        <v>0</v>
      </c>
      <c r="AD31" s="493">
        <v>0</v>
      </c>
      <c r="AE31" s="493">
        <v>0</v>
      </c>
      <c r="AF31" s="493">
        <v>0</v>
      </c>
      <c r="AG31" s="493">
        <v>0</v>
      </c>
      <c r="AH31" s="493">
        <v>0</v>
      </c>
      <c r="AI31" s="493">
        <v>608127.98456407909</v>
      </c>
      <c r="AJ31" s="493">
        <v>608127.98456407909</v>
      </c>
      <c r="AK31" s="493">
        <v>608127.98456407909</v>
      </c>
      <c r="AL31" s="493">
        <v>608127.98456407909</v>
      </c>
      <c r="AM31" s="493">
        <v>608127.98456407909</v>
      </c>
      <c r="AN31" s="493">
        <v>0</v>
      </c>
      <c r="AO31" s="493">
        <v>0</v>
      </c>
      <c r="AP31" s="493">
        <v>0</v>
      </c>
      <c r="AQ31" s="493">
        <v>0</v>
      </c>
      <c r="AR31" s="493">
        <v>0</v>
      </c>
      <c r="AS31" s="493">
        <v>0</v>
      </c>
      <c r="AT31" s="493">
        <v>0</v>
      </c>
      <c r="AU31" s="493">
        <v>0</v>
      </c>
      <c r="AV31" s="493">
        <v>0</v>
      </c>
      <c r="AW31" s="493">
        <v>0</v>
      </c>
      <c r="AX31" s="493">
        <v>0</v>
      </c>
      <c r="AY31" s="493">
        <v>0</v>
      </c>
      <c r="AZ31" s="493">
        <v>0</v>
      </c>
      <c r="BA31" s="493">
        <v>0</v>
      </c>
      <c r="BB31" s="493">
        <v>0</v>
      </c>
      <c r="BC31" s="493">
        <v>0</v>
      </c>
      <c r="BD31" s="493">
        <v>0</v>
      </c>
      <c r="BE31" s="493">
        <v>0</v>
      </c>
      <c r="BF31" s="493">
        <v>0</v>
      </c>
      <c r="BG31" s="493">
        <v>0</v>
      </c>
      <c r="BH31" s="493">
        <v>0</v>
      </c>
      <c r="BI31" s="493">
        <v>0</v>
      </c>
      <c r="BJ31" s="493">
        <v>0</v>
      </c>
      <c r="BK31" s="493">
        <v>0</v>
      </c>
      <c r="BL31" s="493">
        <v>0</v>
      </c>
      <c r="BM31" s="493">
        <v>0</v>
      </c>
      <c r="BN31" s="493">
        <v>0</v>
      </c>
      <c r="BO31" s="493">
        <v>0</v>
      </c>
      <c r="BP31" s="493">
        <v>0</v>
      </c>
      <c r="BQ31" s="493">
        <v>0</v>
      </c>
      <c r="BR31" s="493">
        <v>0</v>
      </c>
      <c r="BS31" s="493">
        <v>0</v>
      </c>
      <c r="BT31" s="493">
        <v>0</v>
      </c>
      <c r="BU31" s="493">
        <v>0</v>
      </c>
      <c r="BV31" s="493">
        <v>0</v>
      </c>
      <c r="BW31" s="493">
        <v>0</v>
      </c>
      <c r="BX31" s="493">
        <v>0</v>
      </c>
      <c r="BY31" s="493">
        <v>0</v>
      </c>
      <c r="BZ31" s="493">
        <v>0</v>
      </c>
      <c r="CA31" s="493">
        <v>0</v>
      </c>
      <c r="CB31" s="493">
        <v>0</v>
      </c>
      <c r="CC31" s="493">
        <v>0</v>
      </c>
      <c r="CD31" s="493">
        <v>0</v>
      </c>
      <c r="CE31" s="493">
        <v>0</v>
      </c>
      <c r="CF31" s="493">
        <v>0</v>
      </c>
      <c r="CG31" s="493">
        <v>0</v>
      </c>
      <c r="CH31" s="493">
        <v>0</v>
      </c>
      <c r="CI31" s="493">
        <v>0</v>
      </c>
      <c r="CJ31" s="493">
        <v>0</v>
      </c>
      <c r="CK31" s="493">
        <v>0</v>
      </c>
      <c r="CL31" s="493">
        <v>0</v>
      </c>
      <c r="CM31" s="493">
        <v>0</v>
      </c>
      <c r="CN31" s="493">
        <v>0</v>
      </c>
      <c r="CO31" s="493">
        <v>0</v>
      </c>
      <c r="CP31" s="493">
        <v>0</v>
      </c>
      <c r="CQ31" s="493">
        <v>0</v>
      </c>
      <c r="CR31" s="493">
        <v>0</v>
      </c>
      <c r="CS31" s="493">
        <v>0</v>
      </c>
      <c r="CT31" s="493">
        <v>0</v>
      </c>
      <c r="CU31" s="493">
        <v>0</v>
      </c>
      <c r="CV31" s="493">
        <v>0</v>
      </c>
      <c r="CW31" s="493">
        <v>0</v>
      </c>
      <c r="CX31" s="493">
        <v>0</v>
      </c>
      <c r="CY31" s="493">
        <v>0</v>
      </c>
      <c r="CZ31" s="493">
        <v>0</v>
      </c>
      <c r="DA31" s="493">
        <v>0</v>
      </c>
      <c r="DB31" s="493">
        <v>0</v>
      </c>
      <c r="DC31" s="493">
        <v>0</v>
      </c>
      <c r="DD31" s="493">
        <v>0</v>
      </c>
      <c r="DE31" s="493">
        <v>0</v>
      </c>
      <c r="DF31" s="493">
        <v>0</v>
      </c>
      <c r="DG31" s="493">
        <v>0</v>
      </c>
      <c r="DH31" s="493">
        <v>0</v>
      </c>
      <c r="DI31" s="493">
        <v>0</v>
      </c>
      <c r="DJ31" s="493">
        <v>0</v>
      </c>
      <c r="DK31" s="493">
        <v>0</v>
      </c>
      <c r="DL31" s="493">
        <v>0</v>
      </c>
      <c r="DM31" s="493">
        <v>0</v>
      </c>
      <c r="DN31" s="493">
        <v>0</v>
      </c>
      <c r="DO31" s="493">
        <v>0</v>
      </c>
      <c r="DP31" s="493">
        <v>0</v>
      </c>
      <c r="DQ31" s="493">
        <v>0</v>
      </c>
      <c r="DR31" s="493">
        <v>0</v>
      </c>
      <c r="DS31" s="493">
        <v>0</v>
      </c>
      <c r="DT31" s="493">
        <v>0</v>
      </c>
      <c r="DU31" s="493">
        <v>0</v>
      </c>
      <c r="DV31" s="493">
        <v>0</v>
      </c>
      <c r="DW31" s="493">
        <v>0</v>
      </c>
      <c r="DX31" s="493">
        <v>0</v>
      </c>
      <c r="DY31" s="493">
        <v>0</v>
      </c>
      <c r="DZ31" s="493">
        <v>0</v>
      </c>
      <c r="EA31" s="493">
        <v>0</v>
      </c>
      <c r="EB31" s="493">
        <v>0</v>
      </c>
      <c r="EC31" s="493">
        <v>0</v>
      </c>
      <c r="ED31" s="493">
        <v>0</v>
      </c>
      <c r="EE31" s="493">
        <v>0</v>
      </c>
      <c r="EF31" s="493">
        <v>0</v>
      </c>
      <c r="EG31" s="493">
        <v>0</v>
      </c>
      <c r="EH31" s="493">
        <v>0</v>
      </c>
      <c r="EI31" s="493">
        <v>0</v>
      </c>
      <c r="EJ31" s="493">
        <v>0</v>
      </c>
      <c r="EK31" s="493">
        <v>0</v>
      </c>
      <c r="EL31" s="493">
        <v>0</v>
      </c>
      <c r="EM31" s="493">
        <v>0</v>
      </c>
      <c r="EN31" s="493">
        <v>0</v>
      </c>
      <c r="EO31" s="493">
        <v>0</v>
      </c>
      <c r="EP31" s="493">
        <v>0</v>
      </c>
      <c r="EQ31" s="493">
        <v>0</v>
      </c>
      <c r="ER31" s="493">
        <v>0</v>
      </c>
      <c r="ES31" s="493">
        <v>0</v>
      </c>
      <c r="ET31" s="493">
        <v>0</v>
      </c>
      <c r="EU31" s="493">
        <v>0</v>
      </c>
      <c r="EV31" s="493">
        <v>0</v>
      </c>
      <c r="EW31" s="493">
        <v>0</v>
      </c>
      <c r="EX31" s="493">
        <v>0</v>
      </c>
      <c r="EY31" s="493">
        <v>0</v>
      </c>
      <c r="EZ31" s="493">
        <v>0</v>
      </c>
      <c r="FA31" s="493">
        <v>0</v>
      </c>
      <c r="FB31" s="493">
        <v>0</v>
      </c>
      <c r="FC31" s="493">
        <v>0</v>
      </c>
      <c r="FD31" s="493">
        <v>0</v>
      </c>
      <c r="FE31" s="493">
        <v>0</v>
      </c>
      <c r="FF31" s="493">
        <v>0</v>
      </c>
      <c r="FG31" s="493">
        <v>0</v>
      </c>
      <c r="FH31" s="493">
        <v>0</v>
      </c>
      <c r="FI31" s="493">
        <v>0</v>
      </c>
      <c r="FJ31" s="45">
        <v>0</v>
      </c>
    </row>
    <row r="32" spans="1:166">
      <c r="A32" s="501" t="s">
        <v>1039</v>
      </c>
      <c r="B32" s="491" t="s">
        <v>195</v>
      </c>
      <c r="C32" s="491" t="s">
        <v>246</v>
      </c>
      <c r="D32" s="491" t="s">
        <v>820</v>
      </c>
      <c r="E32" s="491" t="s">
        <v>248</v>
      </c>
      <c r="F32" s="491" t="s">
        <v>887</v>
      </c>
      <c r="G32" s="491" t="s">
        <v>1558</v>
      </c>
      <c r="H32" s="491">
        <v>0</v>
      </c>
      <c r="I32" s="491">
        <v>0</v>
      </c>
      <c r="J32" s="491" t="s">
        <v>252</v>
      </c>
      <c r="K32" s="491">
        <v>0</v>
      </c>
      <c r="L32" s="491" t="s">
        <v>1563</v>
      </c>
      <c r="M32" s="511">
        <v>1</v>
      </c>
      <c r="N32" s="491">
        <v>0</v>
      </c>
      <c r="O32" s="494">
        <v>0</v>
      </c>
      <c r="P32" s="495">
        <v>0</v>
      </c>
      <c r="Q32" s="493">
        <v>0</v>
      </c>
      <c r="R32" s="491">
        <v>120</v>
      </c>
      <c r="S32" s="496">
        <v>1</v>
      </c>
      <c r="T32" s="512">
        <v>1</v>
      </c>
      <c r="U32" s="491">
        <v>0</v>
      </c>
      <c r="V32" s="493">
        <v>86875.426366297019</v>
      </c>
      <c r="W32" s="493">
        <v>10425051.163955646</v>
      </c>
      <c r="X32" s="493">
        <v>1042505.1163955644</v>
      </c>
      <c r="Y32" s="493">
        <v>1042505.1163955644</v>
      </c>
      <c r="Z32" s="493">
        <v>1042505.1163955644</v>
      </c>
      <c r="AA32" s="493">
        <v>1042505.1163955644</v>
      </c>
      <c r="AB32" s="493">
        <v>1042505.1163955644</v>
      </c>
      <c r="AC32" s="493">
        <v>1042505.1163955644</v>
      </c>
      <c r="AD32" s="493">
        <v>1042505.1163955644</v>
      </c>
      <c r="AE32" s="493">
        <v>1042505.1163955644</v>
      </c>
      <c r="AF32" s="493">
        <v>1042505.1163955644</v>
      </c>
      <c r="AG32" s="493">
        <v>1042505.1163955644</v>
      </c>
      <c r="AH32" s="493">
        <v>0</v>
      </c>
      <c r="AI32" s="493">
        <v>86875.426366297019</v>
      </c>
      <c r="AJ32" s="493">
        <v>86875.426366297019</v>
      </c>
      <c r="AK32" s="493">
        <v>86875.426366297019</v>
      </c>
      <c r="AL32" s="493">
        <v>86875.426366297019</v>
      </c>
      <c r="AM32" s="493">
        <v>86875.426366297019</v>
      </c>
      <c r="AN32" s="493">
        <v>86875.426366297019</v>
      </c>
      <c r="AO32" s="493">
        <v>86875.426366297019</v>
      </c>
      <c r="AP32" s="493">
        <v>86875.426366297019</v>
      </c>
      <c r="AQ32" s="493">
        <v>86875.426366297019</v>
      </c>
      <c r="AR32" s="493">
        <v>86875.426366297019</v>
      </c>
      <c r="AS32" s="493">
        <v>86875.426366297019</v>
      </c>
      <c r="AT32" s="493">
        <v>86875.426366297019</v>
      </c>
      <c r="AU32" s="493">
        <v>86875.426366297019</v>
      </c>
      <c r="AV32" s="493">
        <v>86875.426366297019</v>
      </c>
      <c r="AW32" s="493">
        <v>86875.426366297019</v>
      </c>
      <c r="AX32" s="493">
        <v>86875.426366297019</v>
      </c>
      <c r="AY32" s="493">
        <v>86875.426366297019</v>
      </c>
      <c r="AZ32" s="493">
        <v>86875.426366297019</v>
      </c>
      <c r="BA32" s="493">
        <v>86875.426366297019</v>
      </c>
      <c r="BB32" s="493">
        <v>86875.426366297019</v>
      </c>
      <c r="BC32" s="493">
        <v>86875.426366297019</v>
      </c>
      <c r="BD32" s="493">
        <v>86875.426366297019</v>
      </c>
      <c r="BE32" s="493">
        <v>86875.426366297019</v>
      </c>
      <c r="BF32" s="493">
        <v>86875.426366297019</v>
      </c>
      <c r="BG32" s="493">
        <v>86875.426366297019</v>
      </c>
      <c r="BH32" s="493">
        <v>86875.426366297019</v>
      </c>
      <c r="BI32" s="493">
        <v>86875.426366297019</v>
      </c>
      <c r="BJ32" s="493">
        <v>86875.426366297019</v>
      </c>
      <c r="BK32" s="493">
        <v>86875.426366297019</v>
      </c>
      <c r="BL32" s="493">
        <v>86875.426366297019</v>
      </c>
      <c r="BM32" s="493">
        <v>86875.426366297019</v>
      </c>
      <c r="BN32" s="493">
        <v>86875.426366297019</v>
      </c>
      <c r="BO32" s="493">
        <v>86875.426366297019</v>
      </c>
      <c r="BP32" s="493">
        <v>86875.426366297019</v>
      </c>
      <c r="BQ32" s="493">
        <v>86875.426366297019</v>
      </c>
      <c r="BR32" s="493">
        <v>86875.426366297019</v>
      </c>
      <c r="BS32" s="493">
        <v>86875.426366297019</v>
      </c>
      <c r="BT32" s="493">
        <v>86875.426366297019</v>
      </c>
      <c r="BU32" s="493">
        <v>86875.426366297019</v>
      </c>
      <c r="BV32" s="493">
        <v>86875.426366297019</v>
      </c>
      <c r="BW32" s="493">
        <v>86875.426366297019</v>
      </c>
      <c r="BX32" s="493">
        <v>86875.426366297019</v>
      </c>
      <c r="BY32" s="493">
        <v>86875.426366297019</v>
      </c>
      <c r="BZ32" s="493">
        <v>86875.426366297019</v>
      </c>
      <c r="CA32" s="493">
        <v>86875.426366297019</v>
      </c>
      <c r="CB32" s="493">
        <v>86875.426366297019</v>
      </c>
      <c r="CC32" s="493">
        <v>86875.426366297019</v>
      </c>
      <c r="CD32" s="493">
        <v>86875.426366297019</v>
      </c>
      <c r="CE32" s="493">
        <v>86875.426366297019</v>
      </c>
      <c r="CF32" s="493">
        <v>86875.426366297019</v>
      </c>
      <c r="CG32" s="493">
        <v>86875.426366297019</v>
      </c>
      <c r="CH32" s="493">
        <v>86875.426366297019</v>
      </c>
      <c r="CI32" s="493">
        <v>86875.426366297019</v>
      </c>
      <c r="CJ32" s="493">
        <v>86875.426366297019</v>
      </c>
      <c r="CK32" s="493">
        <v>86875.426366297019</v>
      </c>
      <c r="CL32" s="493">
        <v>86875.426366297019</v>
      </c>
      <c r="CM32" s="493">
        <v>86875.426366297019</v>
      </c>
      <c r="CN32" s="493">
        <v>86875.426366297019</v>
      </c>
      <c r="CO32" s="493">
        <v>86875.426366297019</v>
      </c>
      <c r="CP32" s="493">
        <v>86875.426366297019</v>
      </c>
      <c r="CQ32" s="493">
        <v>86875.426366297019</v>
      </c>
      <c r="CR32" s="493">
        <v>86875.426366297019</v>
      </c>
      <c r="CS32" s="493">
        <v>86875.426366297019</v>
      </c>
      <c r="CT32" s="493">
        <v>86875.426366297019</v>
      </c>
      <c r="CU32" s="493">
        <v>86875.426366297019</v>
      </c>
      <c r="CV32" s="493">
        <v>86875.426366297019</v>
      </c>
      <c r="CW32" s="493">
        <v>86875.426366297019</v>
      </c>
      <c r="CX32" s="493">
        <v>86875.426366297019</v>
      </c>
      <c r="CY32" s="493">
        <v>86875.426366297019</v>
      </c>
      <c r="CZ32" s="493">
        <v>86875.426366297019</v>
      </c>
      <c r="DA32" s="493">
        <v>86875.426366297019</v>
      </c>
      <c r="DB32" s="493">
        <v>86875.426366297019</v>
      </c>
      <c r="DC32" s="493">
        <v>86875.426366297019</v>
      </c>
      <c r="DD32" s="493">
        <v>86875.426366297019</v>
      </c>
      <c r="DE32" s="493">
        <v>86875.426366297019</v>
      </c>
      <c r="DF32" s="493">
        <v>86875.426366297019</v>
      </c>
      <c r="DG32" s="493">
        <v>86875.426366297019</v>
      </c>
      <c r="DH32" s="493">
        <v>86875.426366297019</v>
      </c>
      <c r="DI32" s="493">
        <v>86875.426366297019</v>
      </c>
      <c r="DJ32" s="493">
        <v>86875.426366297019</v>
      </c>
      <c r="DK32" s="493">
        <v>86875.426366297019</v>
      </c>
      <c r="DL32" s="493">
        <v>86875.426366297019</v>
      </c>
      <c r="DM32" s="493">
        <v>86875.426366297019</v>
      </c>
      <c r="DN32" s="493">
        <v>86875.426366297019</v>
      </c>
      <c r="DO32" s="493">
        <v>86875.426366297019</v>
      </c>
      <c r="DP32" s="493">
        <v>86875.426366297019</v>
      </c>
      <c r="DQ32" s="493">
        <v>86875.426366297019</v>
      </c>
      <c r="DR32" s="493">
        <v>86875.426366297019</v>
      </c>
      <c r="DS32" s="493">
        <v>86875.426366297019</v>
      </c>
      <c r="DT32" s="493">
        <v>86875.426366297019</v>
      </c>
      <c r="DU32" s="493">
        <v>86875.426366297019</v>
      </c>
      <c r="DV32" s="493">
        <v>86875.426366297019</v>
      </c>
      <c r="DW32" s="493">
        <v>86875.426366297019</v>
      </c>
      <c r="DX32" s="493">
        <v>86875.426366297019</v>
      </c>
      <c r="DY32" s="493">
        <v>86875.426366297019</v>
      </c>
      <c r="DZ32" s="493">
        <v>86875.426366297019</v>
      </c>
      <c r="EA32" s="493">
        <v>86875.426366297019</v>
      </c>
      <c r="EB32" s="493">
        <v>86875.426366297019</v>
      </c>
      <c r="EC32" s="493">
        <v>86875.426366297019</v>
      </c>
      <c r="ED32" s="493">
        <v>86875.426366297019</v>
      </c>
      <c r="EE32" s="493">
        <v>86875.426366297019</v>
      </c>
      <c r="EF32" s="493">
        <v>86875.426366297019</v>
      </c>
      <c r="EG32" s="493">
        <v>86875.426366297019</v>
      </c>
      <c r="EH32" s="493">
        <v>86875.426366297019</v>
      </c>
      <c r="EI32" s="493">
        <v>86875.426366297019</v>
      </c>
      <c r="EJ32" s="493">
        <v>86875.426366297019</v>
      </c>
      <c r="EK32" s="493">
        <v>86875.426366297019</v>
      </c>
      <c r="EL32" s="493">
        <v>86875.426366297019</v>
      </c>
      <c r="EM32" s="493">
        <v>86875.426366297019</v>
      </c>
      <c r="EN32" s="493">
        <v>86875.426366297019</v>
      </c>
      <c r="EO32" s="493">
        <v>86875.426366297019</v>
      </c>
      <c r="EP32" s="493">
        <v>86875.426366297019</v>
      </c>
      <c r="EQ32" s="493">
        <v>86875.426366297019</v>
      </c>
      <c r="ER32" s="493">
        <v>86875.426366297019</v>
      </c>
      <c r="ES32" s="493">
        <v>86875.426366297019</v>
      </c>
      <c r="ET32" s="493">
        <v>86875.426366297019</v>
      </c>
      <c r="EU32" s="493">
        <v>86875.426366297019</v>
      </c>
      <c r="EV32" s="493">
        <v>86875.426366297019</v>
      </c>
      <c r="EW32" s="493">
        <v>86875.426366297019</v>
      </c>
      <c r="EX32" s="493">
        <v>86875.426366297019</v>
      </c>
      <c r="EY32" s="493">
        <v>0</v>
      </c>
      <c r="EZ32" s="493">
        <v>0</v>
      </c>
      <c r="FA32" s="493">
        <v>0</v>
      </c>
      <c r="FB32" s="493">
        <v>0</v>
      </c>
      <c r="FC32" s="493">
        <v>0</v>
      </c>
      <c r="FD32" s="493">
        <v>0</v>
      </c>
      <c r="FE32" s="493">
        <v>0</v>
      </c>
      <c r="FF32" s="493">
        <v>0</v>
      </c>
      <c r="FG32" s="493">
        <v>0</v>
      </c>
      <c r="FH32" s="493">
        <v>0</v>
      </c>
      <c r="FI32" s="493">
        <v>0</v>
      </c>
      <c r="FJ32" s="45">
        <v>0</v>
      </c>
    </row>
    <row r="33" spans="1:166">
      <c r="A33" s="501" t="s">
        <v>1040</v>
      </c>
      <c r="B33" s="491" t="s">
        <v>195</v>
      </c>
      <c r="C33" s="491" t="s">
        <v>246</v>
      </c>
      <c r="D33" s="491" t="s">
        <v>820</v>
      </c>
      <c r="E33" s="491" t="s">
        <v>248</v>
      </c>
      <c r="F33" s="498" t="s">
        <v>249</v>
      </c>
      <c r="G33" s="491" t="s">
        <v>1559</v>
      </c>
      <c r="H33" s="491">
        <v>0</v>
      </c>
      <c r="I33" s="491">
        <v>0</v>
      </c>
      <c r="J33" s="491" t="s">
        <v>252</v>
      </c>
      <c r="K33" s="491">
        <v>0</v>
      </c>
      <c r="L33" s="491" t="s">
        <v>1563</v>
      </c>
      <c r="M33" s="511">
        <v>1</v>
      </c>
      <c r="N33" s="491">
        <v>0</v>
      </c>
      <c r="O33" s="494">
        <v>0</v>
      </c>
      <c r="P33" s="495">
        <v>0</v>
      </c>
      <c r="Q33" s="493">
        <v>0</v>
      </c>
      <c r="R33" s="491">
        <v>120</v>
      </c>
      <c r="S33" s="496">
        <v>1</v>
      </c>
      <c r="T33" s="512">
        <v>1</v>
      </c>
      <c r="U33" s="491">
        <v>0</v>
      </c>
      <c r="V33" s="493">
        <v>5646.9027138093061</v>
      </c>
      <c r="W33" s="493">
        <v>677628.32565711683</v>
      </c>
      <c r="X33" s="493">
        <v>67762.83256571168</v>
      </c>
      <c r="Y33" s="493">
        <v>67762.83256571168</v>
      </c>
      <c r="Z33" s="493">
        <v>67762.83256571168</v>
      </c>
      <c r="AA33" s="493">
        <v>67762.83256571168</v>
      </c>
      <c r="AB33" s="493">
        <v>67762.83256571168</v>
      </c>
      <c r="AC33" s="493">
        <v>67762.83256571168</v>
      </c>
      <c r="AD33" s="493">
        <v>67762.83256571168</v>
      </c>
      <c r="AE33" s="493">
        <v>67762.83256571168</v>
      </c>
      <c r="AF33" s="493">
        <v>67762.83256571168</v>
      </c>
      <c r="AG33" s="493">
        <v>67762.83256571168</v>
      </c>
      <c r="AH33" s="493">
        <v>0</v>
      </c>
      <c r="AI33" s="493">
        <v>5646.9027138093061</v>
      </c>
      <c r="AJ33" s="493">
        <v>5646.9027138093061</v>
      </c>
      <c r="AK33" s="493">
        <v>5646.9027138093061</v>
      </c>
      <c r="AL33" s="493">
        <v>5646.9027138093061</v>
      </c>
      <c r="AM33" s="493">
        <v>5646.9027138093061</v>
      </c>
      <c r="AN33" s="493">
        <v>5646.9027138093061</v>
      </c>
      <c r="AO33" s="493">
        <v>5646.9027138093061</v>
      </c>
      <c r="AP33" s="493">
        <v>5646.9027138093061</v>
      </c>
      <c r="AQ33" s="493">
        <v>5646.9027138093061</v>
      </c>
      <c r="AR33" s="493">
        <v>5646.9027138093061</v>
      </c>
      <c r="AS33" s="493">
        <v>5646.9027138093061</v>
      </c>
      <c r="AT33" s="493">
        <v>5646.9027138093061</v>
      </c>
      <c r="AU33" s="493">
        <v>5646.9027138093061</v>
      </c>
      <c r="AV33" s="493">
        <v>5646.9027138093061</v>
      </c>
      <c r="AW33" s="493">
        <v>5646.9027138093061</v>
      </c>
      <c r="AX33" s="493">
        <v>5646.9027138093061</v>
      </c>
      <c r="AY33" s="493">
        <v>5646.9027138093061</v>
      </c>
      <c r="AZ33" s="493">
        <v>5646.9027138093061</v>
      </c>
      <c r="BA33" s="493">
        <v>5646.9027138093061</v>
      </c>
      <c r="BB33" s="493">
        <v>5646.9027138093061</v>
      </c>
      <c r="BC33" s="493">
        <v>5646.9027138093061</v>
      </c>
      <c r="BD33" s="493">
        <v>5646.9027138093061</v>
      </c>
      <c r="BE33" s="493">
        <v>5646.9027138093061</v>
      </c>
      <c r="BF33" s="493">
        <v>5646.9027138093061</v>
      </c>
      <c r="BG33" s="493">
        <v>5646.9027138093061</v>
      </c>
      <c r="BH33" s="493">
        <v>5646.9027138093061</v>
      </c>
      <c r="BI33" s="493">
        <v>5646.9027138093061</v>
      </c>
      <c r="BJ33" s="493">
        <v>5646.9027138093061</v>
      </c>
      <c r="BK33" s="493">
        <v>5646.9027138093061</v>
      </c>
      <c r="BL33" s="493">
        <v>5646.9027138093061</v>
      </c>
      <c r="BM33" s="493">
        <v>5646.9027138093061</v>
      </c>
      <c r="BN33" s="493">
        <v>5646.9027138093061</v>
      </c>
      <c r="BO33" s="493">
        <v>5646.9027138093061</v>
      </c>
      <c r="BP33" s="493">
        <v>5646.9027138093061</v>
      </c>
      <c r="BQ33" s="493">
        <v>5646.9027138093061</v>
      </c>
      <c r="BR33" s="493">
        <v>5646.9027138093061</v>
      </c>
      <c r="BS33" s="493">
        <v>5646.9027138093061</v>
      </c>
      <c r="BT33" s="493">
        <v>5646.9027138093061</v>
      </c>
      <c r="BU33" s="493">
        <v>5646.9027138093061</v>
      </c>
      <c r="BV33" s="493">
        <v>5646.9027138093061</v>
      </c>
      <c r="BW33" s="493">
        <v>5646.9027138093061</v>
      </c>
      <c r="BX33" s="493">
        <v>5646.9027138093061</v>
      </c>
      <c r="BY33" s="493">
        <v>5646.9027138093061</v>
      </c>
      <c r="BZ33" s="493">
        <v>5646.9027138093061</v>
      </c>
      <c r="CA33" s="493">
        <v>5646.9027138093061</v>
      </c>
      <c r="CB33" s="493">
        <v>5646.9027138093061</v>
      </c>
      <c r="CC33" s="493">
        <v>5646.9027138093061</v>
      </c>
      <c r="CD33" s="493">
        <v>5646.9027138093061</v>
      </c>
      <c r="CE33" s="493">
        <v>5646.9027138093061</v>
      </c>
      <c r="CF33" s="493">
        <v>5646.9027138093061</v>
      </c>
      <c r="CG33" s="493">
        <v>5646.9027138093061</v>
      </c>
      <c r="CH33" s="493">
        <v>5646.9027138093061</v>
      </c>
      <c r="CI33" s="493">
        <v>5646.9027138093061</v>
      </c>
      <c r="CJ33" s="493">
        <v>5646.9027138093061</v>
      </c>
      <c r="CK33" s="493">
        <v>5646.9027138093061</v>
      </c>
      <c r="CL33" s="493">
        <v>5646.9027138093061</v>
      </c>
      <c r="CM33" s="493">
        <v>5646.9027138093061</v>
      </c>
      <c r="CN33" s="493">
        <v>5646.9027138093061</v>
      </c>
      <c r="CO33" s="493">
        <v>5646.9027138093061</v>
      </c>
      <c r="CP33" s="493">
        <v>5646.9027138093061</v>
      </c>
      <c r="CQ33" s="493">
        <v>5646.9027138093061</v>
      </c>
      <c r="CR33" s="493">
        <v>5646.9027138093061</v>
      </c>
      <c r="CS33" s="493">
        <v>5646.9027138093061</v>
      </c>
      <c r="CT33" s="493">
        <v>5646.9027138093061</v>
      </c>
      <c r="CU33" s="493">
        <v>5646.9027138093061</v>
      </c>
      <c r="CV33" s="493">
        <v>5646.9027138093061</v>
      </c>
      <c r="CW33" s="493">
        <v>5646.9027138093061</v>
      </c>
      <c r="CX33" s="493">
        <v>5646.9027138093061</v>
      </c>
      <c r="CY33" s="493">
        <v>5646.9027138093061</v>
      </c>
      <c r="CZ33" s="493">
        <v>5646.9027138093061</v>
      </c>
      <c r="DA33" s="493">
        <v>5646.9027138093061</v>
      </c>
      <c r="DB33" s="493">
        <v>5646.9027138093061</v>
      </c>
      <c r="DC33" s="493">
        <v>5646.9027138093061</v>
      </c>
      <c r="DD33" s="493">
        <v>5646.9027138093061</v>
      </c>
      <c r="DE33" s="493">
        <v>5646.9027138093061</v>
      </c>
      <c r="DF33" s="493">
        <v>5646.9027138093061</v>
      </c>
      <c r="DG33" s="493">
        <v>5646.9027138093061</v>
      </c>
      <c r="DH33" s="493">
        <v>5646.9027138093061</v>
      </c>
      <c r="DI33" s="493">
        <v>5646.9027138093061</v>
      </c>
      <c r="DJ33" s="493">
        <v>5646.9027138093061</v>
      </c>
      <c r="DK33" s="493">
        <v>5646.9027138093061</v>
      </c>
      <c r="DL33" s="493">
        <v>5646.9027138093061</v>
      </c>
      <c r="DM33" s="493">
        <v>5646.9027138093061</v>
      </c>
      <c r="DN33" s="493">
        <v>5646.9027138093061</v>
      </c>
      <c r="DO33" s="493">
        <v>5646.9027138093061</v>
      </c>
      <c r="DP33" s="493">
        <v>5646.9027138093061</v>
      </c>
      <c r="DQ33" s="493">
        <v>5646.9027138093061</v>
      </c>
      <c r="DR33" s="493">
        <v>5646.9027138093061</v>
      </c>
      <c r="DS33" s="493">
        <v>5646.9027138093061</v>
      </c>
      <c r="DT33" s="493">
        <v>5646.9027138093061</v>
      </c>
      <c r="DU33" s="493">
        <v>5646.9027138093061</v>
      </c>
      <c r="DV33" s="493">
        <v>5646.9027138093061</v>
      </c>
      <c r="DW33" s="493">
        <v>5646.9027138093061</v>
      </c>
      <c r="DX33" s="493">
        <v>5646.9027138093061</v>
      </c>
      <c r="DY33" s="493">
        <v>5646.9027138093061</v>
      </c>
      <c r="DZ33" s="493">
        <v>5646.9027138093061</v>
      </c>
      <c r="EA33" s="493">
        <v>5646.9027138093061</v>
      </c>
      <c r="EB33" s="493">
        <v>5646.9027138093061</v>
      </c>
      <c r="EC33" s="493">
        <v>5646.9027138093061</v>
      </c>
      <c r="ED33" s="493">
        <v>5646.9027138093061</v>
      </c>
      <c r="EE33" s="493">
        <v>5646.9027138093061</v>
      </c>
      <c r="EF33" s="493">
        <v>5646.9027138093061</v>
      </c>
      <c r="EG33" s="493">
        <v>5646.9027138093061</v>
      </c>
      <c r="EH33" s="493">
        <v>5646.9027138093061</v>
      </c>
      <c r="EI33" s="493">
        <v>5646.9027138093061</v>
      </c>
      <c r="EJ33" s="493">
        <v>5646.9027138093061</v>
      </c>
      <c r="EK33" s="493">
        <v>5646.9027138093061</v>
      </c>
      <c r="EL33" s="493">
        <v>5646.9027138093061</v>
      </c>
      <c r="EM33" s="493">
        <v>5646.9027138093061</v>
      </c>
      <c r="EN33" s="493">
        <v>5646.9027138093061</v>
      </c>
      <c r="EO33" s="493">
        <v>5646.9027138093061</v>
      </c>
      <c r="EP33" s="493">
        <v>5646.9027138093061</v>
      </c>
      <c r="EQ33" s="493">
        <v>5646.9027138093061</v>
      </c>
      <c r="ER33" s="493">
        <v>5646.9027138093061</v>
      </c>
      <c r="ES33" s="493">
        <v>5646.9027138093061</v>
      </c>
      <c r="ET33" s="493">
        <v>5646.9027138093061</v>
      </c>
      <c r="EU33" s="493">
        <v>5646.9027138093061</v>
      </c>
      <c r="EV33" s="493">
        <v>5646.9027138093061</v>
      </c>
      <c r="EW33" s="493">
        <v>5646.9027138093061</v>
      </c>
      <c r="EX33" s="493">
        <v>5646.9027138093061</v>
      </c>
      <c r="EY33" s="493">
        <v>0</v>
      </c>
      <c r="EZ33" s="493">
        <v>0</v>
      </c>
      <c r="FA33" s="493">
        <v>0</v>
      </c>
      <c r="FB33" s="493">
        <v>0</v>
      </c>
      <c r="FC33" s="493">
        <v>0</v>
      </c>
      <c r="FD33" s="493">
        <v>0</v>
      </c>
      <c r="FE33" s="493">
        <v>0</v>
      </c>
      <c r="FF33" s="493">
        <v>0</v>
      </c>
      <c r="FG33" s="493">
        <v>0</v>
      </c>
      <c r="FH33" s="493">
        <v>0</v>
      </c>
      <c r="FI33" s="493">
        <v>0</v>
      </c>
      <c r="FJ33" s="45">
        <v>0</v>
      </c>
    </row>
    <row r="34" spans="1:166">
      <c r="A34" s="501" t="s">
        <v>1041</v>
      </c>
      <c r="B34" s="491" t="s">
        <v>195</v>
      </c>
      <c r="C34" s="491" t="s">
        <v>246</v>
      </c>
      <c r="D34" s="491" t="s">
        <v>820</v>
      </c>
      <c r="E34" s="491" t="s">
        <v>248</v>
      </c>
      <c r="F34" s="498" t="s">
        <v>250</v>
      </c>
      <c r="G34" s="491" t="s">
        <v>897</v>
      </c>
      <c r="H34" s="491">
        <v>0</v>
      </c>
      <c r="I34" s="491">
        <v>0</v>
      </c>
      <c r="J34" s="491" t="s">
        <v>252</v>
      </c>
      <c r="K34" s="491">
        <v>0</v>
      </c>
      <c r="L34" s="491" t="s">
        <v>259</v>
      </c>
      <c r="M34" s="511">
        <v>1</v>
      </c>
      <c r="N34" s="491">
        <v>0</v>
      </c>
      <c r="O34" s="494">
        <v>0</v>
      </c>
      <c r="P34" s="495">
        <v>0</v>
      </c>
      <c r="Q34" s="493">
        <v>0</v>
      </c>
      <c r="R34" s="491">
        <v>120</v>
      </c>
      <c r="S34" s="496">
        <v>1</v>
      </c>
      <c r="T34" s="512">
        <v>1</v>
      </c>
      <c r="U34" s="491">
        <v>0</v>
      </c>
      <c r="V34" s="493">
        <v>217188.56591574254</v>
      </c>
      <c r="W34" s="493">
        <v>26062627.909889098</v>
      </c>
      <c r="X34" s="493">
        <v>2606262.7909889095</v>
      </c>
      <c r="Y34" s="493">
        <v>2606262.7909889095</v>
      </c>
      <c r="Z34" s="493">
        <v>2606262.7909889095</v>
      </c>
      <c r="AA34" s="493">
        <v>2606262.7909889095</v>
      </c>
      <c r="AB34" s="493">
        <v>2606262.7909889095</v>
      </c>
      <c r="AC34" s="493">
        <v>2606262.7909889095</v>
      </c>
      <c r="AD34" s="493">
        <v>2606262.7909889095</v>
      </c>
      <c r="AE34" s="493">
        <v>2606262.7909889095</v>
      </c>
      <c r="AF34" s="493">
        <v>2606262.7909889095</v>
      </c>
      <c r="AG34" s="493">
        <v>2606262.7909889095</v>
      </c>
      <c r="AH34" s="493">
        <v>0</v>
      </c>
      <c r="AI34" s="493">
        <v>217188.56591574254</v>
      </c>
      <c r="AJ34" s="493">
        <v>217188.56591574254</v>
      </c>
      <c r="AK34" s="493">
        <v>217188.56591574254</v>
      </c>
      <c r="AL34" s="493">
        <v>217188.56591574254</v>
      </c>
      <c r="AM34" s="493">
        <v>217188.56591574254</v>
      </c>
      <c r="AN34" s="493">
        <v>217188.56591574254</v>
      </c>
      <c r="AO34" s="493">
        <v>217188.56591574254</v>
      </c>
      <c r="AP34" s="493">
        <v>217188.56591574254</v>
      </c>
      <c r="AQ34" s="493">
        <v>217188.56591574254</v>
      </c>
      <c r="AR34" s="493">
        <v>217188.56591574254</v>
      </c>
      <c r="AS34" s="493">
        <v>217188.56591574254</v>
      </c>
      <c r="AT34" s="493">
        <v>217188.56591574254</v>
      </c>
      <c r="AU34" s="493">
        <v>217188.56591574254</v>
      </c>
      <c r="AV34" s="493">
        <v>217188.56591574254</v>
      </c>
      <c r="AW34" s="493">
        <v>217188.56591574254</v>
      </c>
      <c r="AX34" s="493">
        <v>217188.56591574254</v>
      </c>
      <c r="AY34" s="493">
        <v>217188.56591574254</v>
      </c>
      <c r="AZ34" s="493">
        <v>217188.56591574254</v>
      </c>
      <c r="BA34" s="493">
        <v>217188.56591574254</v>
      </c>
      <c r="BB34" s="493">
        <v>217188.56591574254</v>
      </c>
      <c r="BC34" s="493">
        <v>217188.56591574254</v>
      </c>
      <c r="BD34" s="493">
        <v>217188.56591574254</v>
      </c>
      <c r="BE34" s="493">
        <v>217188.56591574254</v>
      </c>
      <c r="BF34" s="493">
        <v>217188.56591574254</v>
      </c>
      <c r="BG34" s="493">
        <v>217188.56591574254</v>
      </c>
      <c r="BH34" s="493">
        <v>217188.56591574254</v>
      </c>
      <c r="BI34" s="493">
        <v>217188.56591574254</v>
      </c>
      <c r="BJ34" s="493">
        <v>217188.56591574254</v>
      </c>
      <c r="BK34" s="493">
        <v>217188.56591574254</v>
      </c>
      <c r="BL34" s="493">
        <v>217188.56591574254</v>
      </c>
      <c r="BM34" s="493">
        <v>217188.56591574254</v>
      </c>
      <c r="BN34" s="493">
        <v>217188.56591574254</v>
      </c>
      <c r="BO34" s="493">
        <v>217188.56591574254</v>
      </c>
      <c r="BP34" s="493">
        <v>217188.56591574254</v>
      </c>
      <c r="BQ34" s="493">
        <v>217188.56591574254</v>
      </c>
      <c r="BR34" s="493">
        <v>217188.56591574254</v>
      </c>
      <c r="BS34" s="493">
        <v>217188.56591574254</v>
      </c>
      <c r="BT34" s="493">
        <v>217188.56591574254</v>
      </c>
      <c r="BU34" s="493">
        <v>217188.56591574254</v>
      </c>
      <c r="BV34" s="493">
        <v>217188.56591574254</v>
      </c>
      <c r="BW34" s="493">
        <v>217188.56591574254</v>
      </c>
      <c r="BX34" s="493">
        <v>217188.56591574254</v>
      </c>
      <c r="BY34" s="493">
        <v>217188.56591574254</v>
      </c>
      <c r="BZ34" s="493">
        <v>217188.56591574254</v>
      </c>
      <c r="CA34" s="493">
        <v>217188.56591574254</v>
      </c>
      <c r="CB34" s="493">
        <v>217188.56591574254</v>
      </c>
      <c r="CC34" s="493">
        <v>217188.56591574254</v>
      </c>
      <c r="CD34" s="493">
        <v>217188.56591574254</v>
      </c>
      <c r="CE34" s="493">
        <v>217188.56591574254</v>
      </c>
      <c r="CF34" s="493">
        <v>217188.56591574254</v>
      </c>
      <c r="CG34" s="493">
        <v>217188.56591574254</v>
      </c>
      <c r="CH34" s="493">
        <v>217188.56591574254</v>
      </c>
      <c r="CI34" s="493">
        <v>217188.56591574254</v>
      </c>
      <c r="CJ34" s="493">
        <v>217188.56591574254</v>
      </c>
      <c r="CK34" s="493">
        <v>217188.56591574254</v>
      </c>
      <c r="CL34" s="493">
        <v>217188.56591574254</v>
      </c>
      <c r="CM34" s="493">
        <v>217188.56591574254</v>
      </c>
      <c r="CN34" s="493">
        <v>217188.56591574254</v>
      </c>
      <c r="CO34" s="493">
        <v>217188.56591574254</v>
      </c>
      <c r="CP34" s="493">
        <v>217188.56591574254</v>
      </c>
      <c r="CQ34" s="493">
        <v>217188.56591574254</v>
      </c>
      <c r="CR34" s="493">
        <v>217188.56591574254</v>
      </c>
      <c r="CS34" s="493">
        <v>217188.56591574254</v>
      </c>
      <c r="CT34" s="493">
        <v>217188.56591574254</v>
      </c>
      <c r="CU34" s="493">
        <v>217188.56591574254</v>
      </c>
      <c r="CV34" s="493">
        <v>217188.56591574254</v>
      </c>
      <c r="CW34" s="493">
        <v>217188.56591574254</v>
      </c>
      <c r="CX34" s="493">
        <v>217188.56591574254</v>
      </c>
      <c r="CY34" s="493">
        <v>217188.56591574254</v>
      </c>
      <c r="CZ34" s="493">
        <v>217188.56591574254</v>
      </c>
      <c r="DA34" s="493">
        <v>217188.56591574254</v>
      </c>
      <c r="DB34" s="493">
        <v>217188.56591574254</v>
      </c>
      <c r="DC34" s="493">
        <v>217188.56591574254</v>
      </c>
      <c r="DD34" s="493">
        <v>217188.56591574254</v>
      </c>
      <c r="DE34" s="493">
        <v>217188.56591574254</v>
      </c>
      <c r="DF34" s="493">
        <v>217188.56591574254</v>
      </c>
      <c r="DG34" s="493">
        <v>217188.56591574254</v>
      </c>
      <c r="DH34" s="493">
        <v>217188.56591574254</v>
      </c>
      <c r="DI34" s="493">
        <v>217188.56591574254</v>
      </c>
      <c r="DJ34" s="493">
        <v>217188.56591574254</v>
      </c>
      <c r="DK34" s="493">
        <v>217188.56591574254</v>
      </c>
      <c r="DL34" s="493">
        <v>217188.56591574254</v>
      </c>
      <c r="DM34" s="493">
        <v>217188.56591574254</v>
      </c>
      <c r="DN34" s="493">
        <v>217188.56591574254</v>
      </c>
      <c r="DO34" s="493">
        <v>217188.56591574254</v>
      </c>
      <c r="DP34" s="493">
        <v>217188.56591574254</v>
      </c>
      <c r="DQ34" s="493">
        <v>217188.56591574254</v>
      </c>
      <c r="DR34" s="493">
        <v>217188.56591574254</v>
      </c>
      <c r="DS34" s="493">
        <v>217188.56591574254</v>
      </c>
      <c r="DT34" s="493">
        <v>217188.56591574254</v>
      </c>
      <c r="DU34" s="493">
        <v>217188.56591574254</v>
      </c>
      <c r="DV34" s="493">
        <v>217188.56591574254</v>
      </c>
      <c r="DW34" s="493">
        <v>217188.56591574254</v>
      </c>
      <c r="DX34" s="493">
        <v>217188.56591574254</v>
      </c>
      <c r="DY34" s="493">
        <v>217188.56591574254</v>
      </c>
      <c r="DZ34" s="493">
        <v>217188.56591574254</v>
      </c>
      <c r="EA34" s="493">
        <v>217188.56591574254</v>
      </c>
      <c r="EB34" s="493">
        <v>217188.56591574254</v>
      </c>
      <c r="EC34" s="493">
        <v>217188.56591574254</v>
      </c>
      <c r="ED34" s="493">
        <v>217188.56591574254</v>
      </c>
      <c r="EE34" s="493">
        <v>217188.56591574254</v>
      </c>
      <c r="EF34" s="493">
        <v>217188.56591574254</v>
      </c>
      <c r="EG34" s="493">
        <v>217188.56591574254</v>
      </c>
      <c r="EH34" s="493">
        <v>217188.56591574254</v>
      </c>
      <c r="EI34" s="493">
        <v>217188.56591574254</v>
      </c>
      <c r="EJ34" s="493">
        <v>217188.56591574254</v>
      </c>
      <c r="EK34" s="493">
        <v>217188.56591574254</v>
      </c>
      <c r="EL34" s="493">
        <v>217188.56591574254</v>
      </c>
      <c r="EM34" s="493">
        <v>217188.56591574254</v>
      </c>
      <c r="EN34" s="493">
        <v>217188.56591574254</v>
      </c>
      <c r="EO34" s="493">
        <v>217188.56591574254</v>
      </c>
      <c r="EP34" s="493">
        <v>217188.56591574254</v>
      </c>
      <c r="EQ34" s="493">
        <v>217188.56591574254</v>
      </c>
      <c r="ER34" s="493">
        <v>217188.56591574254</v>
      </c>
      <c r="ES34" s="493">
        <v>217188.56591574254</v>
      </c>
      <c r="ET34" s="493">
        <v>217188.56591574254</v>
      </c>
      <c r="EU34" s="493">
        <v>217188.56591574254</v>
      </c>
      <c r="EV34" s="493">
        <v>217188.56591574254</v>
      </c>
      <c r="EW34" s="493">
        <v>217188.56591574254</v>
      </c>
      <c r="EX34" s="493">
        <v>217188.56591574254</v>
      </c>
      <c r="EY34" s="493">
        <v>0</v>
      </c>
      <c r="EZ34" s="493">
        <v>0</v>
      </c>
      <c r="FA34" s="493">
        <v>0</v>
      </c>
      <c r="FB34" s="493">
        <v>0</v>
      </c>
      <c r="FC34" s="493">
        <v>0</v>
      </c>
      <c r="FD34" s="493">
        <v>0</v>
      </c>
      <c r="FE34" s="493">
        <v>0</v>
      </c>
      <c r="FF34" s="493">
        <v>0</v>
      </c>
      <c r="FG34" s="493">
        <v>0</v>
      </c>
      <c r="FH34" s="493">
        <v>0</v>
      </c>
      <c r="FI34" s="493">
        <v>0</v>
      </c>
      <c r="FJ34" s="45">
        <v>0</v>
      </c>
    </row>
    <row r="35" spans="1:166">
      <c r="A35" s="501" t="s">
        <v>1042</v>
      </c>
      <c r="B35" s="491" t="s">
        <v>157</v>
      </c>
      <c r="C35" s="491" t="s">
        <v>246</v>
      </c>
      <c r="D35" s="498" t="s">
        <v>339</v>
      </c>
      <c r="E35" s="491" t="s">
        <v>1566</v>
      </c>
      <c r="F35" s="491">
        <v>0</v>
      </c>
      <c r="G35" s="491">
        <v>0</v>
      </c>
      <c r="H35" s="491">
        <v>0</v>
      </c>
      <c r="I35" s="491">
        <v>0</v>
      </c>
      <c r="J35" s="491" t="s">
        <v>252</v>
      </c>
      <c r="K35" s="491">
        <v>0</v>
      </c>
      <c r="L35" s="491" t="s">
        <v>259</v>
      </c>
      <c r="M35" s="511">
        <v>1</v>
      </c>
      <c r="N35" s="491">
        <v>0</v>
      </c>
      <c r="O35" s="494">
        <v>0</v>
      </c>
      <c r="P35" s="495">
        <v>0</v>
      </c>
      <c r="Q35" s="493">
        <v>0</v>
      </c>
      <c r="R35" s="491">
        <v>120</v>
      </c>
      <c r="S35" s="496">
        <v>1</v>
      </c>
      <c r="T35" s="512">
        <v>1</v>
      </c>
      <c r="U35" s="491">
        <v>0</v>
      </c>
      <c r="V35" s="493">
        <v>3845969.0913249454</v>
      </c>
      <c r="W35" s="493">
        <v>461516290.95899349</v>
      </c>
      <c r="X35" s="493">
        <v>46151629.095899351</v>
      </c>
      <c r="Y35" s="493">
        <v>46151629.095899351</v>
      </c>
      <c r="Z35" s="493">
        <v>46151629.095899351</v>
      </c>
      <c r="AA35" s="493">
        <v>46151629.095899351</v>
      </c>
      <c r="AB35" s="493">
        <v>46151629.095899351</v>
      </c>
      <c r="AC35" s="493">
        <v>46151629.095899351</v>
      </c>
      <c r="AD35" s="493">
        <v>46151629.095899351</v>
      </c>
      <c r="AE35" s="493">
        <v>46151629.095899351</v>
      </c>
      <c r="AF35" s="493">
        <v>46151629.095899351</v>
      </c>
      <c r="AG35" s="493">
        <v>46151629.095899351</v>
      </c>
      <c r="AH35" s="493">
        <v>0</v>
      </c>
      <c r="AI35" s="493">
        <v>3845969.0913249454</v>
      </c>
      <c r="AJ35" s="493">
        <v>3845969.0913249454</v>
      </c>
      <c r="AK35" s="493">
        <v>3845969.0913249454</v>
      </c>
      <c r="AL35" s="493">
        <v>3845969.0913249454</v>
      </c>
      <c r="AM35" s="493">
        <v>3845969.0913249454</v>
      </c>
      <c r="AN35" s="493">
        <v>3845969.0913249454</v>
      </c>
      <c r="AO35" s="493">
        <v>3845969.0913249454</v>
      </c>
      <c r="AP35" s="493">
        <v>3845969.0913249454</v>
      </c>
      <c r="AQ35" s="493">
        <v>3845969.0913249454</v>
      </c>
      <c r="AR35" s="493">
        <v>3845969.0913249454</v>
      </c>
      <c r="AS35" s="493">
        <v>3845969.0913249454</v>
      </c>
      <c r="AT35" s="493">
        <v>3845969.0913249454</v>
      </c>
      <c r="AU35" s="493">
        <v>3845969.0913249454</v>
      </c>
      <c r="AV35" s="493">
        <v>3845969.0913249454</v>
      </c>
      <c r="AW35" s="493">
        <v>3845969.0913249454</v>
      </c>
      <c r="AX35" s="493">
        <v>3845969.0913249454</v>
      </c>
      <c r="AY35" s="493">
        <v>3845969.0913249454</v>
      </c>
      <c r="AZ35" s="493">
        <v>3845969.0913249454</v>
      </c>
      <c r="BA35" s="493">
        <v>3845969.0913249454</v>
      </c>
      <c r="BB35" s="493">
        <v>3845969.0913249454</v>
      </c>
      <c r="BC35" s="493">
        <v>3845969.0913249454</v>
      </c>
      <c r="BD35" s="493">
        <v>3845969.0913249454</v>
      </c>
      <c r="BE35" s="493">
        <v>3845969.0913249454</v>
      </c>
      <c r="BF35" s="493">
        <v>3845969.0913249454</v>
      </c>
      <c r="BG35" s="493">
        <v>3845969.0913249454</v>
      </c>
      <c r="BH35" s="493">
        <v>3845969.0913249454</v>
      </c>
      <c r="BI35" s="493">
        <v>3845969.0913249454</v>
      </c>
      <c r="BJ35" s="493">
        <v>3845969.0913249454</v>
      </c>
      <c r="BK35" s="493">
        <v>3845969.0913249454</v>
      </c>
      <c r="BL35" s="493">
        <v>3845969.0913249454</v>
      </c>
      <c r="BM35" s="493">
        <v>3845969.0913249454</v>
      </c>
      <c r="BN35" s="493">
        <v>3845969.0913249454</v>
      </c>
      <c r="BO35" s="493">
        <v>3845969.0913249454</v>
      </c>
      <c r="BP35" s="493">
        <v>3845969.0913249454</v>
      </c>
      <c r="BQ35" s="493">
        <v>3845969.0913249454</v>
      </c>
      <c r="BR35" s="493">
        <v>3845969.0913249454</v>
      </c>
      <c r="BS35" s="493">
        <v>3845969.0913249454</v>
      </c>
      <c r="BT35" s="493">
        <v>3845969.0913249454</v>
      </c>
      <c r="BU35" s="493">
        <v>3845969.0913249454</v>
      </c>
      <c r="BV35" s="493">
        <v>3845969.0913249454</v>
      </c>
      <c r="BW35" s="493">
        <v>3845969.0913249454</v>
      </c>
      <c r="BX35" s="493">
        <v>3845969.0913249454</v>
      </c>
      <c r="BY35" s="493">
        <v>3845969.0913249454</v>
      </c>
      <c r="BZ35" s="493">
        <v>3845969.0913249454</v>
      </c>
      <c r="CA35" s="493">
        <v>3845969.0913249454</v>
      </c>
      <c r="CB35" s="493">
        <v>3845969.0913249454</v>
      </c>
      <c r="CC35" s="493">
        <v>3845969.0913249454</v>
      </c>
      <c r="CD35" s="493">
        <v>3845969.0913249454</v>
      </c>
      <c r="CE35" s="493">
        <v>3845969.0913249454</v>
      </c>
      <c r="CF35" s="493">
        <v>3845969.0913249454</v>
      </c>
      <c r="CG35" s="493">
        <v>3845969.0913249454</v>
      </c>
      <c r="CH35" s="493">
        <v>3845969.0913249454</v>
      </c>
      <c r="CI35" s="493">
        <v>3845969.0913249454</v>
      </c>
      <c r="CJ35" s="493">
        <v>3845969.0913249454</v>
      </c>
      <c r="CK35" s="493">
        <v>3845969.0913249454</v>
      </c>
      <c r="CL35" s="493">
        <v>3845969.0913249454</v>
      </c>
      <c r="CM35" s="493">
        <v>3845969.0913249454</v>
      </c>
      <c r="CN35" s="493">
        <v>3845969.0913249454</v>
      </c>
      <c r="CO35" s="493">
        <v>3845969.0913249454</v>
      </c>
      <c r="CP35" s="493">
        <v>3845969.0913249454</v>
      </c>
      <c r="CQ35" s="493">
        <v>3845969.0913249454</v>
      </c>
      <c r="CR35" s="493">
        <v>3845969.0913249454</v>
      </c>
      <c r="CS35" s="493">
        <v>3845969.0913249454</v>
      </c>
      <c r="CT35" s="493">
        <v>3845969.0913249454</v>
      </c>
      <c r="CU35" s="493">
        <v>3845969.0913249454</v>
      </c>
      <c r="CV35" s="493">
        <v>3845969.0913249454</v>
      </c>
      <c r="CW35" s="493">
        <v>3845969.0913249454</v>
      </c>
      <c r="CX35" s="493">
        <v>3845969.0913249454</v>
      </c>
      <c r="CY35" s="493">
        <v>3845969.0913249454</v>
      </c>
      <c r="CZ35" s="493">
        <v>3845969.0913249454</v>
      </c>
      <c r="DA35" s="493">
        <v>3845969.0913249454</v>
      </c>
      <c r="DB35" s="493">
        <v>3845969.0913249454</v>
      </c>
      <c r="DC35" s="493">
        <v>3845969.0913249454</v>
      </c>
      <c r="DD35" s="493">
        <v>3845969.0913249454</v>
      </c>
      <c r="DE35" s="493">
        <v>3845969.0913249454</v>
      </c>
      <c r="DF35" s="493">
        <v>3845969.0913249454</v>
      </c>
      <c r="DG35" s="493">
        <v>3845969.0913249454</v>
      </c>
      <c r="DH35" s="493">
        <v>3845969.0913249454</v>
      </c>
      <c r="DI35" s="493">
        <v>3845969.0913249454</v>
      </c>
      <c r="DJ35" s="493">
        <v>3845969.0913249454</v>
      </c>
      <c r="DK35" s="493">
        <v>3845969.0913249454</v>
      </c>
      <c r="DL35" s="493">
        <v>3845969.0913249454</v>
      </c>
      <c r="DM35" s="493">
        <v>3845969.0913249454</v>
      </c>
      <c r="DN35" s="493">
        <v>3845969.0913249454</v>
      </c>
      <c r="DO35" s="493">
        <v>3845969.0913249454</v>
      </c>
      <c r="DP35" s="493">
        <v>3845969.0913249454</v>
      </c>
      <c r="DQ35" s="493">
        <v>3845969.0913249454</v>
      </c>
      <c r="DR35" s="493">
        <v>3845969.0913249454</v>
      </c>
      <c r="DS35" s="493">
        <v>3845969.0913249454</v>
      </c>
      <c r="DT35" s="493">
        <v>3845969.0913249454</v>
      </c>
      <c r="DU35" s="493">
        <v>3845969.0913249454</v>
      </c>
      <c r="DV35" s="493">
        <v>3845969.0913249454</v>
      </c>
      <c r="DW35" s="493">
        <v>3845969.0913249454</v>
      </c>
      <c r="DX35" s="493">
        <v>3845969.0913249454</v>
      </c>
      <c r="DY35" s="493">
        <v>3845969.0913249454</v>
      </c>
      <c r="DZ35" s="493">
        <v>3845969.0913249454</v>
      </c>
      <c r="EA35" s="493">
        <v>3845969.0913249454</v>
      </c>
      <c r="EB35" s="493">
        <v>3845969.0913249454</v>
      </c>
      <c r="EC35" s="493">
        <v>3845969.0913249454</v>
      </c>
      <c r="ED35" s="493">
        <v>3845969.0913249454</v>
      </c>
      <c r="EE35" s="493">
        <v>3845969.0913249454</v>
      </c>
      <c r="EF35" s="493">
        <v>3845969.0913249454</v>
      </c>
      <c r="EG35" s="493">
        <v>3845969.0913249454</v>
      </c>
      <c r="EH35" s="493">
        <v>3845969.0913249454</v>
      </c>
      <c r="EI35" s="493">
        <v>3845969.0913249454</v>
      </c>
      <c r="EJ35" s="493">
        <v>3845969.0913249454</v>
      </c>
      <c r="EK35" s="493">
        <v>3845969.0913249454</v>
      </c>
      <c r="EL35" s="493">
        <v>3845969.0913249454</v>
      </c>
      <c r="EM35" s="493">
        <v>3845969.0913249454</v>
      </c>
      <c r="EN35" s="493">
        <v>3845969.0913249454</v>
      </c>
      <c r="EO35" s="493">
        <v>3845969.0913249454</v>
      </c>
      <c r="EP35" s="493">
        <v>3845969.0913249454</v>
      </c>
      <c r="EQ35" s="493">
        <v>3845969.0913249454</v>
      </c>
      <c r="ER35" s="493">
        <v>3845969.0913249454</v>
      </c>
      <c r="ES35" s="493">
        <v>3845969.0913249454</v>
      </c>
      <c r="ET35" s="493">
        <v>3845969.0913249454</v>
      </c>
      <c r="EU35" s="493">
        <v>3845969.0913249454</v>
      </c>
      <c r="EV35" s="493">
        <v>3845969.0913249454</v>
      </c>
      <c r="EW35" s="493">
        <v>3845969.0913249454</v>
      </c>
      <c r="EX35" s="493">
        <v>3845969.0913249454</v>
      </c>
      <c r="EY35" s="493">
        <v>0</v>
      </c>
      <c r="EZ35" s="493">
        <v>0</v>
      </c>
      <c r="FA35" s="493">
        <v>0</v>
      </c>
      <c r="FB35" s="493">
        <v>0</v>
      </c>
      <c r="FC35" s="493">
        <v>0</v>
      </c>
      <c r="FD35" s="493">
        <v>0</v>
      </c>
      <c r="FE35" s="493">
        <v>0</v>
      </c>
      <c r="FF35" s="493">
        <v>0</v>
      </c>
      <c r="FG35" s="493">
        <v>0</v>
      </c>
      <c r="FH35" s="493">
        <v>0</v>
      </c>
      <c r="FI35" s="493">
        <v>0</v>
      </c>
      <c r="FJ35" s="45">
        <v>0</v>
      </c>
    </row>
    <row r="36" spans="1:166">
      <c r="A36" s="501" t="s">
        <v>1043</v>
      </c>
      <c r="B36" s="491" t="s">
        <v>1561</v>
      </c>
      <c r="C36" s="491" t="s">
        <v>246</v>
      </c>
      <c r="D36" s="498" t="s">
        <v>339</v>
      </c>
      <c r="E36" s="491" t="s">
        <v>339</v>
      </c>
      <c r="F36" s="491">
        <v>0</v>
      </c>
      <c r="G36" s="491">
        <v>0</v>
      </c>
      <c r="H36" s="491">
        <v>0</v>
      </c>
      <c r="I36" s="491">
        <v>0</v>
      </c>
      <c r="J36" s="491" t="s">
        <v>252</v>
      </c>
      <c r="K36" s="491">
        <v>0</v>
      </c>
      <c r="L36" s="491" t="s">
        <v>259</v>
      </c>
      <c r="M36" s="511">
        <v>1</v>
      </c>
      <c r="N36" s="491">
        <v>0</v>
      </c>
      <c r="O36" s="494">
        <v>0</v>
      </c>
      <c r="P36" s="495">
        <v>0</v>
      </c>
      <c r="Q36" s="493">
        <v>0</v>
      </c>
      <c r="R36" s="491">
        <v>120</v>
      </c>
      <c r="S36" s="496">
        <v>1</v>
      </c>
      <c r="T36" s="512">
        <v>1</v>
      </c>
      <c r="U36" s="491">
        <v>0</v>
      </c>
      <c r="V36" s="493">
        <v>3211253.2804857981</v>
      </c>
      <c r="W36" s="493">
        <v>385350393.65829581</v>
      </c>
      <c r="X36" s="493">
        <v>38535039.36582958</v>
      </c>
      <c r="Y36" s="493">
        <v>38535039.36582958</v>
      </c>
      <c r="Z36" s="493">
        <v>38535039.36582958</v>
      </c>
      <c r="AA36" s="493">
        <v>38535039.36582958</v>
      </c>
      <c r="AB36" s="493">
        <v>38535039.36582958</v>
      </c>
      <c r="AC36" s="493">
        <v>38535039.36582958</v>
      </c>
      <c r="AD36" s="493">
        <v>38535039.36582958</v>
      </c>
      <c r="AE36" s="493">
        <v>38535039.36582958</v>
      </c>
      <c r="AF36" s="493">
        <v>38535039.36582958</v>
      </c>
      <c r="AG36" s="493">
        <v>38535039.36582958</v>
      </c>
      <c r="AH36" s="493">
        <v>0</v>
      </c>
      <c r="AI36" s="493">
        <v>3211253.2804857981</v>
      </c>
      <c r="AJ36" s="493">
        <v>3211253.2804857981</v>
      </c>
      <c r="AK36" s="493">
        <v>3211253.2804857981</v>
      </c>
      <c r="AL36" s="493">
        <v>3211253.2804857981</v>
      </c>
      <c r="AM36" s="493">
        <v>3211253.2804857981</v>
      </c>
      <c r="AN36" s="493">
        <v>3211253.2804857981</v>
      </c>
      <c r="AO36" s="493">
        <v>3211253.2804857981</v>
      </c>
      <c r="AP36" s="493">
        <v>3211253.2804857981</v>
      </c>
      <c r="AQ36" s="493">
        <v>3211253.2804857981</v>
      </c>
      <c r="AR36" s="493">
        <v>3211253.2804857981</v>
      </c>
      <c r="AS36" s="493">
        <v>3211253.2804857981</v>
      </c>
      <c r="AT36" s="493">
        <v>3211253.2804857981</v>
      </c>
      <c r="AU36" s="493">
        <v>3211253.2804857981</v>
      </c>
      <c r="AV36" s="493">
        <v>3211253.2804857981</v>
      </c>
      <c r="AW36" s="493">
        <v>3211253.2804857981</v>
      </c>
      <c r="AX36" s="493">
        <v>3211253.2804857981</v>
      </c>
      <c r="AY36" s="493">
        <v>3211253.2804857981</v>
      </c>
      <c r="AZ36" s="493">
        <v>3211253.2804857981</v>
      </c>
      <c r="BA36" s="493">
        <v>3211253.2804857981</v>
      </c>
      <c r="BB36" s="493">
        <v>3211253.2804857981</v>
      </c>
      <c r="BC36" s="493">
        <v>3211253.2804857981</v>
      </c>
      <c r="BD36" s="493">
        <v>3211253.2804857981</v>
      </c>
      <c r="BE36" s="493">
        <v>3211253.2804857981</v>
      </c>
      <c r="BF36" s="493">
        <v>3211253.2804857981</v>
      </c>
      <c r="BG36" s="493">
        <v>3211253.2804857981</v>
      </c>
      <c r="BH36" s="493">
        <v>3211253.2804857981</v>
      </c>
      <c r="BI36" s="493">
        <v>3211253.2804857981</v>
      </c>
      <c r="BJ36" s="493">
        <v>3211253.2804857981</v>
      </c>
      <c r="BK36" s="493">
        <v>3211253.2804857981</v>
      </c>
      <c r="BL36" s="493">
        <v>3211253.2804857981</v>
      </c>
      <c r="BM36" s="493">
        <v>3211253.2804857981</v>
      </c>
      <c r="BN36" s="493">
        <v>3211253.2804857981</v>
      </c>
      <c r="BO36" s="493">
        <v>3211253.2804857981</v>
      </c>
      <c r="BP36" s="493">
        <v>3211253.2804857981</v>
      </c>
      <c r="BQ36" s="493">
        <v>3211253.2804857981</v>
      </c>
      <c r="BR36" s="493">
        <v>3211253.2804857981</v>
      </c>
      <c r="BS36" s="493">
        <v>3211253.2804857981</v>
      </c>
      <c r="BT36" s="493">
        <v>3211253.2804857981</v>
      </c>
      <c r="BU36" s="493">
        <v>3211253.2804857981</v>
      </c>
      <c r="BV36" s="493">
        <v>3211253.2804857981</v>
      </c>
      <c r="BW36" s="493">
        <v>3211253.2804857981</v>
      </c>
      <c r="BX36" s="493">
        <v>3211253.2804857981</v>
      </c>
      <c r="BY36" s="493">
        <v>3211253.2804857981</v>
      </c>
      <c r="BZ36" s="493">
        <v>3211253.2804857981</v>
      </c>
      <c r="CA36" s="493">
        <v>3211253.2804857981</v>
      </c>
      <c r="CB36" s="493">
        <v>3211253.2804857981</v>
      </c>
      <c r="CC36" s="493">
        <v>3211253.2804857981</v>
      </c>
      <c r="CD36" s="493">
        <v>3211253.2804857981</v>
      </c>
      <c r="CE36" s="493">
        <v>3211253.2804857981</v>
      </c>
      <c r="CF36" s="493">
        <v>3211253.2804857981</v>
      </c>
      <c r="CG36" s="493">
        <v>3211253.2804857981</v>
      </c>
      <c r="CH36" s="493">
        <v>3211253.2804857981</v>
      </c>
      <c r="CI36" s="493">
        <v>3211253.2804857981</v>
      </c>
      <c r="CJ36" s="493">
        <v>3211253.2804857981</v>
      </c>
      <c r="CK36" s="493">
        <v>3211253.2804857981</v>
      </c>
      <c r="CL36" s="493">
        <v>3211253.2804857981</v>
      </c>
      <c r="CM36" s="493">
        <v>3211253.2804857981</v>
      </c>
      <c r="CN36" s="493">
        <v>3211253.2804857981</v>
      </c>
      <c r="CO36" s="493">
        <v>3211253.2804857981</v>
      </c>
      <c r="CP36" s="493">
        <v>3211253.2804857981</v>
      </c>
      <c r="CQ36" s="493">
        <v>3211253.2804857981</v>
      </c>
      <c r="CR36" s="493">
        <v>3211253.2804857981</v>
      </c>
      <c r="CS36" s="493">
        <v>3211253.2804857981</v>
      </c>
      <c r="CT36" s="493">
        <v>3211253.2804857981</v>
      </c>
      <c r="CU36" s="493">
        <v>3211253.2804857981</v>
      </c>
      <c r="CV36" s="493">
        <v>3211253.2804857981</v>
      </c>
      <c r="CW36" s="493">
        <v>3211253.2804857981</v>
      </c>
      <c r="CX36" s="493">
        <v>3211253.2804857981</v>
      </c>
      <c r="CY36" s="493">
        <v>3211253.2804857981</v>
      </c>
      <c r="CZ36" s="493">
        <v>3211253.2804857981</v>
      </c>
      <c r="DA36" s="493">
        <v>3211253.2804857981</v>
      </c>
      <c r="DB36" s="493">
        <v>3211253.2804857981</v>
      </c>
      <c r="DC36" s="493">
        <v>3211253.2804857981</v>
      </c>
      <c r="DD36" s="493">
        <v>3211253.2804857981</v>
      </c>
      <c r="DE36" s="493">
        <v>3211253.2804857981</v>
      </c>
      <c r="DF36" s="493">
        <v>3211253.2804857981</v>
      </c>
      <c r="DG36" s="493">
        <v>3211253.2804857981</v>
      </c>
      <c r="DH36" s="493">
        <v>3211253.2804857981</v>
      </c>
      <c r="DI36" s="493">
        <v>3211253.2804857981</v>
      </c>
      <c r="DJ36" s="493">
        <v>3211253.2804857981</v>
      </c>
      <c r="DK36" s="493">
        <v>3211253.2804857981</v>
      </c>
      <c r="DL36" s="493">
        <v>3211253.2804857981</v>
      </c>
      <c r="DM36" s="493">
        <v>3211253.2804857981</v>
      </c>
      <c r="DN36" s="493">
        <v>3211253.2804857981</v>
      </c>
      <c r="DO36" s="493">
        <v>3211253.2804857981</v>
      </c>
      <c r="DP36" s="493">
        <v>3211253.2804857981</v>
      </c>
      <c r="DQ36" s="493">
        <v>3211253.2804857981</v>
      </c>
      <c r="DR36" s="493">
        <v>3211253.2804857981</v>
      </c>
      <c r="DS36" s="493">
        <v>3211253.2804857981</v>
      </c>
      <c r="DT36" s="493">
        <v>3211253.2804857981</v>
      </c>
      <c r="DU36" s="493">
        <v>3211253.2804857981</v>
      </c>
      <c r="DV36" s="493">
        <v>3211253.2804857981</v>
      </c>
      <c r="DW36" s="493">
        <v>3211253.2804857981</v>
      </c>
      <c r="DX36" s="493">
        <v>3211253.2804857981</v>
      </c>
      <c r="DY36" s="493">
        <v>3211253.2804857981</v>
      </c>
      <c r="DZ36" s="493">
        <v>3211253.2804857981</v>
      </c>
      <c r="EA36" s="493">
        <v>3211253.2804857981</v>
      </c>
      <c r="EB36" s="493">
        <v>3211253.2804857981</v>
      </c>
      <c r="EC36" s="493">
        <v>3211253.2804857981</v>
      </c>
      <c r="ED36" s="493">
        <v>3211253.2804857981</v>
      </c>
      <c r="EE36" s="493">
        <v>3211253.2804857981</v>
      </c>
      <c r="EF36" s="493">
        <v>3211253.2804857981</v>
      </c>
      <c r="EG36" s="493">
        <v>3211253.2804857981</v>
      </c>
      <c r="EH36" s="493">
        <v>3211253.2804857981</v>
      </c>
      <c r="EI36" s="493">
        <v>3211253.2804857981</v>
      </c>
      <c r="EJ36" s="493">
        <v>3211253.2804857981</v>
      </c>
      <c r="EK36" s="493">
        <v>3211253.2804857981</v>
      </c>
      <c r="EL36" s="493">
        <v>3211253.2804857981</v>
      </c>
      <c r="EM36" s="493">
        <v>3211253.2804857981</v>
      </c>
      <c r="EN36" s="493">
        <v>3211253.2804857981</v>
      </c>
      <c r="EO36" s="493">
        <v>3211253.2804857981</v>
      </c>
      <c r="EP36" s="493">
        <v>3211253.2804857981</v>
      </c>
      <c r="EQ36" s="493">
        <v>3211253.2804857981</v>
      </c>
      <c r="ER36" s="493">
        <v>3211253.2804857981</v>
      </c>
      <c r="ES36" s="493">
        <v>3211253.2804857981</v>
      </c>
      <c r="ET36" s="493">
        <v>3211253.2804857981</v>
      </c>
      <c r="EU36" s="493">
        <v>3211253.2804857981</v>
      </c>
      <c r="EV36" s="493">
        <v>3211253.2804857981</v>
      </c>
      <c r="EW36" s="493">
        <v>3211253.2804857981</v>
      </c>
      <c r="EX36" s="493">
        <v>3211253.2804857981</v>
      </c>
      <c r="EY36" s="493">
        <v>0</v>
      </c>
      <c r="EZ36" s="493">
        <v>0</v>
      </c>
      <c r="FA36" s="493">
        <v>0</v>
      </c>
      <c r="FB36" s="493">
        <v>0</v>
      </c>
      <c r="FC36" s="493">
        <v>0</v>
      </c>
      <c r="FD36" s="493">
        <v>0</v>
      </c>
      <c r="FE36" s="493">
        <v>0</v>
      </c>
      <c r="FF36" s="493">
        <v>0</v>
      </c>
      <c r="FG36" s="493">
        <v>0</v>
      </c>
      <c r="FH36" s="493">
        <v>0</v>
      </c>
      <c r="FI36" s="493">
        <v>0</v>
      </c>
      <c r="FJ36" s="45">
        <v>0</v>
      </c>
    </row>
    <row r="37" spans="1:166" ht="18" thickBot="1">
      <c r="A37" s="502" t="s">
        <v>1044</v>
      </c>
      <c r="B37" s="503" t="s">
        <v>1562</v>
      </c>
      <c r="C37" s="503" t="s">
        <v>246</v>
      </c>
      <c r="D37" s="504" t="s">
        <v>339</v>
      </c>
      <c r="E37" s="491" t="s">
        <v>339</v>
      </c>
      <c r="F37" s="503">
        <v>0</v>
      </c>
      <c r="G37" s="503">
        <v>0</v>
      </c>
      <c r="H37" s="503">
        <v>0</v>
      </c>
      <c r="I37" s="503">
        <v>0</v>
      </c>
      <c r="J37" s="503" t="s">
        <v>252</v>
      </c>
      <c r="K37" s="503">
        <v>0</v>
      </c>
      <c r="L37" s="503" t="s">
        <v>259</v>
      </c>
      <c r="M37" s="514">
        <v>1</v>
      </c>
      <c r="N37" s="503">
        <v>0</v>
      </c>
      <c r="O37" s="515">
        <v>0</v>
      </c>
      <c r="P37" s="506">
        <v>0</v>
      </c>
      <c r="Q37" s="508">
        <v>0</v>
      </c>
      <c r="R37" s="503">
        <v>120</v>
      </c>
      <c r="S37" s="505">
        <v>1</v>
      </c>
      <c r="T37" s="516">
        <v>1</v>
      </c>
      <c r="U37" s="503">
        <v>0</v>
      </c>
      <c r="V37" s="508">
        <v>5021122.9005821776</v>
      </c>
      <c r="W37" s="508">
        <v>602534748.06986141</v>
      </c>
      <c r="X37" s="508">
        <v>60253474.806986146</v>
      </c>
      <c r="Y37" s="508">
        <v>60253474.806986146</v>
      </c>
      <c r="Z37" s="508">
        <v>60253474.806986146</v>
      </c>
      <c r="AA37" s="508">
        <v>60253474.806986146</v>
      </c>
      <c r="AB37" s="508">
        <v>60253474.806986146</v>
      </c>
      <c r="AC37" s="508">
        <v>60253474.806986146</v>
      </c>
      <c r="AD37" s="508">
        <v>60253474.806986146</v>
      </c>
      <c r="AE37" s="508">
        <v>60253474.806986146</v>
      </c>
      <c r="AF37" s="508">
        <v>60253474.806986146</v>
      </c>
      <c r="AG37" s="508">
        <v>60253474.806986146</v>
      </c>
      <c r="AH37" s="508">
        <v>0</v>
      </c>
      <c r="AI37" s="508">
        <v>5021122.9005821776</v>
      </c>
      <c r="AJ37" s="508">
        <v>5021122.9005821776</v>
      </c>
      <c r="AK37" s="508">
        <v>5021122.9005821776</v>
      </c>
      <c r="AL37" s="508">
        <v>5021122.9005821776</v>
      </c>
      <c r="AM37" s="508">
        <v>5021122.9005821776</v>
      </c>
      <c r="AN37" s="508">
        <v>5021122.9005821776</v>
      </c>
      <c r="AO37" s="508">
        <v>5021122.9005821776</v>
      </c>
      <c r="AP37" s="508">
        <v>5021122.9005821776</v>
      </c>
      <c r="AQ37" s="508">
        <v>5021122.9005821776</v>
      </c>
      <c r="AR37" s="508">
        <v>5021122.9005821776</v>
      </c>
      <c r="AS37" s="508">
        <v>5021122.9005821776</v>
      </c>
      <c r="AT37" s="508">
        <v>5021122.9005821776</v>
      </c>
      <c r="AU37" s="508">
        <v>5021122.9005821776</v>
      </c>
      <c r="AV37" s="508">
        <v>5021122.9005821776</v>
      </c>
      <c r="AW37" s="508">
        <v>5021122.9005821776</v>
      </c>
      <c r="AX37" s="508">
        <v>5021122.9005821776</v>
      </c>
      <c r="AY37" s="508">
        <v>5021122.9005821776</v>
      </c>
      <c r="AZ37" s="508">
        <v>5021122.9005821776</v>
      </c>
      <c r="BA37" s="508">
        <v>5021122.9005821776</v>
      </c>
      <c r="BB37" s="508">
        <v>5021122.9005821776</v>
      </c>
      <c r="BC37" s="508">
        <v>5021122.9005821776</v>
      </c>
      <c r="BD37" s="508">
        <v>5021122.9005821776</v>
      </c>
      <c r="BE37" s="508">
        <v>5021122.9005821776</v>
      </c>
      <c r="BF37" s="508">
        <v>5021122.9005821776</v>
      </c>
      <c r="BG37" s="508">
        <v>5021122.9005821776</v>
      </c>
      <c r="BH37" s="508">
        <v>5021122.9005821776</v>
      </c>
      <c r="BI37" s="508">
        <v>5021122.9005821776</v>
      </c>
      <c r="BJ37" s="508">
        <v>5021122.9005821776</v>
      </c>
      <c r="BK37" s="508">
        <v>5021122.9005821776</v>
      </c>
      <c r="BL37" s="508">
        <v>5021122.9005821776</v>
      </c>
      <c r="BM37" s="508">
        <v>5021122.9005821776</v>
      </c>
      <c r="BN37" s="508">
        <v>5021122.9005821776</v>
      </c>
      <c r="BO37" s="508">
        <v>5021122.9005821776</v>
      </c>
      <c r="BP37" s="508">
        <v>5021122.9005821776</v>
      </c>
      <c r="BQ37" s="508">
        <v>5021122.9005821776</v>
      </c>
      <c r="BR37" s="508">
        <v>5021122.9005821776</v>
      </c>
      <c r="BS37" s="508">
        <v>5021122.9005821776</v>
      </c>
      <c r="BT37" s="508">
        <v>5021122.9005821776</v>
      </c>
      <c r="BU37" s="508">
        <v>5021122.9005821776</v>
      </c>
      <c r="BV37" s="508">
        <v>5021122.9005821776</v>
      </c>
      <c r="BW37" s="508">
        <v>5021122.9005821776</v>
      </c>
      <c r="BX37" s="508">
        <v>5021122.9005821776</v>
      </c>
      <c r="BY37" s="508">
        <v>5021122.9005821776</v>
      </c>
      <c r="BZ37" s="508">
        <v>5021122.9005821776</v>
      </c>
      <c r="CA37" s="508">
        <v>5021122.9005821776</v>
      </c>
      <c r="CB37" s="508">
        <v>5021122.9005821776</v>
      </c>
      <c r="CC37" s="508">
        <v>5021122.9005821776</v>
      </c>
      <c r="CD37" s="508">
        <v>5021122.9005821776</v>
      </c>
      <c r="CE37" s="508">
        <v>5021122.9005821776</v>
      </c>
      <c r="CF37" s="508">
        <v>5021122.9005821776</v>
      </c>
      <c r="CG37" s="508">
        <v>5021122.9005821776</v>
      </c>
      <c r="CH37" s="508">
        <v>5021122.9005821776</v>
      </c>
      <c r="CI37" s="508">
        <v>5021122.9005821776</v>
      </c>
      <c r="CJ37" s="508">
        <v>5021122.9005821776</v>
      </c>
      <c r="CK37" s="508">
        <v>5021122.9005821776</v>
      </c>
      <c r="CL37" s="508">
        <v>5021122.9005821776</v>
      </c>
      <c r="CM37" s="508">
        <v>5021122.9005821776</v>
      </c>
      <c r="CN37" s="508">
        <v>5021122.9005821776</v>
      </c>
      <c r="CO37" s="508">
        <v>5021122.9005821776</v>
      </c>
      <c r="CP37" s="508">
        <v>5021122.9005821776</v>
      </c>
      <c r="CQ37" s="508">
        <v>5021122.9005821776</v>
      </c>
      <c r="CR37" s="508">
        <v>5021122.9005821776</v>
      </c>
      <c r="CS37" s="508">
        <v>5021122.9005821776</v>
      </c>
      <c r="CT37" s="508">
        <v>5021122.9005821776</v>
      </c>
      <c r="CU37" s="508">
        <v>5021122.9005821776</v>
      </c>
      <c r="CV37" s="508">
        <v>5021122.9005821776</v>
      </c>
      <c r="CW37" s="508">
        <v>5021122.9005821776</v>
      </c>
      <c r="CX37" s="508">
        <v>5021122.9005821776</v>
      </c>
      <c r="CY37" s="508">
        <v>5021122.9005821776</v>
      </c>
      <c r="CZ37" s="508">
        <v>5021122.9005821776</v>
      </c>
      <c r="DA37" s="508">
        <v>5021122.9005821776</v>
      </c>
      <c r="DB37" s="508">
        <v>5021122.9005821776</v>
      </c>
      <c r="DC37" s="508">
        <v>5021122.9005821776</v>
      </c>
      <c r="DD37" s="508">
        <v>5021122.9005821776</v>
      </c>
      <c r="DE37" s="508">
        <v>5021122.9005821776</v>
      </c>
      <c r="DF37" s="508">
        <v>5021122.9005821776</v>
      </c>
      <c r="DG37" s="508">
        <v>5021122.9005821776</v>
      </c>
      <c r="DH37" s="508">
        <v>5021122.9005821776</v>
      </c>
      <c r="DI37" s="508">
        <v>5021122.9005821776</v>
      </c>
      <c r="DJ37" s="508">
        <v>5021122.9005821776</v>
      </c>
      <c r="DK37" s="508">
        <v>5021122.9005821776</v>
      </c>
      <c r="DL37" s="508">
        <v>5021122.9005821776</v>
      </c>
      <c r="DM37" s="508">
        <v>5021122.9005821776</v>
      </c>
      <c r="DN37" s="508">
        <v>5021122.9005821776</v>
      </c>
      <c r="DO37" s="508">
        <v>5021122.9005821776</v>
      </c>
      <c r="DP37" s="508">
        <v>5021122.9005821776</v>
      </c>
      <c r="DQ37" s="508">
        <v>5021122.9005821776</v>
      </c>
      <c r="DR37" s="508">
        <v>5021122.9005821776</v>
      </c>
      <c r="DS37" s="508">
        <v>5021122.9005821776</v>
      </c>
      <c r="DT37" s="508">
        <v>5021122.9005821776</v>
      </c>
      <c r="DU37" s="508">
        <v>5021122.9005821776</v>
      </c>
      <c r="DV37" s="508">
        <v>5021122.9005821776</v>
      </c>
      <c r="DW37" s="508">
        <v>5021122.9005821776</v>
      </c>
      <c r="DX37" s="508">
        <v>5021122.9005821776</v>
      </c>
      <c r="DY37" s="508">
        <v>5021122.9005821776</v>
      </c>
      <c r="DZ37" s="508">
        <v>5021122.9005821776</v>
      </c>
      <c r="EA37" s="508">
        <v>5021122.9005821776</v>
      </c>
      <c r="EB37" s="508">
        <v>5021122.9005821776</v>
      </c>
      <c r="EC37" s="508">
        <v>5021122.9005821776</v>
      </c>
      <c r="ED37" s="508">
        <v>5021122.9005821776</v>
      </c>
      <c r="EE37" s="508">
        <v>5021122.9005821776</v>
      </c>
      <c r="EF37" s="508">
        <v>5021122.9005821776</v>
      </c>
      <c r="EG37" s="508">
        <v>5021122.9005821776</v>
      </c>
      <c r="EH37" s="508">
        <v>5021122.9005821776</v>
      </c>
      <c r="EI37" s="508">
        <v>5021122.9005821776</v>
      </c>
      <c r="EJ37" s="508">
        <v>5021122.9005821776</v>
      </c>
      <c r="EK37" s="508">
        <v>5021122.9005821776</v>
      </c>
      <c r="EL37" s="508">
        <v>5021122.9005821776</v>
      </c>
      <c r="EM37" s="508">
        <v>5021122.9005821776</v>
      </c>
      <c r="EN37" s="508">
        <v>5021122.9005821776</v>
      </c>
      <c r="EO37" s="508">
        <v>5021122.9005821776</v>
      </c>
      <c r="EP37" s="508">
        <v>5021122.9005821776</v>
      </c>
      <c r="EQ37" s="508">
        <v>5021122.9005821776</v>
      </c>
      <c r="ER37" s="508">
        <v>5021122.9005821776</v>
      </c>
      <c r="ES37" s="508">
        <v>5021122.9005821776</v>
      </c>
      <c r="ET37" s="508">
        <v>5021122.9005821776</v>
      </c>
      <c r="EU37" s="508">
        <v>5021122.9005821776</v>
      </c>
      <c r="EV37" s="508">
        <v>5021122.9005821776</v>
      </c>
      <c r="EW37" s="508">
        <v>5021122.9005821776</v>
      </c>
      <c r="EX37" s="508">
        <v>5021122.9005821776</v>
      </c>
      <c r="EY37" s="508">
        <v>0</v>
      </c>
      <c r="EZ37" s="508">
        <v>0</v>
      </c>
      <c r="FA37" s="508">
        <v>0</v>
      </c>
      <c r="FB37" s="508">
        <v>0</v>
      </c>
      <c r="FC37" s="508">
        <v>0</v>
      </c>
      <c r="FD37" s="508">
        <v>0</v>
      </c>
      <c r="FE37" s="508">
        <v>0</v>
      </c>
      <c r="FF37" s="508">
        <v>0</v>
      </c>
      <c r="FG37" s="508">
        <v>0</v>
      </c>
      <c r="FH37" s="508">
        <v>0</v>
      </c>
      <c r="FI37" s="508">
        <v>0</v>
      </c>
      <c r="FJ37" s="46">
        <v>0</v>
      </c>
    </row>
    <row r="38" spans="1:166">
      <c r="A38" s="501"/>
      <c r="B38" s="491"/>
      <c r="C38" s="491"/>
      <c r="D38" s="498"/>
      <c r="E38" s="491"/>
      <c r="F38" s="491"/>
      <c r="G38" s="491"/>
      <c r="H38" s="491"/>
      <c r="I38" s="491"/>
      <c r="J38" s="491"/>
      <c r="K38" s="491"/>
      <c r="L38" s="491"/>
      <c r="M38" s="511"/>
      <c r="N38" s="491"/>
      <c r="O38" s="494"/>
      <c r="P38" s="495"/>
      <c r="Q38" s="491"/>
      <c r="R38" s="491"/>
      <c r="S38" s="496"/>
      <c r="T38" s="512"/>
      <c r="U38" s="491"/>
      <c r="V38" s="493"/>
      <c r="W38" s="493"/>
      <c r="X38" s="493"/>
      <c r="Y38" s="493"/>
      <c r="Z38" s="493"/>
      <c r="AA38" s="493"/>
      <c r="AB38" s="493"/>
      <c r="AC38" s="493"/>
      <c r="AD38" s="493"/>
      <c r="AE38" s="493"/>
      <c r="AF38" s="493"/>
      <c r="AG38" s="493"/>
      <c r="AH38" s="493"/>
      <c r="AI38" s="493"/>
      <c r="AJ38" s="493"/>
      <c r="AK38" s="493"/>
      <c r="AL38" s="493"/>
      <c r="AM38" s="493"/>
      <c r="AN38" s="493"/>
      <c r="AO38" s="493"/>
      <c r="AP38" s="493"/>
      <c r="AQ38" s="493"/>
      <c r="AR38" s="493"/>
      <c r="AS38" s="493"/>
      <c r="AT38" s="493"/>
      <c r="AU38" s="493"/>
      <c r="AV38" s="493"/>
      <c r="AW38" s="493"/>
      <c r="AX38" s="493"/>
      <c r="AY38" s="493"/>
      <c r="AZ38" s="493"/>
      <c r="BA38" s="493"/>
      <c r="BB38" s="493"/>
      <c r="BC38" s="493"/>
      <c r="BD38" s="493"/>
      <c r="BE38" s="493"/>
      <c r="BF38" s="493"/>
      <c r="BG38" s="493"/>
      <c r="BH38" s="493"/>
      <c r="BI38" s="493"/>
      <c r="BJ38" s="493"/>
      <c r="BK38" s="493"/>
      <c r="BL38" s="493"/>
      <c r="BM38" s="493"/>
      <c r="BN38" s="493"/>
      <c r="BO38" s="493"/>
      <c r="BP38" s="493"/>
      <c r="BQ38" s="493"/>
      <c r="BR38" s="493"/>
      <c r="BS38" s="493"/>
      <c r="BT38" s="493"/>
      <c r="BU38" s="493"/>
      <c r="BV38" s="493"/>
      <c r="BW38" s="493"/>
      <c r="BX38" s="493"/>
      <c r="BY38" s="493"/>
      <c r="BZ38" s="493"/>
      <c r="CA38" s="493"/>
      <c r="CB38" s="493"/>
      <c r="CC38" s="493"/>
      <c r="CD38" s="493"/>
      <c r="CE38" s="493"/>
      <c r="CF38" s="493"/>
      <c r="CG38" s="493"/>
      <c r="CH38" s="493"/>
      <c r="CI38" s="493"/>
      <c r="CJ38" s="493"/>
      <c r="CK38" s="493"/>
      <c r="CL38" s="493"/>
      <c r="CM38" s="493"/>
      <c r="CN38" s="493"/>
      <c r="CO38" s="493"/>
      <c r="CP38" s="493"/>
      <c r="CQ38" s="493"/>
      <c r="CR38" s="493"/>
      <c r="CS38" s="493"/>
      <c r="CT38" s="493"/>
      <c r="CU38" s="493"/>
      <c r="CV38" s="493"/>
      <c r="CW38" s="493"/>
      <c r="CX38" s="493"/>
      <c r="CY38" s="493"/>
      <c r="CZ38" s="493"/>
      <c r="DA38" s="493"/>
      <c r="DB38" s="493"/>
      <c r="DC38" s="493"/>
      <c r="DD38" s="493"/>
      <c r="DE38" s="493"/>
      <c r="DF38" s="493"/>
      <c r="DG38" s="493"/>
      <c r="DH38" s="493"/>
      <c r="DI38" s="493"/>
      <c r="DJ38" s="493"/>
      <c r="DK38" s="493"/>
      <c r="DL38" s="493"/>
      <c r="DM38" s="493"/>
      <c r="DN38" s="493"/>
      <c r="DO38" s="493"/>
      <c r="DP38" s="493"/>
      <c r="DQ38" s="493"/>
      <c r="DR38" s="493"/>
      <c r="DS38" s="493"/>
      <c r="DT38" s="493"/>
      <c r="DU38" s="493"/>
      <c r="DV38" s="493"/>
      <c r="DW38" s="493"/>
      <c r="DX38" s="493"/>
      <c r="DY38" s="493"/>
      <c r="DZ38" s="493"/>
      <c r="EA38" s="493"/>
      <c r="EB38" s="493"/>
      <c r="EC38" s="493"/>
      <c r="ED38" s="493"/>
      <c r="EE38" s="493"/>
      <c r="EF38" s="493"/>
      <c r="EG38" s="493"/>
      <c r="EH38" s="493"/>
      <c r="EI38" s="493"/>
      <c r="EJ38" s="493"/>
      <c r="EK38" s="493"/>
      <c r="EL38" s="493"/>
      <c r="EM38" s="493"/>
      <c r="EN38" s="493"/>
      <c r="EO38" s="493"/>
      <c r="EP38" s="493"/>
      <c r="EQ38" s="493"/>
      <c r="ER38" s="493"/>
      <c r="ES38" s="493"/>
      <c r="ET38" s="493"/>
      <c r="EU38" s="493"/>
      <c r="EV38" s="493"/>
      <c r="EW38" s="493"/>
      <c r="EX38" s="493"/>
      <c r="EY38" s="493"/>
      <c r="EZ38" s="493"/>
      <c r="FA38" s="493"/>
      <c r="FB38" s="493"/>
      <c r="FC38" s="493"/>
      <c r="FD38" s="493"/>
      <c r="FE38" s="493"/>
      <c r="FF38" s="493"/>
      <c r="FG38" s="493"/>
      <c r="FH38" s="493"/>
      <c r="FI38" s="493"/>
      <c r="FJ38" s="45"/>
    </row>
    <row r="39" spans="1:166">
      <c r="A39" s="501"/>
      <c r="B39" s="491"/>
      <c r="C39" s="491"/>
      <c r="D39" s="498"/>
      <c r="E39" s="491"/>
      <c r="F39" s="491"/>
      <c r="G39" s="491"/>
      <c r="H39" s="491"/>
      <c r="I39" s="491"/>
      <c r="J39" s="491"/>
      <c r="K39" s="491"/>
      <c r="L39" s="491"/>
      <c r="M39" s="511"/>
      <c r="N39" s="491"/>
      <c r="O39" s="494"/>
      <c r="P39" s="495"/>
      <c r="Q39" s="491"/>
      <c r="R39" s="491"/>
      <c r="S39" s="496"/>
      <c r="T39" s="512"/>
      <c r="U39" s="491"/>
      <c r="V39" s="493"/>
      <c r="W39" s="493"/>
      <c r="X39" s="493"/>
      <c r="Y39" s="493"/>
      <c r="Z39" s="493"/>
      <c r="AA39" s="493"/>
      <c r="AB39" s="493"/>
      <c r="AC39" s="493"/>
      <c r="AD39" s="493"/>
      <c r="AE39" s="493"/>
      <c r="AF39" s="493"/>
      <c r="AG39" s="493"/>
      <c r="AH39" s="493"/>
      <c r="AI39" s="500"/>
      <c r="AJ39" s="500"/>
      <c r="AK39" s="500"/>
      <c r="AL39" s="500"/>
      <c r="AM39" s="500"/>
      <c r="AN39" s="500"/>
      <c r="AO39" s="500"/>
      <c r="AP39" s="500"/>
      <c r="AQ39" s="500"/>
      <c r="AR39" s="500"/>
      <c r="AS39" s="500"/>
      <c r="AT39" s="500"/>
      <c r="AU39" s="493"/>
      <c r="AV39" s="493"/>
      <c r="AW39" s="493"/>
      <c r="AX39" s="493"/>
      <c r="AY39" s="493"/>
      <c r="AZ39" s="493"/>
      <c r="BA39" s="493"/>
      <c r="BB39" s="493"/>
      <c r="BC39" s="493"/>
      <c r="BD39" s="493"/>
      <c r="BE39" s="493"/>
      <c r="BF39" s="493"/>
      <c r="BG39" s="493"/>
      <c r="BH39" s="493"/>
      <c r="BI39" s="493"/>
      <c r="BJ39" s="493"/>
      <c r="BK39" s="493"/>
      <c r="BL39" s="493"/>
      <c r="BM39" s="493"/>
      <c r="BN39" s="493"/>
      <c r="BO39" s="493"/>
      <c r="BP39" s="493"/>
      <c r="BQ39" s="493"/>
      <c r="BR39" s="493"/>
      <c r="BS39" s="493"/>
      <c r="BT39" s="493"/>
      <c r="BU39" s="493"/>
      <c r="BV39" s="493"/>
      <c r="BW39" s="493"/>
      <c r="BX39" s="493"/>
      <c r="BY39" s="493"/>
      <c r="BZ39" s="493"/>
      <c r="CA39" s="493"/>
      <c r="CB39" s="493"/>
      <c r="CC39" s="493"/>
      <c r="CD39" s="493"/>
      <c r="CE39" s="493"/>
      <c r="CF39" s="493"/>
      <c r="CG39" s="493"/>
      <c r="CH39" s="493"/>
      <c r="CI39" s="493"/>
      <c r="CJ39" s="493"/>
      <c r="CK39" s="493"/>
      <c r="CL39" s="493"/>
      <c r="CM39" s="493"/>
      <c r="CN39" s="493"/>
      <c r="CO39" s="493"/>
      <c r="CP39" s="493"/>
      <c r="CQ39" s="493"/>
      <c r="CR39" s="493"/>
      <c r="CS39" s="493"/>
      <c r="CT39" s="493"/>
      <c r="CU39" s="493"/>
      <c r="CV39" s="493"/>
      <c r="CW39" s="493"/>
      <c r="CX39" s="493"/>
      <c r="CY39" s="493"/>
      <c r="CZ39" s="493"/>
      <c r="DA39" s="493"/>
      <c r="DB39" s="493"/>
      <c r="DC39" s="493"/>
      <c r="DD39" s="493"/>
      <c r="DE39" s="493"/>
      <c r="DF39" s="493"/>
      <c r="DG39" s="493"/>
      <c r="DH39" s="493"/>
      <c r="DI39" s="493"/>
      <c r="DJ39" s="493"/>
      <c r="DK39" s="493"/>
      <c r="DL39" s="493"/>
      <c r="DM39" s="493"/>
      <c r="DN39" s="493"/>
      <c r="DO39" s="493"/>
      <c r="DP39" s="493"/>
      <c r="DQ39" s="493"/>
      <c r="DR39" s="493"/>
      <c r="DS39" s="493"/>
      <c r="DT39" s="493"/>
      <c r="DU39" s="493"/>
      <c r="DV39" s="493"/>
      <c r="DW39" s="493"/>
      <c r="DX39" s="493"/>
      <c r="DY39" s="493"/>
      <c r="DZ39" s="493"/>
      <c r="EA39" s="493"/>
      <c r="EB39" s="493"/>
      <c r="EC39" s="493"/>
      <c r="ED39" s="493"/>
      <c r="EE39" s="493"/>
      <c r="EF39" s="493"/>
      <c r="EG39" s="493"/>
      <c r="EH39" s="493"/>
      <c r="EI39" s="493"/>
      <c r="EJ39" s="493"/>
      <c r="EK39" s="493"/>
      <c r="EL39" s="493"/>
      <c r="EM39" s="493"/>
      <c r="EN39" s="493"/>
      <c r="EO39" s="493"/>
      <c r="EP39" s="493"/>
      <c r="EQ39" s="493"/>
      <c r="ER39" s="493"/>
      <c r="ES39" s="493"/>
      <c r="ET39" s="493"/>
      <c r="EU39" s="493"/>
      <c r="EV39" s="493"/>
      <c r="EW39" s="493"/>
      <c r="EX39" s="493"/>
      <c r="EY39" s="493"/>
      <c r="EZ39" s="493"/>
      <c r="FA39" s="493"/>
      <c r="FB39" s="493"/>
      <c r="FC39" s="493"/>
      <c r="FD39" s="493"/>
      <c r="FE39" s="493"/>
      <c r="FF39" s="493"/>
      <c r="FG39" s="493"/>
      <c r="FH39" s="493"/>
      <c r="FI39" s="493"/>
      <c r="FJ39" s="45"/>
    </row>
    <row r="40" spans="1:166">
      <c r="A40" s="501"/>
      <c r="B40" s="491"/>
      <c r="C40" s="491"/>
      <c r="D40" s="491"/>
      <c r="E40" s="491"/>
      <c r="F40" s="491"/>
      <c r="G40" s="491"/>
      <c r="H40" s="491"/>
      <c r="I40" s="491"/>
      <c r="J40" s="491"/>
      <c r="K40" s="491"/>
      <c r="L40" s="491"/>
      <c r="M40" s="511"/>
      <c r="N40" s="491"/>
      <c r="O40" s="494"/>
      <c r="P40" s="495"/>
      <c r="Q40" s="498"/>
      <c r="R40" s="498"/>
      <c r="S40" s="496"/>
      <c r="T40" s="512"/>
      <c r="U40" s="491"/>
      <c r="V40" s="493"/>
      <c r="W40" s="493"/>
      <c r="X40" s="493"/>
      <c r="Y40" s="493"/>
      <c r="Z40" s="493"/>
      <c r="AA40" s="493"/>
      <c r="AB40" s="493"/>
      <c r="AC40" s="493"/>
      <c r="AD40" s="493"/>
      <c r="AE40" s="493"/>
      <c r="AF40" s="493"/>
      <c r="AG40" s="493"/>
      <c r="AH40" s="493"/>
      <c r="AI40" s="493"/>
      <c r="AJ40" s="493"/>
      <c r="AK40" s="493"/>
      <c r="AL40" s="493"/>
      <c r="AM40" s="493"/>
      <c r="AN40" s="493"/>
      <c r="AO40" s="493"/>
      <c r="AP40" s="493"/>
      <c r="AQ40" s="493"/>
      <c r="AR40" s="493"/>
      <c r="AS40" s="493"/>
      <c r="AT40" s="493"/>
      <c r="AU40" s="493"/>
      <c r="AV40" s="493"/>
      <c r="AW40" s="493"/>
      <c r="AX40" s="493"/>
      <c r="AY40" s="493"/>
      <c r="AZ40" s="493"/>
      <c r="BA40" s="493"/>
      <c r="BB40" s="493"/>
      <c r="BC40" s="493"/>
      <c r="BD40" s="493"/>
      <c r="BE40" s="493"/>
      <c r="BF40" s="493"/>
      <c r="BG40" s="493"/>
      <c r="BH40" s="493"/>
      <c r="BI40" s="493"/>
      <c r="BJ40" s="493"/>
      <c r="BK40" s="493"/>
      <c r="BL40" s="493"/>
      <c r="BM40" s="493"/>
      <c r="BN40" s="493"/>
      <c r="BO40" s="493"/>
      <c r="BP40" s="493"/>
      <c r="BQ40" s="493"/>
      <c r="BR40" s="493"/>
      <c r="BS40" s="493"/>
      <c r="BT40" s="493"/>
      <c r="BU40" s="493"/>
      <c r="BV40" s="493"/>
      <c r="BW40" s="493"/>
      <c r="BX40" s="493"/>
      <c r="BY40" s="493"/>
      <c r="BZ40" s="493"/>
      <c r="CA40" s="493"/>
      <c r="CB40" s="493"/>
      <c r="CC40" s="493"/>
      <c r="CD40" s="493"/>
      <c r="CE40" s="493"/>
      <c r="CF40" s="493"/>
      <c r="CG40" s="493"/>
      <c r="CH40" s="493"/>
      <c r="CI40" s="493"/>
      <c r="CJ40" s="493"/>
      <c r="CK40" s="493"/>
      <c r="CL40" s="493"/>
      <c r="CM40" s="493"/>
      <c r="CN40" s="493"/>
      <c r="CO40" s="493"/>
      <c r="CP40" s="493"/>
      <c r="CQ40" s="493"/>
      <c r="CR40" s="493"/>
      <c r="CS40" s="493"/>
      <c r="CT40" s="493"/>
      <c r="CU40" s="493"/>
      <c r="CV40" s="493"/>
      <c r="CW40" s="493"/>
      <c r="CX40" s="493"/>
      <c r="CY40" s="493"/>
      <c r="CZ40" s="493"/>
      <c r="DA40" s="493"/>
      <c r="DB40" s="493"/>
      <c r="DC40" s="493"/>
      <c r="DD40" s="493"/>
      <c r="DE40" s="493"/>
      <c r="DF40" s="493"/>
      <c r="DG40" s="493"/>
      <c r="DH40" s="493"/>
      <c r="DI40" s="493"/>
      <c r="DJ40" s="493"/>
      <c r="DK40" s="493"/>
      <c r="DL40" s="493"/>
      <c r="DM40" s="493"/>
      <c r="DN40" s="493"/>
      <c r="DO40" s="493"/>
      <c r="DP40" s="493"/>
      <c r="DQ40" s="493"/>
      <c r="DR40" s="493"/>
      <c r="DS40" s="493"/>
      <c r="DT40" s="493"/>
      <c r="DU40" s="493"/>
      <c r="DV40" s="493"/>
      <c r="DW40" s="493"/>
      <c r="DX40" s="493"/>
      <c r="DY40" s="493"/>
      <c r="DZ40" s="493"/>
      <c r="EA40" s="493"/>
      <c r="EB40" s="493"/>
      <c r="EC40" s="493"/>
      <c r="ED40" s="493"/>
      <c r="EE40" s="493"/>
      <c r="EF40" s="493"/>
      <c r="EG40" s="493"/>
      <c r="EH40" s="493"/>
      <c r="EI40" s="493"/>
      <c r="EJ40" s="493"/>
      <c r="EK40" s="493"/>
      <c r="EL40" s="493"/>
      <c r="EM40" s="493"/>
      <c r="EN40" s="493"/>
      <c r="EO40" s="493"/>
      <c r="EP40" s="493"/>
      <c r="EQ40" s="493"/>
      <c r="ER40" s="493"/>
      <c r="ES40" s="493"/>
      <c r="ET40" s="493"/>
      <c r="EU40" s="493"/>
      <c r="EV40" s="493"/>
      <c r="EW40" s="493"/>
      <c r="EX40" s="493"/>
      <c r="EY40" s="493"/>
      <c r="EZ40" s="493"/>
      <c r="FA40" s="493"/>
      <c r="FB40" s="493"/>
      <c r="FC40" s="493"/>
      <c r="FD40" s="493"/>
      <c r="FE40" s="493"/>
      <c r="FF40" s="493"/>
      <c r="FG40" s="493"/>
      <c r="FH40" s="493"/>
      <c r="FI40" s="493"/>
      <c r="FJ40" s="45"/>
    </row>
    <row r="41" spans="1:166">
      <c r="A41" s="501"/>
      <c r="B41" s="491"/>
      <c r="C41" s="491"/>
      <c r="D41" s="491"/>
      <c r="E41" s="491"/>
      <c r="F41" s="491"/>
      <c r="G41" s="491"/>
      <c r="H41" s="491"/>
      <c r="I41" s="491"/>
      <c r="J41" s="491"/>
      <c r="K41" s="491"/>
      <c r="L41" s="491"/>
      <c r="M41" s="511"/>
      <c r="N41" s="491"/>
      <c r="O41" s="494"/>
      <c r="P41" s="495"/>
      <c r="Q41" s="498"/>
      <c r="R41" s="498"/>
      <c r="S41" s="496"/>
      <c r="T41" s="512"/>
      <c r="U41" s="491"/>
      <c r="V41" s="493"/>
      <c r="W41" s="493"/>
      <c r="X41" s="493"/>
      <c r="Y41" s="493"/>
      <c r="Z41" s="493"/>
      <c r="AA41" s="493"/>
      <c r="AB41" s="493"/>
      <c r="AC41" s="493"/>
      <c r="AD41" s="493"/>
      <c r="AE41" s="493"/>
      <c r="AF41" s="493"/>
      <c r="AG41" s="493"/>
      <c r="AH41" s="493"/>
      <c r="AI41" s="500"/>
      <c r="AJ41" s="500"/>
      <c r="AK41" s="500"/>
      <c r="AL41" s="500"/>
      <c r="AM41" s="500"/>
      <c r="AN41" s="500"/>
      <c r="AO41" s="500"/>
      <c r="AP41" s="500"/>
      <c r="AQ41" s="500"/>
      <c r="AR41" s="500"/>
      <c r="AS41" s="500"/>
      <c r="AT41" s="500"/>
      <c r="AU41" s="493"/>
      <c r="AV41" s="493"/>
      <c r="AW41" s="493"/>
      <c r="AX41" s="493"/>
      <c r="AY41" s="493"/>
      <c r="AZ41" s="493"/>
      <c r="BA41" s="493"/>
      <c r="BB41" s="493"/>
      <c r="BC41" s="493"/>
      <c r="BD41" s="493"/>
      <c r="BE41" s="493"/>
      <c r="BF41" s="493"/>
      <c r="BG41" s="493"/>
      <c r="BH41" s="493"/>
      <c r="BI41" s="493"/>
      <c r="BJ41" s="493"/>
      <c r="BK41" s="493"/>
      <c r="BL41" s="493"/>
      <c r="BM41" s="493"/>
      <c r="BN41" s="493"/>
      <c r="BO41" s="493"/>
      <c r="BP41" s="493"/>
      <c r="BQ41" s="493"/>
      <c r="BR41" s="493"/>
      <c r="BS41" s="493"/>
      <c r="BT41" s="493"/>
      <c r="BU41" s="493"/>
      <c r="BV41" s="493"/>
      <c r="BW41" s="493"/>
      <c r="BX41" s="493"/>
      <c r="BY41" s="493"/>
      <c r="BZ41" s="493"/>
      <c r="CA41" s="493"/>
      <c r="CB41" s="493"/>
      <c r="CC41" s="493"/>
      <c r="CD41" s="493"/>
      <c r="CE41" s="493"/>
      <c r="CF41" s="493"/>
      <c r="CG41" s="493"/>
      <c r="CH41" s="493"/>
      <c r="CI41" s="493"/>
      <c r="CJ41" s="493"/>
      <c r="CK41" s="493"/>
      <c r="CL41" s="493"/>
      <c r="CM41" s="493"/>
      <c r="CN41" s="493"/>
      <c r="CO41" s="493"/>
      <c r="CP41" s="493"/>
      <c r="CQ41" s="493"/>
      <c r="CR41" s="493"/>
      <c r="CS41" s="493"/>
      <c r="CT41" s="493"/>
      <c r="CU41" s="493"/>
      <c r="CV41" s="493"/>
      <c r="CW41" s="493"/>
      <c r="CX41" s="493"/>
      <c r="CY41" s="493"/>
      <c r="CZ41" s="493"/>
      <c r="DA41" s="493"/>
      <c r="DB41" s="493"/>
      <c r="DC41" s="493"/>
      <c r="DD41" s="493"/>
      <c r="DE41" s="493"/>
      <c r="DF41" s="493"/>
      <c r="DG41" s="493"/>
      <c r="DH41" s="493"/>
      <c r="DI41" s="493"/>
      <c r="DJ41" s="493"/>
      <c r="DK41" s="493"/>
      <c r="DL41" s="493"/>
      <c r="DM41" s="493"/>
      <c r="DN41" s="493"/>
      <c r="DO41" s="493"/>
      <c r="DP41" s="493"/>
      <c r="DQ41" s="493"/>
      <c r="DR41" s="493"/>
      <c r="DS41" s="493"/>
      <c r="DT41" s="493"/>
      <c r="DU41" s="493"/>
      <c r="DV41" s="493"/>
      <c r="DW41" s="493"/>
      <c r="DX41" s="493"/>
      <c r="DY41" s="493"/>
      <c r="DZ41" s="493"/>
      <c r="EA41" s="493"/>
      <c r="EB41" s="493"/>
      <c r="EC41" s="493"/>
      <c r="ED41" s="493"/>
      <c r="EE41" s="493"/>
      <c r="EF41" s="493"/>
      <c r="EG41" s="493"/>
      <c r="EH41" s="493"/>
      <c r="EI41" s="493"/>
      <c r="EJ41" s="493"/>
      <c r="EK41" s="493"/>
      <c r="EL41" s="493"/>
      <c r="EM41" s="493"/>
      <c r="EN41" s="493"/>
      <c r="EO41" s="493"/>
      <c r="EP41" s="493"/>
      <c r="EQ41" s="493"/>
      <c r="ER41" s="493"/>
      <c r="ES41" s="493"/>
      <c r="ET41" s="493"/>
      <c r="EU41" s="493"/>
      <c r="EV41" s="493"/>
      <c r="EW41" s="493"/>
      <c r="EX41" s="493"/>
      <c r="EY41" s="493"/>
      <c r="EZ41" s="493"/>
      <c r="FA41" s="493"/>
      <c r="FB41" s="493"/>
      <c r="FC41" s="493"/>
      <c r="FD41" s="493"/>
      <c r="FE41" s="493"/>
      <c r="FF41" s="493"/>
      <c r="FG41" s="493"/>
      <c r="FH41" s="493"/>
      <c r="FI41" s="493"/>
      <c r="FJ41" s="45"/>
    </row>
    <row r="42" spans="1:166" ht="18" thickBot="1">
      <c r="A42" s="502"/>
      <c r="B42" s="503"/>
      <c r="C42" s="503"/>
      <c r="D42" s="503"/>
      <c r="E42" s="503"/>
      <c r="F42" s="503"/>
      <c r="G42" s="503"/>
      <c r="H42" s="503"/>
      <c r="I42" s="503"/>
      <c r="J42" s="503"/>
      <c r="K42" s="503"/>
      <c r="L42" s="503"/>
      <c r="M42" s="514"/>
      <c r="N42" s="503"/>
      <c r="O42" s="515"/>
      <c r="P42" s="506"/>
      <c r="Q42" s="504"/>
      <c r="R42" s="504"/>
      <c r="S42" s="505"/>
      <c r="T42" s="516"/>
      <c r="U42" s="503"/>
      <c r="V42" s="508"/>
      <c r="W42" s="508"/>
      <c r="X42" s="508"/>
      <c r="Y42" s="508"/>
      <c r="Z42" s="508"/>
      <c r="AA42" s="508"/>
      <c r="AB42" s="508"/>
      <c r="AC42" s="508"/>
      <c r="AD42" s="508"/>
      <c r="AE42" s="508"/>
      <c r="AF42" s="508"/>
      <c r="AG42" s="508"/>
      <c r="AH42" s="508"/>
      <c r="AI42" s="508"/>
      <c r="AJ42" s="508"/>
      <c r="AK42" s="508"/>
      <c r="AL42" s="508"/>
      <c r="AM42" s="508"/>
      <c r="AN42" s="508"/>
      <c r="AO42" s="508"/>
      <c r="AP42" s="508"/>
      <c r="AQ42" s="508"/>
      <c r="AR42" s="508"/>
      <c r="AS42" s="508"/>
      <c r="AT42" s="508"/>
      <c r="AU42" s="508"/>
      <c r="AV42" s="508"/>
      <c r="AW42" s="508"/>
      <c r="AX42" s="508"/>
      <c r="AY42" s="508"/>
      <c r="AZ42" s="508"/>
      <c r="BA42" s="508"/>
      <c r="BB42" s="508"/>
      <c r="BC42" s="508"/>
      <c r="BD42" s="508"/>
      <c r="BE42" s="508"/>
      <c r="BF42" s="508"/>
      <c r="BG42" s="508"/>
      <c r="BH42" s="508"/>
      <c r="BI42" s="508"/>
      <c r="BJ42" s="508"/>
      <c r="BK42" s="508"/>
      <c r="BL42" s="508"/>
      <c r="BM42" s="508"/>
      <c r="BN42" s="508"/>
      <c r="BO42" s="508"/>
      <c r="BP42" s="508"/>
      <c r="BQ42" s="508"/>
      <c r="BR42" s="508"/>
      <c r="BS42" s="508"/>
      <c r="BT42" s="508"/>
      <c r="BU42" s="508"/>
      <c r="BV42" s="508"/>
      <c r="BW42" s="508"/>
      <c r="BX42" s="508"/>
      <c r="BY42" s="508"/>
      <c r="BZ42" s="508"/>
      <c r="CA42" s="508"/>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c r="DQ42" s="508"/>
      <c r="DR42" s="508"/>
      <c r="DS42" s="508"/>
      <c r="DT42" s="508"/>
      <c r="DU42" s="508"/>
      <c r="DV42" s="508"/>
      <c r="DW42" s="508"/>
      <c r="DX42" s="508"/>
      <c r="DY42" s="508"/>
      <c r="DZ42" s="508"/>
      <c r="EA42" s="508"/>
      <c r="EB42" s="508"/>
      <c r="EC42" s="508"/>
      <c r="ED42" s="508"/>
      <c r="EE42" s="508"/>
      <c r="EF42" s="508"/>
      <c r="EG42" s="508"/>
      <c r="EH42" s="508"/>
      <c r="EI42" s="508"/>
      <c r="EJ42" s="508"/>
      <c r="EK42" s="508"/>
      <c r="EL42" s="508"/>
      <c r="EM42" s="508"/>
      <c r="EN42" s="508"/>
      <c r="EO42" s="508"/>
      <c r="EP42" s="508"/>
      <c r="EQ42" s="508"/>
      <c r="ER42" s="508"/>
      <c r="ES42" s="508"/>
      <c r="ET42" s="508"/>
      <c r="EU42" s="508"/>
      <c r="EV42" s="508"/>
      <c r="EW42" s="508"/>
      <c r="EX42" s="508"/>
      <c r="EY42" s="508"/>
      <c r="EZ42" s="508"/>
      <c r="FA42" s="508"/>
      <c r="FB42" s="508"/>
      <c r="FC42" s="508"/>
      <c r="FD42" s="508"/>
      <c r="FE42" s="508"/>
      <c r="FF42" s="508"/>
      <c r="FG42" s="508"/>
      <c r="FH42" s="508"/>
      <c r="FI42" s="508"/>
      <c r="FJ42" s="46"/>
    </row>
  </sheetData>
  <phoneticPr fontId="1" type="noConversion"/>
  <conditionalFormatting sqref="T5:U5 U6:U17 N14:N17 R29:R30 Q5:R11 F18:F19 B38:C42 A5:N5 F6:G6 B6 F13:G17 B13:E19 M13:N13 I13:I25 C35 C20:E26 R12:R25 Q12:Q26 T6:T26 B7:G12 K13 L13:L26 J13:J26 B37 A6:A26 A28:A42 J28:J37 L28:L37 T28:T34 Q28:Q34 C28:E34 I6:N12 H6:H37 P5:P42">
    <cfRule type="expression" dxfId="59" priority="46">
      <formula>OR($D5="MA",$D5="운영")</formula>
    </cfRule>
  </conditionalFormatting>
  <conditionalFormatting sqref="T38:T42">
    <cfRule type="expression" dxfId="58" priority="39">
      <formula>OR($D38="MA",$D38="운영")</formula>
    </cfRule>
  </conditionalFormatting>
  <conditionalFormatting sqref="O5:O26 O28:O42">
    <cfRule type="expression" dxfId="57" priority="38">
      <formula>OR($D5="MA",$D5="운영")</formula>
    </cfRule>
  </conditionalFormatting>
  <conditionalFormatting sqref="K14:K20 M14:M19 J38:J42">
    <cfRule type="expression" dxfId="56" priority="37">
      <formula>OR($D14="MA",$D14="운영")</formula>
    </cfRule>
  </conditionalFormatting>
  <conditionalFormatting sqref="G18:G19">
    <cfRule type="expression" dxfId="55" priority="36">
      <formula>OR($D18="MA",$D18="운영")</formula>
    </cfRule>
  </conditionalFormatting>
  <conditionalFormatting sqref="L38:M42">
    <cfRule type="expression" dxfId="54" priority="30">
      <formula>OR($D38="MA",$D38="운영")</formula>
    </cfRule>
  </conditionalFormatting>
  <conditionalFormatting sqref="R31">
    <cfRule type="expression" dxfId="53" priority="28">
      <formula>OR($D31="MA",$D31="운영")</formula>
    </cfRule>
  </conditionalFormatting>
  <conditionalFormatting sqref="M20">
    <cfRule type="expression" dxfId="52" priority="19">
      <formula>OR($D20="MA",$D20="운영")</formula>
    </cfRule>
  </conditionalFormatting>
  <conditionalFormatting sqref="D35 D38:D39">
    <cfRule type="expression" dxfId="51" priority="26">
      <formula>OR($D35="MA",$D35="운영")</formula>
    </cfRule>
  </conditionalFormatting>
  <conditionalFormatting sqref="M28">
    <cfRule type="expression" dxfId="50" priority="17">
      <formula>OR($D28="MA",$D28="운영")</formula>
    </cfRule>
  </conditionalFormatting>
  <conditionalFormatting sqref="M29:M37">
    <cfRule type="expression" dxfId="49" priority="16">
      <formula>OR($D29="MA",$D29="운영")</formula>
    </cfRule>
  </conditionalFormatting>
  <conditionalFormatting sqref="C6:E6">
    <cfRule type="expression" dxfId="48" priority="22">
      <formula>OR($D6="MA",$D6="운영")</formula>
    </cfRule>
  </conditionalFormatting>
  <conditionalFormatting sqref="B29:B36">
    <cfRule type="expression" dxfId="47" priority="13">
      <formula>OR($D29="MA",$D29="운영")</formula>
    </cfRule>
  </conditionalFormatting>
  <conditionalFormatting sqref="F25:F26 F20:G24">
    <cfRule type="expression" dxfId="46" priority="12">
      <formula>OR($D20="MA",$D20="운영")</formula>
    </cfRule>
  </conditionalFormatting>
  <conditionalFormatting sqref="D37">
    <cfRule type="expression" dxfId="45" priority="5">
      <formula>OR($D37="MA",$D37="운영")</formula>
    </cfRule>
  </conditionalFormatting>
  <conditionalFormatting sqref="M21:M26">
    <cfRule type="expression" dxfId="44" priority="18">
      <formula>OR($D21="MA",$D21="운영")</formula>
    </cfRule>
  </conditionalFormatting>
  <conditionalFormatting sqref="D36">
    <cfRule type="expression" dxfId="43" priority="7">
      <formula>OR($D36="MA",$D36="운영")</formula>
    </cfRule>
  </conditionalFormatting>
  <conditionalFormatting sqref="B20:B26 B28">
    <cfRule type="expression" dxfId="42" priority="14">
      <formula>OR($D20="MA",$D20="운영")</formula>
    </cfRule>
  </conditionalFormatting>
  <conditionalFormatting sqref="G25:G26">
    <cfRule type="expression" dxfId="41" priority="11">
      <formula>OR($D25="MA",$D25="운영")</formula>
    </cfRule>
  </conditionalFormatting>
  <conditionalFormatting sqref="F33:F34 F28:G32">
    <cfRule type="expression" dxfId="40" priority="10">
      <formula>OR($D28="MA",$D28="운영")</formula>
    </cfRule>
  </conditionalFormatting>
  <conditionalFormatting sqref="G33:G34">
    <cfRule type="expression" dxfId="39" priority="9">
      <formula>OR($D33="MA",$D33="운영")</formula>
    </cfRule>
  </conditionalFormatting>
  <conditionalFormatting sqref="C36">
    <cfRule type="expression" dxfId="38" priority="8">
      <formula>OR($D36="MA",$D36="운영")</formula>
    </cfRule>
  </conditionalFormatting>
  <conditionalFormatting sqref="C37">
    <cfRule type="expression" dxfId="37" priority="6">
      <formula>OR($D37="MA",$D37="운영")</formula>
    </cfRule>
  </conditionalFormatting>
  <conditionalFormatting sqref="T27:U27 A27:G27 Q27:R27 I27:N27">
    <cfRule type="expression" dxfId="36" priority="4">
      <formula>OR($D27="MA",$D27="운영")</formula>
    </cfRule>
  </conditionalFormatting>
  <conditionalFormatting sqref="O27">
    <cfRule type="expression" dxfId="35" priority="3">
      <formula>OR($D27="MA",$D27="운영")</formula>
    </cfRule>
  </conditionalFormatting>
  <conditionalFormatting sqref="T35 Q35">
    <cfRule type="expression" dxfId="34" priority="2">
      <formula>OR($D35="MA",$D35="운영")</formula>
    </cfRule>
  </conditionalFormatting>
  <conditionalFormatting sqref="T36:T37 Q36:Q37">
    <cfRule type="expression" dxfId="33" priority="1">
      <formula>OR($D36="MA",$D36="운영")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5059" r:id="rId4" name="OptionButton2">
          <controlPr defaultSize="0" autoFill="0" autoLine="0" r:id="rId5">
            <anchor moveWithCells="1">
              <from>
                <xdr:col>5</xdr:col>
                <xdr:colOff>906780</xdr:colOff>
                <xdr:row>0</xdr:row>
                <xdr:rowOff>0</xdr:rowOff>
              </from>
              <to>
                <xdr:col>6</xdr:col>
                <xdr:colOff>129540</xdr:colOff>
                <xdr:row>0</xdr:row>
                <xdr:rowOff>236220</xdr:rowOff>
              </to>
            </anchor>
          </controlPr>
        </control>
      </mc:Choice>
      <mc:Fallback>
        <control shapeId="45059" r:id="rId4" name="OptionButton2"/>
      </mc:Fallback>
    </mc:AlternateContent>
    <mc:AlternateContent xmlns:mc="http://schemas.openxmlformats.org/markup-compatibility/2006">
      <mc:Choice Requires="x14">
        <control shapeId="45058" r:id="rId6" name="OptionButton1">
          <controlPr defaultSize="0" disabled="1" autoFill="0" autoLine="0" r:id="rId7">
            <anchor moveWithCells="1">
              <from>
                <xdr:col>4</xdr:col>
                <xdr:colOff>106680</xdr:colOff>
                <xdr:row>0</xdr:row>
                <xdr:rowOff>0</xdr:rowOff>
              </from>
              <to>
                <xdr:col>4</xdr:col>
                <xdr:colOff>1165860</xdr:colOff>
                <xdr:row>0</xdr:row>
                <xdr:rowOff>266700</xdr:rowOff>
              </to>
            </anchor>
          </controlPr>
        </control>
      </mc:Choice>
      <mc:Fallback>
        <control shapeId="45058" r:id="rId6" name="OptionButton1"/>
      </mc:Fallback>
    </mc:AlternateContent>
    <mc:AlternateContent xmlns:mc="http://schemas.openxmlformats.org/markup-compatibility/2006">
      <mc:Choice Requires="x14">
        <control shapeId="45057" r:id="rId8" name="cmd_CS수행">
          <controlPr defaultSize="0" autoFill="0" autoLine="0" r:id="rId9">
            <anchor moveWithCells="1">
              <from>
                <xdr:col>2</xdr:col>
                <xdr:colOff>30480</xdr:colOff>
                <xdr:row>0</xdr:row>
                <xdr:rowOff>30480</xdr:rowOff>
              </from>
              <to>
                <xdr:col>3</xdr:col>
                <xdr:colOff>358140</xdr:colOff>
                <xdr:row>0</xdr:row>
                <xdr:rowOff>289560</xdr:rowOff>
              </to>
            </anchor>
          </controlPr>
        </control>
      </mc:Choice>
      <mc:Fallback>
        <control shapeId="45057" r:id="rId8" name="cmd_CS수행"/>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36"/>
  <sheetViews>
    <sheetView topLeftCell="C13" workbookViewId="0">
      <selection activeCell="K18" sqref="K18:U32"/>
    </sheetView>
  </sheetViews>
  <sheetFormatPr defaultRowHeight="17.399999999999999"/>
  <cols>
    <col min="11" max="11" width="12.59765625" bestFit="1" customWidth="1"/>
  </cols>
  <sheetData>
    <row r="1" spans="1:21">
      <c r="A1" s="501" t="s">
        <v>1014</v>
      </c>
      <c r="B1" s="491" t="s">
        <v>288</v>
      </c>
      <c r="C1" s="491" t="s">
        <v>256</v>
      </c>
      <c r="D1" s="491" t="s">
        <v>821</v>
      </c>
      <c r="E1" s="491" t="s">
        <v>470</v>
      </c>
      <c r="H1" s="431">
        <v>26000000</v>
      </c>
      <c r="K1">
        <v>0.97312348736823784</v>
      </c>
    </row>
    <row r="2" spans="1:21">
      <c r="A2" s="501" t="s">
        <v>1015</v>
      </c>
      <c r="B2" s="491" t="s">
        <v>288</v>
      </c>
      <c r="C2" s="491" t="s">
        <v>256</v>
      </c>
      <c r="D2" s="491" t="s">
        <v>821</v>
      </c>
      <c r="E2" s="491" t="s">
        <v>470</v>
      </c>
      <c r="H2" s="494">
        <v>5250000</v>
      </c>
      <c r="K2">
        <v>0</v>
      </c>
      <c r="L2">
        <v>0</v>
      </c>
      <c r="M2">
        <v>0</v>
      </c>
      <c r="N2">
        <v>0</v>
      </c>
      <c r="O2">
        <v>0</v>
      </c>
      <c r="P2">
        <v>0</v>
      </c>
      <c r="Q2">
        <v>0</v>
      </c>
      <c r="R2">
        <v>0</v>
      </c>
      <c r="S2">
        <v>0</v>
      </c>
      <c r="T2">
        <v>0</v>
      </c>
      <c r="U2">
        <v>0</v>
      </c>
    </row>
    <row r="3" spans="1:21">
      <c r="A3" s="501" t="s">
        <v>1016</v>
      </c>
      <c r="B3" s="491" t="s">
        <v>288</v>
      </c>
      <c r="C3" s="491" t="s">
        <v>256</v>
      </c>
      <c r="D3" s="491" t="s">
        <v>821</v>
      </c>
      <c r="E3" s="491" t="s">
        <v>470</v>
      </c>
      <c r="H3" s="494">
        <v>8797100</v>
      </c>
      <c r="K3">
        <v>5325835816.4407129</v>
      </c>
      <c r="L3">
        <v>364139093.921341</v>
      </c>
      <c r="M3">
        <v>497807641.51226825</v>
      </c>
      <c r="N3">
        <v>510407531.25275016</v>
      </c>
      <c r="O3">
        <v>523326333.77848125</v>
      </c>
      <c r="P3">
        <v>536572121.01442772</v>
      </c>
      <c r="Q3">
        <v>550153169.19211519</v>
      </c>
      <c r="R3">
        <v>564077964.02077615</v>
      </c>
      <c r="S3">
        <v>578355205.9893949</v>
      </c>
      <c r="T3">
        <v>592993815.80294299</v>
      </c>
      <c r="U3">
        <v>608002939.95621526</v>
      </c>
    </row>
    <row r="4" spans="1:21">
      <c r="A4" s="501" t="s">
        <v>1017</v>
      </c>
      <c r="B4" s="491" t="s">
        <v>288</v>
      </c>
      <c r="C4" s="491" t="s">
        <v>256</v>
      </c>
      <c r="D4" s="491" t="s">
        <v>821</v>
      </c>
      <c r="E4" s="491" t="s">
        <v>470</v>
      </c>
      <c r="H4" s="494">
        <v>4398550</v>
      </c>
      <c r="K4">
        <v>1065167163.2881451</v>
      </c>
      <c r="L4">
        <v>72827818.7842682</v>
      </c>
      <c r="M4">
        <v>99561528.302453697</v>
      </c>
      <c r="N4">
        <v>102081506.25055034</v>
      </c>
      <c r="O4">
        <v>104665266.75569649</v>
      </c>
      <c r="P4">
        <v>107314424.20288591</v>
      </c>
      <c r="Q4">
        <v>110030633.83842336</v>
      </c>
      <c r="R4">
        <v>112815592.80415557</v>
      </c>
      <c r="S4">
        <v>115671041.1978793</v>
      </c>
      <c r="T4">
        <v>118598763.16058891</v>
      </c>
      <c r="U4">
        <v>121600587.99124342</v>
      </c>
    </row>
    <row r="5" spans="1:21">
      <c r="A5" s="501" t="s">
        <v>1018</v>
      </c>
      <c r="B5" s="491" t="s">
        <v>288</v>
      </c>
      <c r="C5" s="491" t="s">
        <v>256</v>
      </c>
      <c r="D5" s="491" t="s">
        <v>821</v>
      </c>
      <c r="E5" s="491" t="s">
        <v>470</v>
      </c>
      <c r="H5" s="494">
        <v>560000</v>
      </c>
      <c r="K5">
        <v>3905612932.0565252</v>
      </c>
      <c r="L5">
        <v>267035335.54231676</v>
      </c>
      <c r="M5">
        <v>365058937.10899681</v>
      </c>
      <c r="N5">
        <v>374298856.25201702</v>
      </c>
      <c r="O5">
        <v>383772644.77088636</v>
      </c>
      <c r="P5">
        <v>393486222.07724738</v>
      </c>
      <c r="Q5">
        <v>403445657.40755147</v>
      </c>
      <c r="R5">
        <v>413657173.61523622</v>
      </c>
      <c r="S5">
        <v>424127151.05888981</v>
      </c>
      <c r="T5">
        <v>434862131.58882517</v>
      </c>
      <c r="U5">
        <v>445868822.63455802</v>
      </c>
    </row>
    <row r="6" spans="1:21">
      <c r="A6" s="501" t="s">
        <v>1019</v>
      </c>
      <c r="B6" s="491" t="s">
        <v>288</v>
      </c>
      <c r="C6" s="491" t="s">
        <v>256</v>
      </c>
      <c r="D6" s="491" t="s">
        <v>821</v>
      </c>
      <c r="E6" s="491" t="s">
        <v>470</v>
      </c>
      <c r="H6" s="494">
        <v>1000000</v>
      </c>
      <c r="K6">
        <v>8521337306.3051548</v>
      </c>
      <c r="L6">
        <v>582622550.2741456</v>
      </c>
      <c r="M6">
        <v>796492226.41962957</v>
      </c>
      <c r="N6">
        <v>816652050.0044018</v>
      </c>
      <c r="O6">
        <v>837322134.04557168</v>
      </c>
      <c r="P6">
        <v>858515393.62308609</v>
      </c>
      <c r="Q6">
        <v>880245070.7073859</v>
      </c>
      <c r="R6">
        <v>902524742.43324411</v>
      </c>
      <c r="S6">
        <v>925368329.58303344</v>
      </c>
      <c r="T6">
        <v>948790105.28471076</v>
      </c>
      <c r="U6">
        <v>972804703.92994642</v>
      </c>
    </row>
    <row r="7" spans="1:21">
      <c r="A7" s="501" t="s">
        <v>1020</v>
      </c>
      <c r="B7" s="491" t="s">
        <v>288</v>
      </c>
      <c r="C7" s="491" t="s">
        <v>256</v>
      </c>
      <c r="D7" s="491" t="s">
        <v>821</v>
      </c>
      <c r="E7" s="491" t="s">
        <v>470</v>
      </c>
      <c r="H7" s="494">
        <v>1000000</v>
      </c>
      <c r="K7">
        <v>0</v>
      </c>
      <c r="L7">
        <v>0</v>
      </c>
      <c r="M7">
        <v>0</v>
      </c>
      <c r="N7">
        <v>0</v>
      </c>
      <c r="O7">
        <v>0</v>
      </c>
      <c r="P7">
        <v>0</v>
      </c>
      <c r="Q7">
        <v>0</v>
      </c>
      <c r="R7">
        <v>0</v>
      </c>
      <c r="S7">
        <v>0</v>
      </c>
      <c r="T7">
        <v>0</v>
      </c>
      <c r="U7">
        <v>0</v>
      </c>
    </row>
    <row r="8" spans="1:21">
      <c r="A8" s="501" t="s">
        <v>1021</v>
      </c>
      <c r="B8" s="491" t="s">
        <v>288</v>
      </c>
      <c r="C8" s="491" t="s">
        <v>256</v>
      </c>
      <c r="D8" s="491" t="s">
        <v>821</v>
      </c>
      <c r="E8" s="491" t="s">
        <v>470</v>
      </c>
      <c r="H8" s="494">
        <v>280000</v>
      </c>
      <c r="K8">
        <v>0</v>
      </c>
      <c r="L8">
        <v>0</v>
      </c>
      <c r="M8">
        <v>0</v>
      </c>
      <c r="N8">
        <v>0</v>
      </c>
      <c r="O8">
        <v>0</v>
      </c>
      <c r="P8">
        <v>0</v>
      </c>
      <c r="Q8">
        <v>0</v>
      </c>
      <c r="R8">
        <v>0</v>
      </c>
      <c r="S8">
        <v>0</v>
      </c>
      <c r="T8">
        <v>0</v>
      </c>
      <c r="U8">
        <v>0</v>
      </c>
    </row>
    <row r="9" spans="1:21">
      <c r="A9" s="501" t="s">
        <v>1022</v>
      </c>
      <c r="B9" s="491" t="s">
        <v>288</v>
      </c>
      <c r="C9" s="491" t="s">
        <v>256</v>
      </c>
      <c r="D9" s="491" t="s">
        <v>821</v>
      </c>
      <c r="E9" s="491" t="s">
        <v>470</v>
      </c>
      <c r="H9" s="494">
        <v>3048038.6104290751</v>
      </c>
      <c r="K9">
        <v>441710579.0370025</v>
      </c>
      <c r="L9">
        <v>30200722.585079163</v>
      </c>
      <c r="M9">
        <v>41286834.435008876</v>
      </c>
      <c r="N9">
        <v>42331835.592553146</v>
      </c>
      <c r="O9">
        <v>43403286.523595728</v>
      </c>
      <c r="P9">
        <v>44501856.692005694</v>
      </c>
      <c r="Q9">
        <v>45628232.506291442</v>
      </c>
      <c r="R9">
        <v>46783117.748482376</v>
      </c>
      <c r="S9">
        <v>47967234.013865955</v>
      </c>
      <c r="T9">
        <v>49181321.161854751</v>
      </c>
      <c r="U9">
        <v>50426137.778265394</v>
      </c>
    </row>
    <row r="10" spans="1:21">
      <c r="A10" s="501" t="s">
        <v>1023</v>
      </c>
      <c r="B10" s="491" t="s">
        <v>288</v>
      </c>
      <c r="C10" s="491" t="s">
        <v>256</v>
      </c>
      <c r="D10" s="491" t="s">
        <v>821</v>
      </c>
      <c r="E10" s="491" t="s">
        <v>470</v>
      </c>
      <c r="H10" s="494">
        <v>68038.460886286528</v>
      </c>
      <c r="K10">
        <v>441710579.0370025</v>
      </c>
      <c r="L10">
        <v>30200722.585079163</v>
      </c>
      <c r="M10">
        <v>41286834.435008876</v>
      </c>
      <c r="N10">
        <v>42331835.592553146</v>
      </c>
      <c r="O10">
        <v>43403286.523595728</v>
      </c>
      <c r="P10">
        <v>44501856.692005694</v>
      </c>
      <c r="Q10">
        <v>45628232.506291442</v>
      </c>
      <c r="R10">
        <v>46783117.748482376</v>
      </c>
      <c r="S10">
        <v>47967234.013865955</v>
      </c>
      <c r="T10">
        <v>49181321.161854751</v>
      </c>
      <c r="U10">
        <v>50426137.778265394</v>
      </c>
    </row>
    <row r="11" spans="1:21">
      <c r="A11" s="501" t="s">
        <v>1024</v>
      </c>
      <c r="B11" s="491" t="s">
        <v>288</v>
      </c>
      <c r="C11" s="491" t="s">
        <v>256</v>
      </c>
      <c r="D11" s="491" t="s">
        <v>821</v>
      </c>
      <c r="E11" s="491" t="s">
        <v>470</v>
      </c>
      <c r="H11" s="494">
        <v>309265.73130130244</v>
      </c>
      <c r="K11">
        <v>883421158.07400501</v>
      </c>
      <c r="L11">
        <v>60401445.170158327</v>
      </c>
      <c r="M11">
        <v>82573668.870017752</v>
      </c>
      <c r="N11">
        <v>84663671.185106292</v>
      </c>
      <c r="O11">
        <v>86806573.047191456</v>
      </c>
      <c r="P11">
        <v>89003713.384011388</v>
      </c>
      <c r="Q11">
        <v>91256465.012582883</v>
      </c>
      <c r="R11">
        <v>93566235.496964753</v>
      </c>
      <c r="S11">
        <v>95934468.02773191</v>
      </c>
      <c r="T11">
        <v>98362642.323709503</v>
      </c>
      <c r="U11">
        <v>100852275.55653079</v>
      </c>
    </row>
    <row r="12" spans="1:21">
      <c r="A12" s="501" t="s">
        <v>1025</v>
      </c>
      <c r="B12" s="491" t="s">
        <v>288</v>
      </c>
      <c r="C12" s="491" t="s">
        <v>256</v>
      </c>
      <c r="D12" s="491" t="s">
        <v>821</v>
      </c>
      <c r="E12" s="491" t="s">
        <v>470</v>
      </c>
      <c r="H12" s="494">
        <v>432972.02382182336</v>
      </c>
      <c r="K12">
        <v>1325131737.1110077</v>
      </c>
      <c r="L12">
        <v>90602167.75523752</v>
      </c>
      <c r="M12">
        <v>123860503.30502664</v>
      </c>
      <c r="N12">
        <v>126995506.77765943</v>
      </c>
      <c r="O12">
        <v>130209859.57078721</v>
      </c>
      <c r="P12">
        <v>133505570.07601707</v>
      </c>
      <c r="Q12">
        <v>136884697.51887432</v>
      </c>
      <c r="R12">
        <v>140349353.24544719</v>
      </c>
      <c r="S12">
        <v>143901702.04159787</v>
      </c>
      <c r="T12">
        <v>147543963.48556426</v>
      </c>
      <c r="U12">
        <v>151278413.33479613</v>
      </c>
    </row>
    <row r="13" spans="1:21">
      <c r="A13" s="501" t="s">
        <v>1026</v>
      </c>
      <c r="B13" s="491" t="s">
        <v>288</v>
      </c>
      <c r="C13" s="491" t="s">
        <v>256</v>
      </c>
      <c r="D13" s="491" t="s">
        <v>821</v>
      </c>
      <c r="E13" s="491" t="s">
        <v>470</v>
      </c>
      <c r="H13" s="494">
        <v>61853.146260260481</v>
      </c>
      <c r="K13">
        <v>257664504.43825132</v>
      </c>
      <c r="L13">
        <v>17617088.174629521</v>
      </c>
      <c r="M13">
        <v>24083986.753755182</v>
      </c>
      <c r="N13">
        <v>24693570.762322653</v>
      </c>
      <c r="O13">
        <v>25318583.805430818</v>
      </c>
      <c r="P13">
        <v>25959416.403669968</v>
      </c>
      <c r="Q13">
        <v>26616468.962003324</v>
      </c>
      <c r="R13">
        <v>27290152.019948032</v>
      </c>
      <c r="S13">
        <v>27980886.508088443</v>
      </c>
      <c r="T13">
        <v>28689104.011081923</v>
      </c>
      <c r="U13">
        <v>29415247.037321452</v>
      </c>
    </row>
    <row r="14" spans="1:21">
      <c r="A14" s="501" t="s">
        <v>1027</v>
      </c>
      <c r="B14" s="491" t="s">
        <v>288</v>
      </c>
      <c r="C14" s="491" t="s">
        <v>256</v>
      </c>
      <c r="D14" s="491" t="s">
        <v>821</v>
      </c>
      <c r="E14" s="491" t="s">
        <v>470</v>
      </c>
      <c r="H14" s="494">
        <v>4020.4545069169312</v>
      </c>
      <c r="K14">
        <v>1035579186.5301404</v>
      </c>
      <c r="L14">
        <v>70804823.818038523</v>
      </c>
      <c r="M14">
        <v>96795930.294052169</v>
      </c>
      <c r="N14">
        <v>99245908.854701594</v>
      </c>
      <c r="O14">
        <v>101757898.23470487</v>
      </c>
      <c r="P14">
        <v>104333467.97502784</v>
      </c>
      <c r="Q14">
        <v>106974227.34291153</v>
      </c>
      <c r="R14">
        <v>109681826.33737344</v>
      </c>
      <c r="S14">
        <v>112457956.72016035</v>
      </c>
      <c r="T14">
        <v>115304353.07279472</v>
      </c>
      <c r="U14">
        <v>118222793.88037546</v>
      </c>
    </row>
    <row r="15" spans="1:21">
      <c r="A15" s="501" t="s">
        <v>1028</v>
      </c>
      <c r="B15" s="491" t="s">
        <v>288</v>
      </c>
      <c r="C15" s="491" t="s">
        <v>256</v>
      </c>
      <c r="D15" s="491" t="s">
        <v>821</v>
      </c>
      <c r="E15" s="491" t="s">
        <v>470</v>
      </c>
      <c r="H15" s="494">
        <v>154632.86565065122</v>
      </c>
      <c r="K15">
        <v>441710579.0370025</v>
      </c>
      <c r="L15">
        <v>30200722.585079163</v>
      </c>
      <c r="M15">
        <v>41286834.435008876</v>
      </c>
      <c r="N15">
        <v>42331835.592553146</v>
      </c>
      <c r="O15">
        <v>43403286.523595728</v>
      </c>
      <c r="P15">
        <v>44501856.692005694</v>
      </c>
      <c r="Q15">
        <v>45628232.506291442</v>
      </c>
      <c r="R15">
        <v>46783117.748482376</v>
      </c>
      <c r="S15">
        <v>47967234.013865955</v>
      </c>
      <c r="T15">
        <v>49181321.161854751</v>
      </c>
      <c r="U15">
        <v>50426137.778265394</v>
      </c>
    </row>
    <row r="16" spans="1:21">
      <c r="A16" s="501" t="s">
        <v>1029</v>
      </c>
      <c r="B16" s="491" t="s">
        <v>288</v>
      </c>
      <c r="C16" s="491" t="s">
        <v>256</v>
      </c>
      <c r="D16" s="491" t="s">
        <v>821</v>
      </c>
      <c r="E16" s="513" t="s">
        <v>471</v>
      </c>
      <c r="H16" s="494">
        <v>2526585.9490557262</v>
      </c>
      <c r="K16">
        <v>441710579.0370025</v>
      </c>
      <c r="L16">
        <v>30200722.585079163</v>
      </c>
      <c r="M16">
        <v>41286834.435008876</v>
      </c>
      <c r="N16">
        <v>42331835.592553146</v>
      </c>
      <c r="O16">
        <v>43403286.523595728</v>
      </c>
      <c r="P16">
        <v>44501856.692005694</v>
      </c>
      <c r="Q16">
        <v>45628232.506291442</v>
      </c>
      <c r="R16">
        <v>46783117.748482376</v>
      </c>
      <c r="S16">
        <v>47967234.013865955</v>
      </c>
      <c r="T16">
        <v>49181321.161854751</v>
      </c>
      <c r="U16">
        <v>50426137.778265394</v>
      </c>
    </row>
    <row r="17" spans="1:21">
      <c r="A17" s="501" t="s">
        <v>1030</v>
      </c>
      <c r="B17" s="491" t="s">
        <v>288</v>
      </c>
      <c r="C17" s="491" t="s">
        <v>256</v>
      </c>
      <c r="D17" s="491" t="s">
        <v>821</v>
      </c>
      <c r="E17" s="513" t="s">
        <v>471</v>
      </c>
      <c r="H17" s="494">
        <v>56398.570110786743</v>
      </c>
    </row>
    <row r="18" spans="1:21">
      <c r="A18" s="501" t="s">
        <v>1031</v>
      </c>
      <c r="B18" s="491" t="s">
        <v>288</v>
      </c>
      <c r="C18" s="491" t="s">
        <v>256</v>
      </c>
      <c r="D18" s="491" t="s">
        <v>821</v>
      </c>
      <c r="E18" s="513" t="s">
        <v>471</v>
      </c>
      <c r="H18" s="494">
        <v>256357.13686721245</v>
      </c>
      <c r="K18">
        <f>K2*$K$1</f>
        <v>0</v>
      </c>
      <c r="L18">
        <f t="shared" ref="L18:U18" si="0">L2*$K$1</f>
        <v>0</v>
      </c>
      <c r="M18">
        <f t="shared" si="0"/>
        <v>0</v>
      </c>
      <c r="N18">
        <f t="shared" si="0"/>
        <v>0</v>
      </c>
      <c r="O18">
        <f t="shared" si="0"/>
        <v>0</v>
      </c>
      <c r="P18">
        <f t="shared" si="0"/>
        <v>0</v>
      </c>
      <c r="Q18">
        <f t="shared" si="0"/>
        <v>0</v>
      </c>
      <c r="R18">
        <f t="shared" si="0"/>
        <v>0</v>
      </c>
      <c r="S18">
        <f t="shared" si="0"/>
        <v>0</v>
      </c>
      <c r="T18">
        <f t="shared" si="0"/>
        <v>0</v>
      </c>
      <c r="U18">
        <f t="shared" si="0"/>
        <v>0</v>
      </c>
    </row>
    <row r="19" spans="1:21">
      <c r="A19" s="501" t="s">
        <v>1032</v>
      </c>
      <c r="B19" s="491" t="s">
        <v>288</v>
      </c>
      <c r="C19" s="491" t="s">
        <v>256</v>
      </c>
      <c r="D19" s="491" t="s">
        <v>821</v>
      </c>
      <c r="E19" s="513" t="s">
        <v>471</v>
      </c>
      <c r="H19" s="494">
        <v>358899.99161409744</v>
      </c>
      <c r="K19">
        <f t="shared" ref="K19:U19" si="1">K3*$K$1</f>
        <v>5182695922.8454523</v>
      </c>
      <c r="L19">
        <f t="shared" si="1"/>
        <v>354352304.96384567</v>
      </c>
      <c r="M19">
        <f t="shared" si="1"/>
        <v>484428308.14697605</v>
      </c>
      <c r="N19">
        <f t="shared" si="1"/>
        <v>496689556.7916891</v>
      </c>
      <c r="O19">
        <f t="shared" si="1"/>
        <v>509261146.95815009</v>
      </c>
      <c r="P19">
        <f t="shared" si="1"/>
        <v>522150933.62613201</v>
      </c>
      <c r="Q19">
        <f t="shared" si="1"/>
        <v>535366970.59091932</v>
      </c>
      <c r="R19">
        <f t="shared" si="1"/>
        <v>548917515.49547303</v>
      </c>
      <c r="S19">
        <f t="shared" si="1"/>
        <v>562811034.98997557</v>
      </c>
      <c r="T19">
        <f t="shared" si="1"/>
        <v>577056210.02195835</v>
      </c>
      <c r="U19">
        <f t="shared" si="1"/>
        <v>591661941.26033354</v>
      </c>
    </row>
    <row r="20" spans="1:21">
      <c r="A20" s="501" t="s">
        <v>1033</v>
      </c>
      <c r="B20" s="491" t="s">
        <v>288</v>
      </c>
      <c r="C20" s="491" t="s">
        <v>256</v>
      </c>
      <c r="D20" s="491" t="s">
        <v>821</v>
      </c>
      <c r="E20" s="513" t="s">
        <v>471</v>
      </c>
      <c r="H20" s="494">
        <v>51271.427373442493</v>
      </c>
      <c r="K20">
        <f t="shared" ref="K20:U20" si="2">K4*$K$1</f>
        <v>1036539184.569093</v>
      </c>
      <c r="L20">
        <f t="shared" si="2"/>
        <v>70870460.992769137</v>
      </c>
      <c r="M20">
        <f t="shared" si="2"/>
        <v>96885661.629395261</v>
      </c>
      <c r="N20">
        <f t="shared" si="2"/>
        <v>99337911.358338118</v>
      </c>
      <c r="O20">
        <f t="shared" si="2"/>
        <v>101852229.39163026</v>
      </c>
      <c r="P20">
        <f t="shared" si="2"/>
        <v>104430186.72522676</v>
      </c>
      <c r="Q20">
        <f t="shared" si="2"/>
        <v>107073394.11818418</v>
      </c>
      <c r="R20">
        <f t="shared" si="2"/>
        <v>109783503.09909494</v>
      </c>
      <c r="S20">
        <f t="shared" si="2"/>
        <v>112562206.99799542</v>
      </c>
      <c r="T20">
        <f t="shared" si="2"/>
        <v>115411242.00439197</v>
      </c>
      <c r="U20">
        <f t="shared" si="2"/>
        <v>118332388.25206706</v>
      </c>
    </row>
    <row r="21" spans="1:21">
      <c r="A21" s="501" t="s">
        <v>1034</v>
      </c>
      <c r="B21" s="491" t="s">
        <v>288</v>
      </c>
      <c r="C21" s="491" t="s">
        <v>256</v>
      </c>
      <c r="D21" s="491" t="s">
        <v>821</v>
      </c>
      <c r="E21" s="498" t="s">
        <v>826</v>
      </c>
      <c r="H21" s="494">
        <v>3332.6427792737618</v>
      </c>
      <c r="K21">
        <f t="shared" ref="K21:U21" si="3">K5*$K$1</f>
        <v>3800643676.7533345</v>
      </c>
      <c r="L21">
        <f t="shared" si="3"/>
        <v>259858356.97348684</v>
      </c>
      <c r="M21">
        <f t="shared" si="3"/>
        <v>355247425.97444916</v>
      </c>
      <c r="N21">
        <f t="shared" si="3"/>
        <v>364239008.31390554</v>
      </c>
      <c r="O21">
        <f t="shared" si="3"/>
        <v>373458174.43597686</v>
      </c>
      <c r="P21">
        <f t="shared" si="3"/>
        <v>382910684.65916389</v>
      </c>
      <c r="Q21">
        <f t="shared" si="3"/>
        <v>392602445.10000783</v>
      </c>
      <c r="R21">
        <f t="shared" si="3"/>
        <v>402539511.36334729</v>
      </c>
      <c r="S21">
        <f t="shared" si="3"/>
        <v>412728092.32598227</v>
      </c>
      <c r="T21">
        <f t="shared" si="3"/>
        <v>423174554.01610309</v>
      </c>
      <c r="U21">
        <f t="shared" si="3"/>
        <v>433885423.59091139</v>
      </c>
    </row>
    <row r="22" spans="1:21">
      <c r="A22" s="501" t="s">
        <v>1035</v>
      </c>
      <c r="B22" s="491" t="s">
        <v>288</v>
      </c>
      <c r="C22" s="491" t="s">
        <v>256</v>
      </c>
      <c r="D22" s="491" t="s">
        <v>821</v>
      </c>
      <c r="E22" s="498" t="s">
        <v>826</v>
      </c>
      <c r="H22" s="494">
        <v>128178.56843360623</v>
      </c>
      <c r="K22">
        <f t="shared" ref="K22:U22" si="4">K6*$K$1</f>
        <v>8292313476.5527382</v>
      </c>
      <c r="L22">
        <f t="shared" si="4"/>
        <v>566963687.9421531</v>
      </c>
      <c r="M22">
        <f t="shared" si="4"/>
        <v>775085293.03516209</v>
      </c>
      <c r="N22">
        <f t="shared" si="4"/>
        <v>794703290.86670399</v>
      </c>
      <c r="O22">
        <f t="shared" si="4"/>
        <v>814817835.13304186</v>
      </c>
      <c r="P22">
        <f t="shared" si="4"/>
        <v>835441493.80181301</v>
      </c>
      <c r="Q22">
        <f t="shared" si="4"/>
        <v>856587152.94547248</v>
      </c>
      <c r="R22">
        <f t="shared" si="4"/>
        <v>878268024.79275918</v>
      </c>
      <c r="S22">
        <f t="shared" si="4"/>
        <v>900497655.98396242</v>
      </c>
      <c r="T22">
        <f t="shared" si="4"/>
        <v>923289936.03513527</v>
      </c>
      <c r="U22">
        <f t="shared" si="4"/>
        <v>946659106.01653552</v>
      </c>
    </row>
    <row r="23" spans="1:21">
      <c r="A23" s="501" t="s">
        <v>1036</v>
      </c>
      <c r="B23" s="491" t="s">
        <v>288</v>
      </c>
      <c r="C23" s="491" t="s">
        <v>256</v>
      </c>
      <c r="D23" s="498" t="s">
        <v>472</v>
      </c>
      <c r="E23" s="491">
        <v>0</v>
      </c>
      <c r="H23" s="431">
        <v>13000000</v>
      </c>
      <c r="K23">
        <f t="shared" ref="K23:U23" si="5">K7*$K$1</f>
        <v>0</v>
      </c>
      <c r="L23">
        <f t="shared" si="5"/>
        <v>0</v>
      </c>
      <c r="M23">
        <f t="shared" si="5"/>
        <v>0</v>
      </c>
      <c r="N23">
        <f t="shared" si="5"/>
        <v>0</v>
      </c>
      <c r="O23">
        <f t="shared" si="5"/>
        <v>0</v>
      </c>
      <c r="P23">
        <f t="shared" si="5"/>
        <v>0</v>
      </c>
      <c r="Q23">
        <f t="shared" si="5"/>
        <v>0</v>
      </c>
      <c r="R23">
        <f t="shared" si="5"/>
        <v>0</v>
      </c>
      <c r="S23">
        <f t="shared" si="5"/>
        <v>0</v>
      </c>
      <c r="T23">
        <f t="shared" si="5"/>
        <v>0</v>
      </c>
      <c r="U23">
        <f t="shared" si="5"/>
        <v>0</v>
      </c>
    </row>
    <row r="24" spans="1:21">
      <c r="A24" s="501" t="s">
        <v>1037</v>
      </c>
      <c r="B24" s="491" t="s">
        <v>288</v>
      </c>
      <c r="C24" s="491" t="s">
        <v>256</v>
      </c>
      <c r="D24" s="498" t="s">
        <v>473</v>
      </c>
      <c r="E24" s="491">
        <v>0</v>
      </c>
      <c r="H24" s="494">
        <v>4281102.4155143145</v>
      </c>
      <c r="K24">
        <f t="shared" ref="K24:U24" si="6">K8*$K$1</f>
        <v>0</v>
      </c>
      <c r="L24">
        <f t="shared" si="6"/>
        <v>0</v>
      </c>
      <c r="M24">
        <f t="shared" si="6"/>
        <v>0</v>
      </c>
      <c r="N24">
        <f t="shared" si="6"/>
        <v>0</v>
      </c>
      <c r="O24">
        <f t="shared" si="6"/>
        <v>0</v>
      </c>
      <c r="P24">
        <f t="shared" si="6"/>
        <v>0</v>
      </c>
      <c r="Q24">
        <f t="shared" si="6"/>
        <v>0</v>
      </c>
      <c r="R24">
        <f t="shared" si="6"/>
        <v>0</v>
      </c>
      <c r="S24">
        <f t="shared" si="6"/>
        <v>0</v>
      </c>
      <c r="T24">
        <f t="shared" si="6"/>
        <v>0</v>
      </c>
      <c r="U24">
        <f t="shared" si="6"/>
        <v>0</v>
      </c>
    </row>
    <row r="25" spans="1:21">
      <c r="A25" s="501" t="s">
        <v>1038</v>
      </c>
      <c r="B25" s="491" t="s">
        <v>288</v>
      </c>
      <c r="C25" s="491" t="s">
        <v>256</v>
      </c>
      <c r="D25" s="498" t="s">
        <v>474</v>
      </c>
      <c r="E25" s="498" t="s">
        <v>824</v>
      </c>
      <c r="H25" s="494">
        <v>95562.969002926722</v>
      </c>
      <c r="K25">
        <f t="shared" ref="K25:U25" si="7">K9*$K$1</f>
        <v>429838939.07993156</v>
      </c>
      <c r="L25">
        <f t="shared" si="7"/>
        <v>29389032.483032938</v>
      </c>
      <c r="M25">
        <f t="shared" si="7"/>
        <v>40177188.30779089</v>
      </c>
      <c r="N25">
        <f t="shared" si="7"/>
        <v>41194103.478524216</v>
      </c>
      <c r="O25">
        <f t="shared" si="7"/>
        <v>42236757.545084313</v>
      </c>
      <c r="P25">
        <f t="shared" si="7"/>
        <v>43305801.978486136</v>
      </c>
      <c r="Q25">
        <f t="shared" si="7"/>
        <v>44401904.738971122</v>
      </c>
      <c r="R25">
        <f t="shared" si="7"/>
        <v>45525750.693362072</v>
      </c>
      <c r="S25">
        <f t="shared" si="7"/>
        <v>46678042.042981595</v>
      </c>
      <c r="T25">
        <f t="shared" si="7"/>
        <v>47859498.762401409</v>
      </c>
      <c r="U25">
        <f t="shared" si="7"/>
        <v>49070859.049296863</v>
      </c>
    </row>
    <row r="26" spans="1:21">
      <c r="A26" s="501" t="s">
        <v>1039</v>
      </c>
      <c r="B26" s="491" t="s">
        <v>288</v>
      </c>
      <c r="C26" s="491" t="s">
        <v>256</v>
      </c>
      <c r="D26" s="498" t="s">
        <v>474</v>
      </c>
      <c r="E26" s="491" t="s">
        <v>247</v>
      </c>
      <c r="H26" s="494">
        <v>434377.13183148508</v>
      </c>
      <c r="K26">
        <f t="shared" ref="K26:U26" si="8">K10*$K$1</f>
        <v>429838939.07993156</v>
      </c>
      <c r="L26">
        <f t="shared" si="8"/>
        <v>29389032.483032938</v>
      </c>
      <c r="M26">
        <f t="shared" si="8"/>
        <v>40177188.30779089</v>
      </c>
      <c r="N26">
        <f t="shared" si="8"/>
        <v>41194103.478524216</v>
      </c>
      <c r="O26">
        <f t="shared" si="8"/>
        <v>42236757.545084313</v>
      </c>
      <c r="P26">
        <f t="shared" si="8"/>
        <v>43305801.978486136</v>
      </c>
      <c r="Q26">
        <f t="shared" si="8"/>
        <v>44401904.738971122</v>
      </c>
      <c r="R26">
        <f t="shared" si="8"/>
        <v>45525750.693362072</v>
      </c>
      <c r="S26">
        <f t="shared" si="8"/>
        <v>46678042.042981595</v>
      </c>
      <c r="T26">
        <f t="shared" si="8"/>
        <v>47859498.762401409</v>
      </c>
      <c r="U26">
        <f t="shared" si="8"/>
        <v>49070859.049296863</v>
      </c>
    </row>
    <row r="27" spans="1:21">
      <c r="A27" s="501" t="s">
        <v>1040</v>
      </c>
      <c r="B27" s="491" t="s">
        <v>288</v>
      </c>
      <c r="C27" s="491" t="s">
        <v>256</v>
      </c>
      <c r="D27" s="498" t="s">
        <v>474</v>
      </c>
      <c r="E27" s="491" t="s">
        <v>247</v>
      </c>
      <c r="H27" s="494">
        <v>608127.98456407909</v>
      </c>
      <c r="K27">
        <f t="shared" ref="K27:U27" si="9">K11*$K$1</f>
        <v>859677878.15986311</v>
      </c>
      <c r="L27">
        <f t="shared" si="9"/>
        <v>58778064.966065876</v>
      </c>
      <c r="M27">
        <f t="shared" si="9"/>
        <v>80354376.615581781</v>
      </c>
      <c r="N27">
        <f t="shared" si="9"/>
        <v>82388206.957048431</v>
      </c>
      <c r="O27">
        <f t="shared" si="9"/>
        <v>84473515.090168625</v>
      </c>
      <c r="P27">
        <f t="shared" si="9"/>
        <v>86611603.956972271</v>
      </c>
      <c r="Q27">
        <f t="shared" si="9"/>
        <v>88803809.477942243</v>
      </c>
      <c r="R27">
        <f t="shared" si="9"/>
        <v>91051501.386724144</v>
      </c>
      <c r="S27">
        <f t="shared" si="9"/>
        <v>93356084.08596319</v>
      </c>
      <c r="T27">
        <f t="shared" si="9"/>
        <v>95718997.524802819</v>
      </c>
      <c r="U27">
        <f t="shared" si="9"/>
        <v>98141718.098593727</v>
      </c>
    </row>
    <row r="28" spans="1:21">
      <c r="A28" s="501" t="s">
        <v>1041</v>
      </c>
      <c r="B28" s="491" t="s">
        <v>288</v>
      </c>
      <c r="C28" s="491" t="s">
        <v>256</v>
      </c>
      <c r="D28" s="498" t="s">
        <v>474</v>
      </c>
      <c r="E28" s="491" t="s">
        <v>247</v>
      </c>
      <c r="H28" s="494">
        <v>86875.426366297019</v>
      </c>
      <c r="K28">
        <f t="shared" ref="K28:U32" si="10">K12*$K$1</f>
        <v>1289516817.2397947</v>
      </c>
      <c r="L28">
        <f t="shared" si="10"/>
        <v>88167097.44909884</v>
      </c>
      <c r="M28">
        <f t="shared" si="10"/>
        <v>120531564.92337267</v>
      </c>
      <c r="N28">
        <f t="shared" si="10"/>
        <v>123582310.43557262</v>
      </c>
      <c r="O28">
        <f t="shared" si="10"/>
        <v>126710272.63525297</v>
      </c>
      <c r="P28">
        <f t="shared" si="10"/>
        <v>129917405.93545839</v>
      </c>
      <c r="Q28">
        <f t="shared" si="10"/>
        <v>133205714.21691334</v>
      </c>
      <c r="R28">
        <f t="shared" si="10"/>
        <v>136577252.08008629</v>
      </c>
      <c r="S28">
        <f t="shared" si="10"/>
        <v>140034126.12894478</v>
      </c>
      <c r="T28">
        <f t="shared" si="10"/>
        <v>143578496.28720424</v>
      </c>
      <c r="U28">
        <f t="shared" si="10"/>
        <v>147212577.14789054</v>
      </c>
    </row>
    <row r="29" spans="1:21">
      <c r="A29" s="501" t="s">
        <v>1042</v>
      </c>
      <c r="B29" s="491" t="s">
        <v>288</v>
      </c>
      <c r="C29" s="491" t="s">
        <v>256</v>
      </c>
      <c r="D29" s="498" t="s">
        <v>474</v>
      </c>
      <c r="E29" s="491" t="s">
        <v>247</v>
      </c>
      <c r="H29" s="494">
        <v>5646.9027138093061</v>
      </c>
      <c r="K29">
        <f>K13*$K$1</f>
        <v>250739381.12995991</v>
      </c>
      <c r="L29">
        <f t="shared" si="10"/>
        <v>17143602.281769224</v>
      </c>
      <c r="M29">
        <f t="shared" si="10"/>
        <v>23436693.179544687</v>
      </c>
      <c r="N29">
        <f t="shared" si="10"/>
        <v>24029893.695805777</v>
      </c>
      <c r="O29">
        <f t="shared" si="10"/>
        <v>24638108.567965828</v>
      </c>
      <c r="P29">
        <f t="shared" si="10"/>
        <v>25261717.820783559</v>
      </c>
      <c r="Q29">
        <f t="shared" si="10"/>
        <v>25901111.097733136</v>
      </c>
      <c r="R29">
        <f t="shared" si="10"/>
        <v>26556687.90446119</v>
      </c>
      <c r="S29">
        <f t="shared" si="10"/>
        <v>27228857.858405899</v>
      </c>
      <c r="T29">
        <f t="shared" si="10"/>
        <v>27918040.944734141</v>
      </c>
      <c r="U29">
        <f t="shared" si="10"/>
        <v>28624667.778756477</v>
      </c>
    </row>
    <row r="30" spans="1:21">
      <c r="A30" s="501" t="s">
        <v>1043</v>
      </c>
      <c r="B30" s="491" t="s">
        <v>288</v>
      </c>
      <c r="C30" s="491" t="s">
        <v>256</v>
      </c>
      <c r="D30" s="498" t="s">
        <v>474</v>
      </c>
      <c r="E30" s="491" t="s">
        <v>247</v>
      </c>
      <c r="H30" s="494">
        <v>217188.56591574254</v>
      </c>
      <c r="K30">
        <f>K14*$K$1</f>
        <v>1007746429.4421731</v>
      </c>
      <c r="L30">
        <f t="shared" si="10"/>
        <v>68901837.076303318</v>
      </c>
      <c r="M30">
        <f t="shared" si="10"/>
        <v>94194393.250800908</v>
      </c>
      <c r="N30">
        <f t="shared" si="10"/>
        <v>96578524.931717485</v>
      </c>
      <c r="O30">
        <f t="shared" si="10"/>
        <v>99023000.797418252</v>
      </c>
      <c r="P30">
        <f t="shared" si="10"/>
        <v>101529348.20508146</v>
      </c>
      <c r="Q30">
        <f t="shared" si="10"/>
        <v>104099133.17045677</v>
      </c>
      <c r="R30">
        <f t="shared" si="10"/>
        <v>106733961.34634228</v>
      </c>
      <c r="S30">
        <f t="shared" si="10"/>
        <v>109435479.02582879</v>
      </c>
      <c r="T30">
        <f t="shared" si="10"/>
        <v>112205374.17093658</v>
      </c>
      <c r="U30">
        <f t="shared" si="10"/>
        <v>115045377.46728733</v>
      </c>
    </row>
    <row r="31" spans="1:21">
      <c r="A31" s="501" t="s">
        <v>1044</v>
      </c>
      <c r="B31" s="491" t="s">
        <v>288</v>
      </c>
      <c r="C31" s="491" t="s">
        <v>256</v>
      </c>
      <c r="D31" s="498" t="s">
        <v>474</v>
      </c>
      <c r="E31" s="491" t="s">
        <v>270</v>
      </c>
      <c r="H31" s="494">
        <v>3845969.0913249454</v>
      </c>
      <c r="K31">
        <f>K15*$K$1</f>
        <v>429838939.07993156</v>
      </c>
      <c r="L31">
        <f t="shared" si="10"/>
        <v>29389032.483032938</v>
      </c>
      <c r="M31">
        <f t="shared" si="10"/>
        <v>40177188.30779089</v>
      </c>
      <c r="N31">
        <f t="shared" si="10"/>
        <v>41194103.478524216</v>
      </c>
      <c r="O31">
        <f t="shared" si="10"/>
        <v>42236757.545084313</v>
      </c>
      <c r="P31">
        <f t="shared" si="10"/>
        <v>43305801.978486136</v>
      </c>
      <c r="Q31">
        <f t="shared" si="10"/>
        <v>44401904.738971122</v>
      </c>
      <c r="R31">
        <f t="shared" si="10"/>
        <v>45525750.693362072</v>
      </c>
      <c r="S31">
        <f t="shared" si="10"/>
        <v>46678042.042981595</v>
      </c>
      <c r="T31">
        <f t="shared" si="10"/>
        <v>47859498.762401409</v>
      </c>
      <c r="U31">
        <f t="shared" si="10"/>
        <v>49070859.049296863</v>
      </c>
    </row>
    <row r="32" spans="1:21">
      <c r="A32" s="501" t="s">
        <v>1045</v>
      </c>
      <c r="B32" s="491" t="s">
        <v>288</v>
      </c>
      <c r="C32" s="491" t="s">
        <v>256</v>
      </c>
      <c r="D32" s="498" t="s">
        <v>474</v>
      </c>
      <c r="E32" s="491" t="s">
        <v>270</v>
      </c>
      <c r="H32" s="494">
        <v>3211253.2804857981</v>
      </c>
      <c r="K32">
        <f>K16*$K$1</f>
        <v>429838939.07993156</v>
      </c>
      <c r="L32">
        <f t="shared" si="10"/>
        <v>29389032.483032938</v>
      </c>
      <c r="M32">
        <f t="shared" si="10"/>
        <v>40177188.30779089</v>
      </c>
      <c r="N32">
        <f t="shared" si="10"/>
        <v>41194103.478524216</v>
      </c>
      <c r="O32">
        <f t="shared" si="10"/>
        <v>42236757.545084313</v>
      </c>
      <c r="P32">
        <f t="shared" si="10"/>
        <v>43305801.978486136</v>
      </c>
      <c r="Q32">
        <f t="shared" si="10"/>
        <v>44401904.738971122</v>
      </c>
      <c r="R32">
        <f t="shared" si="10"/>
        <v>45525750.693362072</v>
      </c>
      <c r="S32">
        <f t="shared" si="10"/>
        <v>46678042.042981595</v>
      </c>
      <c r="T32">
        <f t="shared" si="10"/>
        <v>47859498.762401409</v>
      </c>
      <c r="U32">
        <f t="shared" si="10"/>
        <v>49070859.049296863</v>
      </c>
    </row>
    <row r="33" spans="1:21">
      <c r="A33" s="501" t="s">
        <v>1046</v>
      </c>
      <c r="B33" s="491" t="s">
        <v>288</v>
      </c>
      <c r="C33" s="491" t="s">
        <v>256</v>
      </c>
      <c r="D33" s="498" t="s">
        <v>474</v>
      </c>
      <c r="E33" s="491" t="s">
        <v>270</v>
      </c>
      <c r="H33" s="494">
        <v>5021122.9005821776</v>
      </c>
      <c r="K33">
        <f>K17*$K$1</f>
        <v>0</v>
      </c>
      <c r="L33">
        <f t="shared" ref="L33:U33" si="11">L17*$K$1</f>
        <v>0</v>
      </c>
      <c r="M33">
        <f t="shared" si="11"/>
        <v>0</v>
      </c>
      <c r="N33">
        <f t="shared" si="11"/>
        <v>0</v>
      </c>
      <c r="O33">
        <f t="shared" si="11"/>
        <v>0</v>
      </c>
      <c r="P33">
        <f t="shared" si="11"/>
        <v>0</v>
      </c>
      <c r="Q33">
        <f t="shared" si="11"/>
        <v>0</v>
      </c>
      <c r="R33">
        <f t="shared" si="11"/>
        <v>0</v>
      </c>
      <c r="S33">
        <f t="shared" si="11"/>
        <v>0</v>
      </c>
      <c r="T33">
        <f t="shared" si="11"/>
        <v>0</v>
      </c>
      <c r="U33">
        <f t="shared" si="11"/>
        <v>0</v>
      </c>
    </row>
    <row r="34" spans="1:21">
      <c r="A34" s="501" t="s">
        <v>1047</v>
      </c>
      <c r="B34" s="491" t="s">
        <v>288</v>
      </c>
      <c r="C34" s="491" t="s">
        <v>256</v>
      </c>
      <c r="D34" s="491" t="s">
        <v>338</v>
      </c>
      <c r="E34" s="491">
        <v>0</v>
      </c>
      <c r="K34">
        <f t="shared" ref="K34:U34" si="12">K18*$K$1</f>
        <v>0</v>
      </c>
      <c r="L34">
        <f t="shared" si="12"/>
        <v>0</v>
      </c>
      <c r="M34">
        <f t="shared" si="12"/>
        <v>0</v>
      </c>
      <c r="N34">
        <f t="shared" si="12"/>
        <v>0</v>
      </c>
      <c r="O34">
        <f t="shared" si="12"/>
        <v>0</v>
      </c>
      <c r="P34">
        <f t="shared" si="12"/>
        <v>0</v>
      </c>
      <c r="Q34">
        <f t="shared" si="12"/>
        <v>0</v>
      </c>
      <c r="R34">
        <f t="shared" si="12"/>
        <v>0</v>
      </c>
      <c r="S34">
        <f t="shared" si="12"/>
        <v>0</v>
      </c>
      <c r="T34">
        <f t="shared" si="12"/>
        <v>0</v>
      </c>
      <c r="U34">
        <f t="shared" si="12"/>
        <v>0</v>
      </c>
    </row>
    <row r="35" spans="1:21">
      <c r="A35" s="501" t="s">
        <v>1048</v>
      </c>
      <c r="B35" s="491" t="s">
        <v>288</v>
      </c>
      <c r="C35" s="491" t="s">
        <v>256</v>
      </c>
      <c r="D35" s="491" t="s">
        <v>339</v>
      </c>
      <c r="E35" s="491" t="s">
        <v>340</v>
      </c>
    </row>
    <row r="36" spans="1:21" ht="18" thickBot="1">
      <c r="A36" s="502" t="s">
        <v>1049</v>
      </c>
      <c r="B36" s="503" t="s">
        <v>288</v>
      </c>
      <c r="C36" s="503" t="s">
        <v>256</v>
      </c>
      <c r="D36" s="503" t="s">
        <v>339</v>
      </c>
      <c r="E36" s="503" t="s">
        <v>341</v>
      </c>
    </row>
  </sheetData>
  <phoneticPr fontId="1" type="noConversion"/>
  <conditionalFormatting sqref="E16 B1:E14 C23:C36 C16:D22 B15:B36 A1:A36">
    <cfRule type="expression" dxfId="32" priority="11">
      <formula>OR($D1="MA",$D1="운영")</formula>
    </cfRule>
  </conditionalFormatting>
  <conditionalFormatting sqref="E18">
    <cfRule type="expression" dxfId="31" priority="10">
      <formula>OR($D17="MA",$D17="운영")</formula>
    </cfRule>
  </conditionalFormatting>
  <conditionalFormatting sqref="E22">
    <cfRule type="expression" dxfId="30" priority="9">
      <formula>OR($D20="MA",$D20="운영")</formula>
    </cfRule>
  </conditionalFormatting>
  <conditionalFormatting sqref="E21">
    <cfRule type="expression" dxfId="29" priority="12">
      <formula>OR($D18="MA",$D18="운영")</formula>
    </cfRule>
  </conditionalFormatting>
  <conditionalFormatting sqref="E17">
    <cfRule type="expression" dxfId="28" priority="8">
      <formula>OR($D17="MA",$D17="운영")</formula>
    </cfRule>
  </conditionalFormatting>
  <conditionalFormatting sqref="E19">
    <cfRule type="expression" dxfId="27" priority="7">
      <formula>OR($D18="MA",$D18="운영")</formula>
    </cfRule>
  </conditionalFormatting>
  <conditionalFormatting sqref="E20">
    <cfRule type="expression" dxfId="26" priority="6">
      <formula>OR($D19="MA",$D19="운영")</formula>
    </cfRule>
  </conditionalFormatting>
  <conditionalFormatting sqref="E25">
    <cfRule type="expression" dxfId="25" priority="5">
      <formula>OR($D25="MA",$D25="운영")</formula>
    </cfRule>
  </conditionalFormatting>
  <conditionalFormatting sqref="D23:D33">
    <cfRule type="expression" dxfId="24" priority="4">
      <formula>OR($D23="MA",$D23="운영")</formula>
    </cfRule>
  </conditionalFormatting>
  <conditionalFormatting sqref="C15:E15">
    <cfRule type="expression" dxfId="23" priority="3">
      <formula>OR($D15="MA",$D15="운영")</formula>
    </cfRule>
  </conditionalFormatting>
  <conditionalFormatting sqref="H1:H22 H24:H33">
    <cfRule type="expression" dxfId="22" priority="2">
      <formula>OR($D1="MA",$D1="운영")</formula>
    </cfRule>
  </conditionalFormatting>
  <conditionalFormatting sqref="H23">
    <cfRule type="expression" dxfId="21" priority="1">
      <formula>OR($D23="MA",$D23="운영")</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3_Sheet">
    <tabColor theme="7" tint="-0.249977111117893"/>
  </sheetPr>
  <dimension ref="A3:BA44"/>
  <sheetViews>
    <sheetView showGridLines="0" topLeftCell="I1" zoomScale="85" zoomScaleNormal="85" workbookViewId="0">
      <selection activeCell="A5" sqref="A5:E43"/>
    </sheetView>
  </sheetViews>
  <sheetFormatPr defaultRowHeight="17.399999999999999"/>
  <cols>
    <col min="1" max="1" width="13" customWidth="1"/>
    <col min="5" max="5" width="15" bestFit="1" customWidth="1"/>
    <col min="7" max="7" width="10.3984375" bestFit="1" customWidth="1"/>
    <col min="34" max="35" width="10.3984375" customWidth="1"/>
    <col min="36" max="36" width="10.3984375" style="53" customWidth="1"/>
  </cols>
  <sheetData>
    <row r="3" spans="1:53" s="81" customFormat="1" ht="30" customHeight="1">
      <c r="A3" s="71"/>
      <c r="AJ3" s="522"/>
      <c r="AN3" s="82"/>
      <c r="AO3" s="82"/>
      <c r="AP3" s="82"/>
    </row>
    <row r="4" spans="1:53" ht="52.2">
      <c r="A4" s="7" t="s">
        <v>178</v>
      </c>
      <c r="B4" s="7" t="s">
        <v>1</v>
      </c>
      <c r="C4" s="7" t="s">
        <v>1418</v>
      </c>
      <c r="D4" s="7" t="s">
        <v>1419</v>
      </c>
      <c r="E4" s="7" t="s">
        <v>181</v>
      </c>
      <c r="F4" s="529" t="s">
        <v>1420</v>
      </c>
      <c r="G4" s="529" t="s">
        <v>184</v>
      </c>
      <c r="H4" s="529" t="s">
        <v>185</v>
      </c>
      <c r="I4" s="529" t="s">
        <v>186</v>
      </c>
      <c r="J4" s="529" t="s">
        <v>187</v>
      </c>
      <c r="K4" s="529" t="s">
        <v>188</v>
      </c>
      <c r="L4" s="529" t="s">
        <v>189</v>
      </c>
      <c r="M4" s="529" t="s">
        <v>190</v>
      </c>
      <c r="N4" s="529" t="s">
        <v>191</v>
      </c>
      <c r="O4" s="529" t="s">
        <v>192</v>
      </c>
      <c r="P4" s="529" t="s">
        <v>1421</v>
      </c>
      <c r="R4" s="6" t="s">
        <v>182</v>
      </c>
      <c r="T4" s="5" t="s">
        <v>178</v>
      </c>
      <c r="U4" s="5" t="s">
        <v>1</v>
      </c>
      <c r="V4" s="5" t="s">
        <v>179</v>
      </c>
      <c r="W4" s="5" t="s">
        <v>180</v>
      </c>
      <c r="X4" s="5" t="s">
        <v>181</v>
      </c>
      <c r="Y4" s="530" t="s">
        <v>1425</v>
      </c>
      <c r="Z4" s="530" t="s">
        <v>300</v>
      </c>
      <c r="AA4" s="530" t="s">
        <v>301</v>
      </c>
      <c r="AB4" s="530" t="s">
        <v>302</v>
      </c>
      <c r="AC4" s="530" t="s">
        <v>303</v>
      </c>
      <c r="AD4" s="530" t="s">
        <v>304</v>
      </c>
      <c r="AE4" s="530" t="s">
        <v>305</v>
      </c>
      <c r="AF4" s="530" t="s">
        <v>306</v>
      </c>
      <c r="AG4" s="530" t="s">
        <v>307</v>
      </c>
      <c r="AH4" s="530" t="s">
        <v>308</v>
      </c>
      <c r="AI4" s="530" t="s">
        <v>1240</v>
      </c>
      <c r="AJ4" s="523"/>
      <c r="AL4" s="5" t="s">
        <v>178</v>
      </c>
      <c r="AM4" s="5" t="s">
        <v>1</v>
      </c>
      <c r="AN4" s="5" t="s">
        <v>179</v>
      </c>
      <c r="AO4" s="5" t="s">
        <v>180</v>
      </c>
      <c r="AP4" s="5" t="s">
        <v>181</v>
      </c>
      <c r="AQ4" s="103" t="s">
        <v>309</v>
      </c>
      <c r="AR4" s="103" t="s">
        <v>310</v>
      </c>
      <c r="AS4" s="103" t="s">
        <v>311</v>
      </c>
      <c r="AT4" s="103" t="s">
        <v>312</v>
      </c>
      <c r="AU4" s="103" t="s">
        <v>313</v>
      </c>
      <c r="AV4" s="103" t="s">
        <v>314</v>
      </c>
      <c r="AW4" s="103" t="s">
        <v>315</v>
      </c>
      <c r="AX4" s="103" t="s">
        <v>316</v>
      </c>
      <c r="AY4" s="103" t="s">
        <v>317</v>
      </c>
      <c r="AZ4" s="103" t="s">
        <v>318</v>
      </c>
      <c r="BA4" s="103" t="s">
        <v>1241</v>
      </c>
    </row>
    <row r="5" spans="1:53" ht="19.95" customHeight="1">
      <c r="A5" s="8" t="s">
        <v>1422</v>
      </c>
      <c r="B5" s="8" t="s">
        <v>1423</v>
      </c>
      <c r="C5" s="105" t="s">
        <v>159</v>
      </c>
      <c r="D5" s="105" t="s">
        <v>1200</v>
      </c>
      <c r="E5" s="10" t="s">
        <v>1201</v>
      </c>
      <c r="F5" s="84">
        <v>3198644.5476890798</v>
      </c>
      <c r="G5" s="84">
        <f t="shared" ref="G5:O19" si="0">F5*$R$5</f>
        <v>3279604.6721609468</v>
      </c>
      <c r="H5" s="84">
        <f t="shared" si="0"/>
        <v>3362613.9589128913</v>
      </c>
      <c r="I5" s="84">
        <f t="shared" si="0"/>
        <v>3447724.2737995852</v>
      </c>
      <c r="J5" s="84">
        <f t="shared" si="0"/>
        <v>3534988.7954399008</v>
      </c>
      <c r="K5" s="84">
        <f t="shared" si="0"/>
        <v>3624462.0484439693</v>
      </c>
      <c r="L5" s="84">
        <f t="shared" si="0"/>
        <v>3716199.9374812432</v>
      </c>
      <c r="M5" s="84">
        <f t="shared" si="0"/>
        <v>3810259.782210846</v>
      </c>
      <c r="N5" s="84">
        <f t="shared" si="0"/>
        <v>3906700.3530960367</v>
      </c>
      <c r="O5" s="84">
        <f t="shared" si="0"/>
        <v>4005581.9081251658</v>
      </c>
      <c r="P5" s="84">
        <v>0</v>
      </c>
      <c r="R5">
        <v>1.02531076</v>
      </c>
      <c r="T5" s="8" t="s">
        <v>1238</v>
      </c>
      <c r="U5" s="8" t="s">
        <v>1185</v>
      </c>
      <c r="V5" s="105" t="s">
        <v>159</v>
      </c>
      <c r="W5" s="105" t="s">
        <v>1200</v>
      </c>
      <c r="X5" s="10" t="s">
        <v>1201</v>
      </c>
      <c r="Y5" s="11">
        <v>1</v>
      </c>
      <c r="Z5" s="11">
        <v>1</v>
      </c>
      <c r="AA5" s="11">
        <v>1</v>
      </c>
      <c r="AB5" s="11">
        <v>1</v>
      </c>
      <c r="AC5" s="11">
        <v>1</v>
      </c>
      <c r="AD5" s="11">
        <v>1</v>
      </c>
      <c r="AE5" s="11">
        <v>1</v>
      </c>
      <c r="AF5" s="11">
        <v>1</v>
      </c>
      <c r="AG5" s="11">
        <v>1</v>
      </c>
      <c r="AH5" s="11">
        <v>1</v>
      </c>
      <c r="AI5" s="11">
        <v>0</v>
      </c>
      <c r="AJ5" s="88"/>
      <c r="AL5" s="8" t="s">
        <v>1238</v>
      </c>
      <c r="AM5" s="8" t="s">
        <v>1185</v>
      </c>
      <c r="AN5" s="105" t="s">
        <v>159</v>
      </c>
      <c r="AO5" s="105" t="s">
        <v>1200</v>
      </c>
      <c r="AP5" s="10" t="s">
        <v>1201</v>
      </c>
      <c r="AQ5" s="11"/>
      <c r="AR5" s="11"/>
      <c r="AS5" s="11"/>
      <c r="AT5" s="11"/>
      <c r="AU5" s="11"/>
      <c r="AV5" s="11"/>
      <c r="AW5" s="11"/>
      <c r="AX5" s="11"/>
      <c r="AY5" s="11"/>
      <c r="AZ5" s="11"/>
      <c r="BA5" s="11"/>
    </row>
    <row r="6" spans="1:53" ht="19.95" customHeight="1">
      <c r="A6" s="8" t="s">
        <v>983</v>
      </c>
      <c r="B6" s="8" t="s">
        <v>1424</v>
      </c>
      <c r="C6" s="105" t="s">
        <v>159</v>
      </c>
      <c r="D6" s="105" t="s">
        <v>1200</v>
      </c>
      <c r="E6" s="10" t="s">
        <v>159</v>
      </c>
      <c r="F6" s="84">
        <v>2416906.6118346802</v>
      </c>
      <c r="G6" s="84">
        <f t="shared" si="0"/>
        <v>2478080.3550292407</v>
      </c>
      <c r="H6" s="84">
        <f t="shared" si="0"/>
        <v>2540802.4521561004</v>
      </c>
      <c r="I6" s="84">
        <f t="shared" si="0"/>
        <v>2605112.0932300352</v>
      </c>
      <c r="J6" s="84">
        <f t="shared" si="0"/>
        <v>2671049.4601948783</v>
      </c>
      <c r="K6" s="84">
        <f t="shared" si="0"/>
        <v>2738655.7520300006</v>
      </c>
      <c r="L6" s="84">
        <f t="shared" si="0"/>
        <v>2807973.2104922514</v>
      </c>
      <c r="M6" s="84">
        <f t="shared" si="0"/>
        <v>2879045.1465094504</v>
      </c>
      <c r="N6" s="84">
        <f t="shared" si="0"/>
        <v>2951915.9672419159</v>
      </c>
      <c r="O6" s="84">
        <f t="shared" si="0"/>
        <v>3026631.2038289439</v>
      </c>
      <c r="P6" s="84">
        <v>0</v>
      </c>
      <c r="T6" s="8" t="s">
        <v>983</v>
      </c>
      <c r="U6" s="8" t="s">
        <v>1185</v>
      </c>
      <c r="V6" s="105" t="s">
        <v>159</v>
      </c>
      <c r="W6" s="105" t="s">
        <v>1200</v>
      </c>
      <c r="X6" s="10" t="s">
        <v>159</v>
      </c>
      <c r="Y6" s="11">
        <v>5</v>
      </c>
      <c r="Z6" s="11">
        <v>5</v>
      </c>
      <c r="AA6" s="11">
        <v>5</v>
      </c>
      <c r="AB6" s="11">
        <v>5</v>
      </c>
      <c r="AC6" s="11">
        <v>5</v>
      </c>
      <c r="AD6" s="11">
        <v>5</v>
      </c>
      <c r="AE6" s="11">
        <v>5</v>
      </c>
      <c r="AF6" s="11">
        <v>5</v>
      </c>
      <c r="AG6" s="11">
        <v>5</v>
      </c>
      <c r="AH6" s="11">
        <v>5</v>
      </c>
      <c r="AI6" s="11">
        <v>0</v>
      </c>
      <c r="AJ6" s="88"/>
      <c r="AL6" s="8" t="s">
        <v>983</v>
      </c>
      <c r="AM6" s="8" t="s">
        <v>1185</v>
      </c>
      <c r="AN6" s="105" t="s">
        <v>159</v>
      </c>
      <c r="AO6" s="105" t="s">
        <v>1200</v>
      </c>
      <c r="AP6" s="10" t="s">
        <v>159</v>
      </c>
      <c r="AQ6" s="11"/>
      <c r="AR6" s="11"/>
      <c r="AS6" s="11"/>
      <c r="AT6" s="11"/>
      <c r="AU6" s="11"/>
      <c r="AV6" s="11"/>
      <c r="AW6" s="11"/>
      <c r="AX6" s="11"/>
      <c r="AY6" s="11"/>
      <c r="AZ6" s="11"/>
      <c r="BA6" s="11"/>
    </row>
    <row r="7" spans="1:53" ht="19.95" customHeight="1">
      <c r="A7" s="8" t="s">
        <v>984</v>
      </c>
      <c r="B7" s="8" t="s">
        <v>1424</v>
      </c>
      <c r="C7" s="105" t="s">
        <v>159</v>
      </c>
      <c r="D7" s="105" t="s">
        <v>1202</v>
      </c>
      <c r="E7" s="10" t="s">
        <v>159</v>
      </c>
      <c r="F7" s="84">
        <v>2416906.6118346802</v>
      </c>
      <c r="G7" s="84">
        <f t="shared" si="0"/>
        <v>2478080.3550292407</v>
      </c>
      <c r="H7" s="84">
        <f t="shared" si="0"/>
        <v>2540802.4521561004</v>
      </c>
      <c r="I7" s="84">
        <f t="shared" si="0"/>
        <v>2605112.0932300352</v>
      </c>
      <c r="J7" s="84">
        <f t="shared" si="0"/>
        <v>2671049.4601948783</v>
      </c>
      <c r="K7" s="84">
        <f t="shared" si="0"/>
        <v>2738655.7520300006</v>
      </c>
      <c r="L7" s="84">
        <f t="shared" si="0"/>
        <v>2807973.2104922514</v>
      </c>
      <c r="M7" s="84">
        <f t="shared" si="0"/>
        <v>2879045.1465094504</v>
      </c>
      <c r="N7" s="84">
        <f t="shared" si="0"/>
        <v>2951915.9672419159</v>
      </c>
      <c r="O7" s="84">
        <f t="shared" si="0"/>
        <v>3026631.2038289439</v>
      </c>
      <c r="P7" s="84">
        <v>0</v>
      </c>
      <c r="T7" s="8" t="s">
        <v>984</v>
      </c>
      <c r="U7" s="8" t="s">
        <v>1185</v>
      </c>
      <c r="V7" s="105" t="s">
        <v>159</v>
      </c>
      <c r="W7" s="105" t="s">
        <v>1202</v>
      </c>
      <c r="X7" s="10" t="s">
        <v>159</v>
      </c>
      <c r="Y7" s="11">
        <v>5</v>
      </c>
      <c r="Z7" s="11">
        <v>5</v>
      </c>
      <c r="AA7" s="11">
        <v>5</v>
      </c>
      <c r="AB7" s="11">
        <v>5</v>
      </c>
      <c r="AC7" s="11">
        <v>5</v>
      </c>
      <c r="AD7" s="11">
        <v>5</v>
      </c>
      <c r="AE7" s="11">
        <v>5</v>
      </c>
      <c r="AF7" s="11">
        <v>5</v>
      </c>
      <c r="AG7" s="11">
        <v>5</v>
      </c>
      <c r="AH7" s="11">
        <v>5</v>
      </c>
      <c r="AI7" s="11">
        <v>0</v>
      </c>
      <c r="AJ7" s="88"/>
      <c r="AL7" s="8" t="s">
        <v>984</v>
      </c>
      <c r="AM7" s="8" t="s">
        <v>1185</v>
      </c>
      <c r="AN7" s="105" t="s">
        <v>159</v>
      </c>
      <c r="AO7" s="105" t="s">
        <v>1202</v>
      </c>
      <c r="AP7" s="10" t="s">
        <v>159</v>
      </c>
      <c r="AQ7" s="11"/>
      <c r="AR7" s="11"/>
      <c r="AS7" s="11"/>
      <c r="AT7" s="11"/>
      <c r="AU7" s="11"/>
      <c r="AV7" s="11"/>
      <c r="AW7" s="11"/>
      <c r="AX7" s="11"/>
      <c r="AY7" s="11"/>
      <c r="AZ7" s="11"/>
      <c r="BA7" s="11"/>
    </row>
    <row r="8" spans="1:53" ht="19.95" customHeight="1">
      <c r="A8" s="8" t="s">
        <v>985</v>
      </c>
      <c r="B8" s="8" t="s">
        <v>1424</v>
      </c>
      <c r="C8" s="105" t="s">
        <v>159</v>
      </c>
      <c r="D8" s="105" t="s">
        <v>1203</v>
      </c>
      <c r="E8" s="10" t="s">
        <v>159</v>
      </c>
      <c r="F8" s="84">
        <v>2475400.5906926799</v>
      </c>
      <c r="G8" s="84">
        <f t="shared" si="0"/>
        <v>2538054.8609475605</v>
      </c>
      <c r="H8" s="84">
        <f t="shared" si="0"/>
        <v>2602294.9583998374</v>
      </c>
      <c r="I8" s="84">
        <f t="shared" si="0"/>
        <v>2668161.0215411056</v>
      </c>
      <c r="J8" s="84">
        <f t="shared" si="0"/>
        <v>2735694.2047986872</v>
      </c>
      <c r="K8" s="84">
        <f t="shared" si="0"/>
        <v>2804936.7042497378</v>
      </c>
      <c r="L8" s="84">
        <f t="shared" si="0"/>
        <v>2875931.7839861941</v>
      </c>
      <c r="M8" s="84">
        <f t="shared" si="0"/>
        <v>2948723.8031470403</v>
      </c>
      <c r="N8" s="84">
        <f t="shared" si="0"/>
        <v>3023358.2436347823</v>
      </c>
      <c r="O8" s="84">
        <f t="shared" si="0"/>
        <v>3099881.7385334438</v>
      </c>
      <c r="P8" s="84">
        <v>0</v>
      </c>
      <c r="T8" s="8" t="s">
        <v>985</v>
      </c>
      <c r="U8" s="8" t="s">
        <v>1185</v>
      </c>
      <c r="V8" s="105" t="s">
        <v>159</v>
      </c>
      <c r="W8" s="105" t="s">
        <v>1203</v>
      </c>
      <c r="X8" s="10" t="s">
        <v>159</v>
      </c>
      <c r="Y8" s="11">
        <v>25</v>
      </c>
      <c r="Z8" s="11">
        <v>25</v>
      </c>
      <c r="AA8" s="11">
        <v>25</v>
      </c>
      <c r="AB8" s="11">
        <v>25</v>
      </c>
      <c r="AC8" s="11">
        <v>25</v>
      </c>
      <c r="AD8" s="11">
        <v>25</v>
      </c>
      <c r="AE8" s="11">
        <v>25</v>
      </c>
      <c r="AF8" s="11">
        <v>25</v>
      </c>
      <c r="AG8" s="11">
        <v>25</v>
      </c>
      <c r="AH8" s="11">
        <v>25</v>
      </c>
      <c r="AI8" s="11">
        <v>0</v>
      </c>
      <c r="AJ8" s="88"/>
      <c r="AL8" s="8" t="s">
        <v>985</v>
      </c>
      <c r="AM8" s="8" t="s">
        <v>1185</v>
      </c>
      <c r="AN8" s="105" t="s">
        <v>159</v>
      </c>
      <c r="AO8" s="105" t="s">
        <v>1203</v>
      </c>
      <c r="AP8" s="10" t="s">
        <v>159</v>
      </c>
      <c r="AQ8" s="11"/>
      <c r="AR8" s="11"/>
      <c r="AS8" s="11"/>
      <c r="AT8" s="11"/>
      <c r="AU8" s="11"/>
      <c r="AV8" s="11"/>
      <c r="AW8" s="11"/>
      <c r="AX8" s="11"/>
      <c r="AY8" s="11"/>
      <c r="AZ8" s="11"/>
      <c r="BA8" s="11"/>
    </row>
    <row r="9" spans="1:53" ht="19.95" customHeight="1">
      <c r="A9" s="8" t="s">
        <v>986</v>
      </c>
      <c r="B9" s="8" t="s">
        <v>1424</v>
      </c>
      <c r="C9" s="105" t="s">
        <v>159</v>
      </c>
      <c r="D9" s="105" t="s">
        <v>1203</v>
      </c>
      <c r="E9" s="10" t="s">
        <v>1204</v>
      </c>
      <c r="F9" s="84">
        <v>2890361.2855476001</v>
      </c>
      <c r="G9" s="84">
        <f t="shared" si="0"/>
        <v>2963518.5263593867</v>
      </c>
      <c r="H9" s="84">
        <f t="shared" si="0"/>
        <v>3038527.4325356227</v>
      </c>
      <c r="I9" s="84">
        <f t="shared" si="0"/>
        <v>3115434.8711339482</v>
      </c>
      <c r="J9" s="84">
        <f t="shared" si="0"/>
        <v>3194288.8954528505</v>
      </c>
      <c r="K9" s="84">
        <f t="shared" si="0"/>
        <v>3275138.7750563226</v>
      </c>
      <c r="L9" s="84">
        <f t="shared" si="0"/>
        <v>3358035.0265584672</v>
      </c>
      <c r="M9" s="84">
        <f t="shared" si="0"/>
        <v>3443029.4451872823</v>
      </c>
      <c r="N9" s="84">
        <f t="shared" si="0"/>
        <v>3530175.1371473507</v>
      </c>
      <c r="O9" s="84">
        <f t="shared" si="0"/>
        <v>3619526.5528016542</v>
      </c>
      <c r="P9" s="84">
        <v>0</v>
      </c>
      <c r="T9" s="8" t="s">
        <v>986</v>
      </c>
      <c r="U9" s="8" t="s">
        <v>1185</v>
      </c>
      <c r="V9" s="105" t="s">
        <v>159</v>
      </c>
      <c r="W9" s="105" t="s">
        <v>1203</v>
      </c>
      <c r="X9" s="10" t="s">
        <v>1204</v>
      </c>
      <c r="Y9" s="11">
        <v>1</v>
      </c>
      <c r="Z9" s="11">
        <v>1</v>
      </c>
      <c r="AA9" s="11">
        <v>1</v>
      </c>
      <c r="AB9" s="11">
        <v>1</v>
      </c>
      <c r="AC9" s="11">
        <v>1</v>
      </c>
      <c r="AD9" s="11">
        <v>1</v>
      </c>
      <c r="AE9" s="11">
        <v>1</v>
      </c>
      <c r="AF9" s="11">
        <v>1</v>
      </c>
      <c r="AG9" s="11">
        <v>1</v>
      </c>
      <c r="AH9" s="11">
        <v>1</v>
      </c>
      <c r="AI9" s="11">
        <v>0</v>
      </c>
      <c r="AJ9" s="88"/>
      <c r="AL9" s="8" t="s">
        <v>986</v>
      </c>
      <c r="AM9" s="8" t="s">
        <v>1185</v>
      </c>
      <c r="AN9" s="105" t="s">
        <v>159</v>
      </c>
      <c r="AO9" s="105" t="s">
        <v>1203</v>
      </c>
      <c r="AP9" s="10" t="s">
        <v>1204</v>
      </c>
      <c r="AQ9" s="11"/>
      <c r="AR9" s="11"/>
      <c r="AS9" s="11"/>
      <c r="AT9" s="11"/>
      <c r="AU9" s="11"/>
      <c r="AV9" s="11"/>
      <c r="AW9" s="11"/>
      <c r="AX9" s="11"/>
      <c r="AY9" s="11"/>
      <c r="AZ9" s="11"/>
      <c r="BA9" s="11"/>
    </row>
    <row r="10" spans="1:53" ht="19.95" customHeight="1">
      <c r="A10" s="8" t="s">
        <v>987</v>
      </c>
      <c r="B10" s="8" t="s">
        <v>1423</v>
      </c>
      <c r="C10" s="105" t="s">
        <v>159</v>
      </c>
      <c r="D10" s="105" t="s">
        <v>1203</v>
      </c>
      <c r="E10" s="10" t="s">
        <v>1205</v>
      </c>
      <c r="F10" s="84">
        <v>2713848.9116598</v>
      </c>
      <c r="G10" s="84">
        <f t="shared" si="0"/>
        <v>2782538.4901390825</v>
      </c>
      <c r="H10" s="84">
        <f t="shared" si="0"/>
        <v>2852966.6540537551</v>
      </c>
      <c r="I10" s="84">
        <f t="shared" si="0"/>
        <v>2925177.4083225126</v>
      </c>
      <c r="J10" s="84">
        <f t="shared" si="0"/>
        <v>2999215.8716619858</v>
      </c>
      <c r="K10" s="84">
        <f t="shared" si="0"/>
        <v>3075128.3047778131</v>
      </c>
      <c r="L10" s="84">
        <f t="shared" si="0"/>
        <v>3152962.1392692514</v>
      </c>
      <c r="M10" s="84">
        <f t="shared" si="0"/>
        <v>3232766.007265382</v>
      </c>
      <c r="N10" s="84">
        <f t="shared" si="0"/>
        <v>3314589.7718114341</v>
      </c>
      <c r="O10" s="84">
        <f t="shared" si="0"/>
        <v>3398484.5580242081</v>
      </c>
      <c r="P10" s="84">
        <v>0</v>
      </c>
      <c r="T10" s="8" t="s">
        <v>987</v>
      </c>
      <c r="U10" s="8" t="s">
        <v>1185</v>
      </c>
      <c r="V10" s="105" t="s">
        <v>159</v>
      </c>
      <c r="W10" s="105" t="s">
        <v>1203</v>
      </c>
      <c r="X10" s="10" t="s">
        <v>1205</v>
      </c>
      <c r="Y10" s="11">
        <v>1</v>
      </c>
      <c r="Z10" s="11">
        <v>1</v>
      </c>
      <c r="AA10" s="11">
        <v>1</v>
      </c>
      <c r="AB10" s="11">
        <v>1</v>
      </c>
      <c r="AC10" s="11">
        <v>1</v>
      </c>
      <c r="AD10" s="11">
        <v>1</v>
      </c>
      <c r="AE10" s="11">
        <v>1</v>
      </c>
      <c r="AF10" s="11">
        <v>1</v>
      </c>
      <c r="AG10" s="11">
        <v>1</v>
      </c>
      <c r="AH10" s="11">
        <v>1</v>
      </c>
      <c r="AI10" s="11">
        <v>0</v>
      </c>
      <c r="AJ10" s="88"/>
      <c r="AL10" s="8" t="s">
        <v>987</v>
      </c>
      <c r="AM10" s="8" t="s">
        <v>1185</v>
      </c>
      <c r="AN10" s="105" t="s">
        <v>159</v>
      </c>
      <c r="AO10" s="105" t="s">
        <v>1203</v>
      </c>
      <c r="AP10" s="10" t="s">
        <v>1205</v>
      </c>
      <c r="AQ10" s="11"/>
      <c r="AR10" s="11"/>
      <c r="AS10" s="11"/>
      <c r="AT10" s="11"/>
      <c r="AU10" s="11"/>
      <c r="AV10" s="11"/>
      <c r="AW10" s="11"/>
      <c r="AX10" s="11"/>
      <c r="AY10" s="11"/>
      <c r="AZ10" s="11"/>
      <c r="BA10" s="11"/>
    </row>
    <row r="11" spans="1:53" ht="19.95" customHeight="1">
      <c r="A11" s="8" t="s">
        <v>988</v>
      </c>
      <c r="B11" s="8" t="s">
        <v>1423</v>
      </c>
      <c r="C11" s="105" t="s">
        <v>159</v>
      </c>
      <c r="D11" s="105" t="s">
        <v>1206</v>
      </c>
      <c r="E11" s="10" t="s">
        <v>159</v>
      </c>
      <c r="F11" s="84">
        <v>2428512.1043271199</v>
      </c>
      <c r="G11" s="84">
        <f t="shared" si="0"/>
        <v>2489979.5913568386</v>
      </c>
      <c r="H11" s="84">
        <f t="shared" si="0"/>
        <v>2553002.8671985697</v>
      </c>
      <c r="I11" s="84">
        <f t="shared" si="0"/>
        <v>2617621.3100495446</v>
      </c>
      <c r="J11" s="84">
        <f t="shared" si="0"/>
        <v>2683875.2947990941</v>
      </c>
      <c r="K11" s="84">
        <f t="shared" si="0"/>
        <v>2751806.2182556833</v>
      </c>
      <c r="L11" s="84">
        <f t="shared" si="0"/>
        <v>2821456.5250124605</v>
      </c>
      <c r="M11" s="84">
        <f t="shared" si="0"/>
        <v>2892869.7339674849</v>
      </c>
      <c r="N11" s="84">
        <f t="shared" si="0"/>
        <v>2966090.4655151996</v>
      </c>
      <c r="O11" s="84">
        <f t="shared" si="0"/>
        <v>3041164.469426143</v>
      </c>
      <c r="P11" s="84">
        <v>0</v>
      </c>
      <c r="T11" s="8" t="s">
        <v>988</v>
      </c>
      <c r="U11" s="8" t="s">
        <v>1185</v>
      </c>
      <c r="V11" s="105" t="s">
        <v>159</v>
      </c>
      <c r="W11" s="105" t="s">
        <v>1206</v>
      </c>
      <c r="X11" s="10" t="s">
        <v>159</v>
      </c>
      <c r="Y11" s="11">
        <v>10</v>
      </c>
      <c r="Z11" s="11">
        <v>10</v>
      </c>
      <c r="AA11" s="11">
        <v>10</v>
      </c>
      <c r="AB11" s="11">
        <v>10</v>
      </c>
      <c r="AC11" s="11">
        <v>10</v>
      </c>
      <c r="AD11" s="11">
        <v>10</v>
      </c>
      <c r="AE11" s="11">
        <v>10</v>
      </c>
      <c r="AF11" s="11">
        <v>10</v>
      </c>
      <c r="AG11" s="11">
        <v>10</v>
      </c>
      <c r="AH11" s="11">
        <v>10</v>
      </c>
      <c r="AI11" s="11">
        <v>0</v>
      </c>
      <c r="AJ11" s="88"/>
      <c r="AL11" s="8" t="s">
        <v>988</v>
      </c>
      <c r="AM11" s="8" t="s">
        <v>1185</v>
      </c>
      <c r="AN11" s="105" t="s">
        <v>159</v>
      </c>
      <c r="AO11" s="105" t="s">
        <v>1206</v>
      </c>
      <c r="AP11" s="10" t="s">
        <v>159</v>
      </c>
      <c r="AQ11" s="11"/>
      <c r="AR11" s="11"/>
      <c r="AS11" s="11"/>
      <c r="AT11" s="11"/>
      <c r="AU11" s="11"/>
      <c r="AV11" s="11"/>
      <c r="AW11" s="11"/>
      <c r="AX11" s="11"/>
      <c r="AY11" s="11"/>
      <c r="AZ11" s="11"/>
      <c r="BA11" s="11"/>
    </row>
    <row r="12" spans="1:53" ht="19.95" customHeight="1">
      <c r="A12" s="8" t="s">
        <v>989</v>
      </c>
      <c r="B12" s="8" t="s">
        <v>1424</v>
      </c>
      <c r="C12" s="105" t="s">
        <v>176</v>
      </c>
      <c r="D12" s="105" t="s">
        <v>1207</v>
      </c>
      <c r="E12" s="10" t="s">
        <v>177</v>
      </c>
      <c r="F12" s="84">
        <v>3934599.2821772001</v>
      </c>
      <c r="G12" s="84">
        <f t="shared" si="0"/>
        <v>4034186.9803045592</v>
      </c>
      <c r="H12" s="84">
        <f t="shared" si="0"/>
        <v>4136295.3187581724</v>
      </c>
      <c r="I12" s="84">
        <f t="shared" si="0"/>
        <v>4240988.0968603836</v>
      </c>
      <c r="J12" s="84">
        <f t="shared" si="0"/>
        <v>4348330.7287428733</v>
      </c>
      <c r="K12" s="84">
        <f t="shared" si="0"/>
        <v>4458390.284218709</v>
      </c>
      <c r="L12" s="84">
        <f t="shared" si="0"/>
        <v>4571235.5306889005</v>
      </c>
      <c r="M12" s="84">
        <f t="shared" si="0"/>
        <v>4686936.9761096397</v>
      </c>
      <c r="N12" s="84">
        <f t="shared" si="0"/>
        <v>4805566.9130470762</v>
      </c>
      <c r="O12" s="84">
        <f t="shared" si="0"/>
        <v>4927199.463847152</v>
      </c>
      <c r="P12" s="84">
        <v>0</v>
      </c>
      <c r="T12" s="8" t="s">
        <v>989</v>
      </c>
      <c r="U12" s="8" t="s">
        <v>1185</v>
      </c>
      <c r="V12" s="105" t="s">
        <v>176</v>
      </c>
      <c r="W12" s="105" t="s">
        <v>1207</v>
      </c>
      <c r="X12" s="10" t="s">
        <v>177</v>
      </c>
      <c r="Y12" s="11">
        <v>1</v>
      </c>
      <c r="Z12" s="11">
        <v>1</v>
      </c>
      <c r="AA12" s="11">
        <v>1</v>
      </c>
      <c r="AB12" s="11">
        <v>1</v>
      </c>
      <c r="AC12" s="11">
        <v>1</v>
      </c>
      <c r="AD12" s="11">
        <v>1</v>
      </c>
      <c r="AE12" s="11">
        <v>1</v>
      </c>
      <c r="AF12" s="11">
        <v>1</v>
      </c>
      <c r="AG12" s="11">
        <v>1</v>
      </c>
      <c r="AH12" s="11">
        <v>1</v>
      </c>
      <c r="AI12" s="11">
        <v>0</v>
      </c>
      <c r="AJ12" s="88"/>
      <c r="AL12" s="8" t="s">
        <v>989</v>
      </c>
      <c r="AM12" s="8" t="s">
        <v>1185</v>
      </c>
      <c r="AN12" s="105" t="s">
        <v>176</v>
      </c>
      <c r="AO12" s="105" t="s">
        <v>1207</v>
      </c>
      <c r="AP12" s="10" t="s">
        <v>177</v>
      </c>
      <c r="AQ12" s="11"/>
      <c r="AR12" s="11"/>
      <c r="AS12" s="11"/>
      <c r="AT12" s="11"/>
      <c r="AU12" s="11"/>
      <c r="AV12" s="11"/>
      <c r="AW12" s="11"/>
      <c r="AX12" s="11"/>
      <c r="AY12" s="11"/>
      <c r="AZ12" s="11"/>
      <c r="BA12" s="11"/>
    </row>
    <row r="13" spans="1:53" ht="19.95" customHeight="1">
      <c r="A13" s="8" t="s">
        <v>990</v>
      </c>
      <c r="B13" s="8" t="s">
        <v>1423</v>
      </c>
      <c r="C13" s="105" t="s">
        <v>176</v>
      </c>
      <c r="D13" s="105" t="s">
        <v>1207</v>
      </c>
      <c r="E13" s="10" t="s">
        <v>1208</v>
      </c>
      <c r="F13" s="84">
        <v>3005310.9254727201</v>
      </c>
      <c r="G13" s="84">
        <f t="shared" si="0"/>
        <v>3081377.629032738</v>
      </c>
      <c r="H13" s="84">
        <f t="shared" si="0"/>
        <v>3159369.6386705549</v>
      </c>
      <c r="I13" s="84">
        <f t="shared" si="0"/>
        <v>3239335.6853462318</v>
      </c>
      <c r="J13" s="84">
        <f t="shared" si="0"/>
        <v>3321325.733437466</v>
      </c>
      <c r="K13" s="84">
        <f t="shared" si="0"/>
        <v>3405391.0119583257</v>
      </c>
      <c r="L13" s="84">
        <f t="shared" si="0"/>
        <v>3491584.0465681599</v>
      </c>
      <c r="M13" s="84">
        <f t="shared" si="0"/>
        <v>3579958.6923906752</v>
      </c>
      <c r="N13" s="84">
        <f t="shared" si="0"/>
        <v>3670570.1676636892</v>
      </c>
      <c r="O13" s="84">
        <f t="shared" si="0"/>
        <v>3763475.0882405844</v>
      </c>
      <c r="P13" s="84">
        <v>0</v>
      </c>
      <c r="T13" s="8" t="s">
        <v>990</v>
      </c>
      <c r="U13" s="8" t="s">
        <v>1185</v>
      </c>
      <c r="V13" s="105" t="s">
        <v>176</v>
      </c>
      <c r="W13" s="105" t="s">
        <v>1207</v>
      </c>
      <c r="X13" s="10" t="s">
        <v>1208</v>
      </c>
      <c r="Y13" s="11">
        <v>1</v>
      </c>
      <c r="Z13" s="11">
        <v>1</v>
      </c>
      <c r="AA13" s="11">
        <v>1</v>
      </c>
      <c r="AB13" s="11">
        <v>1</v>
      </c>
      <c r="AC13" s="11">
        <v>1</v>
      </c>
      <c r="AD13" s="11">
        <v>1</v>
      </c>
      <c r="AE13" s="11">
        <v>1</v>
      </c>
      <c r="AF13" s="11">
        <v>1</v>
      </c>
      <c r="AG13" s="11">
        <v>1</v>
      </c>
      <c r="AH13" s="11">
        <v>1</v>
      </c>
      <c r="AI13" s="11">
        <v>0</v>
      </c>
      <c r="AJ13" s="88"/>
      <c r="AL13" s="8" t="s">
        <v>990</v>
      </c>
      <c r="AM13" s="8" t="s">
        <v>1185</v>
      </c>
      <c r="AN13" s="105" t="s">
        <v>176</v>
      </c>
      <c r="AO13" s="105" t="s">
        <v>1207</v>
      </c>
      <c r="AP13" s="10" t="s">
        <v>1208</v>
      </c>
      <c r="AQ13" s="11"/>
      <c r="AR13" s="11"/>
      <c r="AS13" s="11"/>
      <c r="AT13" s="11"/>
      <c r="AU13" s="11"/>
      <c r="AV13" s="11"/>
      <c r="AW13" s="11"/>
      <c r="AX13" s="11"/>
      <c r="AY13" s="11"/>
      <c r="AZ13" s="11"/>
      <c r="BA13" s="11"/>
    </row>
    <row r="14" spans="1:53" ht="19.95" customHeight="1">
      <c r="A14" s="8" t="s">
        <v>991</v>
      </c>
      <c r="B14" s="8" t="s">
        <v>1424</v>
      </c>
      <c r="C14" s="105" t="s">
        <v>176</v>
      </c>
      <c r="D14" s="105" t="s">
        <v>1207</v>
      </c>
      <c r="E14" s="10" t="s">
        <v>1209</v>
      </c>
      <c r="F14" s="84">
        <v>2822413.9414824001</v>
      </c>
      <c r="G14" s="84">
        <f t="shared" si="0"/>
        <v>2893851.3833759152</v>
      </c>
      <c r="H14" s="84">
        <f t="shared" si="0"/>
        <v>2967096.9612162109</v>
      </c>
      <c r="I14" s="84">
        <f t="shared" si="0"/>
        <v>3042196.4402982835</v>
      </c>
      <c r="J14" s="84">
        <f t="shared" si="0"/>
        <v>3119196.7442715275</v>
      </c>
      <c r="K14" s="84">
        <f t="shared" si="0"/>
        <v>3198145.9844585657</v>
      </c>
      <c r="L14" s="84">
        <f t="shared" si="0"/>
        <v>3279093.4899161602</v>
      </c>
      <c r="M14" s="84">
        <f t="shared" si="0"/>
        <v>3362089.8382569905</v>
      </c>
      <c r="N14" s="84">
        <f t="shared" si="0"/>
        <v>3447186.8872515522</v>
      </c>
      <c r="O14" s="84">
        <f t="shared" si="0"/>
        <v>3534437.8072299231</v>
      </c>
      <c r="P14" s="84">
        <v>0</v>
      </c>
      <c r="T14" s="8" t="s">
        <v>991</v>
      </c>
      <c r="U14" s="8" t="s">
        <v>1185</v>
      </c>
      <c r="V14" s="105" t="s">
        <v>176</v>
      </c>
      <c r="W14" s="105" t="s">
        <v>1207</v>
      </c>
      <c r="X14" s="10" t="s">
        <v>1209</v>
      </c>
      <c r="Y14" s="11">
        <v>3</v>
      </c>
      <c r="Z14" s="11">
        <v>3</v>
      </c>
      <c r="AA14" s="11">
        <v>3</v>
      </c>
      <c r="AB14" s="11">
        <v>3</v>
      </c>
      <c r="AC14" s="11">
        <v>3</v>
      </c>
      <c r="AD14" s="11">
        <v>3</v>
      </c>
      <c r="AE14" s="11">
        <v>3</v>
      </c>
      <c r="AF14" s="11">
        <v>3</v>
      </c>
      <c r="AG14" s="11">
        <v>3</v>
      </c>
      <c r="AH14" s="11">
        <v>3</v>
      </c>
      <c r="AI14" s="11">
        <v>0</v>
      </c>
      <c r="AJ14" s="88"/>
      <c r="AL14" s="8" t="s">
        <v>991</v>
      </c>
      <c r="AM14" s="8" t="s">
        <v>1185</v>
      </c>
      <c r="AN14" s="105" t="s">
        <v>176</v>
      </c>
      <c r="AO14" s="105" t="s">
        <v>1207</v>
      </c>
      <c r="AP14" s="10" t="s">
        <v>1209</v>
      </c>
      <c r="AQ14" s="11"/>
      <c r="AR14" s="11"/>
      <c r="AS14" s="11"/>
      <c r="AT14" s="11"/>
      <c r="AU14" s="11"/>
      <c r="AV14" s="11"/>
      <c r="AW14" s="11"/>
      <c r="AX14" s="11"/>
      <c r="AY14" s="11"/>
      <c r="AZ14" s="11"/>
      <c r="BA14" s="11"/>
    </row>
    <row r="15" spans="1:53" ht="19.95" customHeight="1">
      <c r="A15" s="8" t="s">
        <v>992</v>
      </c>
      <c r="B15" s="8" t="s">
        <v>1423</v>
      </c>
      <c r="C15" s="105" t="s">
        <v>176</v>
      </c>
      <c r="D15" s="105" t="s">
        <v>1200</v>
      </c>
      <c r="E15" s="10" t="s">
        <v>1210</v>
      </c>
      <c r="F15" s="84">
        <v>2822413.9414824001</v>
      </c>
      <c r="G15" s="84">
        <f t="shared" si="0"/>
        <v>2893851.3833759152</v>
      </c>
      <c r="H15" s="84">
        <f t="shared" si="0"/>
        <v>2967096.9612162109</v>
      </c>
      <c r="I15" s="84">
        <f t="shared" si="0"/>
        <v>3042196.4402982835</v>
      </c>
      <c r="J15" s="84">
        <f t="shared" si="0"/>
        <v>3119196.7442715275</v>
      </c>
      <c r="K15" s="84">
        <f t="shared" si="0"/>
        <v>3198145.9844585657</v>
      </c>
      <c r="L15" s="84">
        <f t="shared" si="0"/>
        <v>3279093.4899161602</v>
      </c>
      <c r="M15" s="84">
        <f t="shared" si="0"/>
        <v>3362089.8382569905</v>
      </c>
      <c r="N15" s="84">
        <f t="shared" si="0"/>
        <v>3447186.8872515522</v>
      </c>
      <c r="O15" s="84">
        <f t="shared" si="0"/>
        <v>3534437.8072299231</v>
      </c>
      <c r="P15" s="84">
        <v>0</v>
      </c>
      <c r="T15" s="8" t="s">
        <v>992</v>
      </c>
      <c r="U15" s="8" t="s">
        <v>1185</v>
      </c>
      <c r="V15" s="105" t="s">
        <v>176</v>
      </c>
      <c r="W15" s="105" t="s">
        <v>1200</v>
      </c>
      <c r="X15" s="10" t="s">
        <v>1210</v>
      </c>
      <c r="Y15" s="11">
        <v>1</v>
      </c>
      <c r="Z15" s="11">
        <v>1</v>
      </c>
      <c r="AA15" s="11">
        <v>1</v>
      </c>
      <c r="AB15" s="11">
        <v>1</v>
      </c>
      <c r="AC15" s="11">
        <v>1</v>
      </c>
      <c r="AD15" s="11">
        <v>1</v>
      </c>
      <c r="AE15" s="11">
        <v>1</v>
      </c>
      <c r="AF15" s="11">
        <v>1</v>
      </c>
      <c r="AG15" s="11">
        <v>1</v>
      </c>
      <c r="AH15" s="11">
        <v>1</v>
      </c>
      <c r="AI15" s="11">
        <v>0</v>
      </c>
      <c r="AJ15" s="88"/>
      <c r="AL15" s="8" t="s">
        <v>992</v>
      </c>
      <c r="AM15" s="8" t="s">
        <v>1185</v>
      </c>
      <c r="AN15" s="105" t="s">
        <v>176</v>
      </c>
      <c r="AO15" s="105" t="s">
        <v>1200</v>
      </c>
      <c r="AP15" s="10" t="s">
        <v>1210</v>
      </c>
      <c r="AQ15" s="11"/>
      <c r="AR15" s="11"/>
      <c r="AS15" s="11"/>
      <c r="AT15" s="11"/>
      <c r="AU15" s="11"/>
      <c r="AV15" s="11"/>
      <c r="AW15" s="11"/>
      <c r="AX15" s="11"/>
      <c r="AY15" s="11"/>
      <c r="AZ15" s="11"/>
      <c r="BA15" s="11"/>
    </row>
    <row r="16" spans="1:53" ht="19.95" customHeight="1">
      <c r="A16" s="8" t="s">
        <v>993</v>
      </c>
      <c r="B16" s="8" t="s">
        <v>1423</v>
      </c>
      <c r="C16" s="105" t="s">
        <v>176</v>
      </c>
      <c r="D16" s="105" t="s">
        <v>1202</v>
      </c>
      <c r="E16" s="10" t="s">
        <v>1210</v>
      </c>
      <c r="F16" s="84">
        <v>2822413.9414824001</v>
      </c>
      <c r="G16" s="84">
        <f t="shared" si="0"/>
        <v>2893851.3833759152</v>
      </c>
      <c r="H16" s="84">
        <f t="shared" si="0"/>
        <v>2967096.9612162109</v>
      </c>
      <c r="I16" s="84">
        <f t="shared" si="0"/>
        <v>3042196.4402982835</v>
      </c>
      <c r="J16" s="84">
        <f t="shared" si="0"/>
        <v>3119196.7442715275</v>
      </c>
      <c r="K16" s="84">
        <f t="shared" si="0"/>
        <v>3198145.9844585657</v>
      </c>
      <c r="L16" s="84">
        <f t="shared" si="0"/>
        <v>3279093.4899161602</v>
      </c>
      <c r="M16" s="84">
        <f t="shared" si="0"/>
        <v>3362089.8382569905</v>
      </c>
      <c r="N16" s="84">
        <f t="shared" si="0"/>
        <v>3447186.8872515522</v>
      </c>
      <c r="O16" s="84">
        <f t="shared" si="0"/>
        <v>3534437.8072299231</v>
      </c>
      <c r="P16" s="84">
        <v>0</v>
      </c>
      <c r="T16" s="8" t="s">
        <v>993</v>
      </c>
      <c r="U16" s="8" t="s">
        <v>1185</v>
      </c>
      <c r="V16" s="105" t="s">
        <v>176</v>
      </c>
      <c r="W16" s="105" t="s">
        <v>1202</v>
      </c>
      <c r="X16" s="10" t="s">
        <v>1210</v>
      </c>
      <c r="Y16" s="11">
        <v>1</v>
      </c>
      <c r="Z16" s="11">
        <v>1</v>
      </c>
      <c r="AA16" s="11">
        <v>1</v>
      </c>
      <c r="AB16" s="11">
        <v>1</v>
      </c>
      <c r="AC16" s="11">
        <v>1</v>
      </c>
      <c r="AD16" s="11">
        <v>1</v>
      </c>
      <c r="AE16" s="11">
        <v>1</v>
      </c>
      <c r="AF16" s="11">
        <v>1</v>
      </c>
      <c r="AG16" s="11">
        <v>1</v>
      </c>
      <c r="AH16" s="11">
        <v>1</v>
      </c>
      <c r="AI16" s="11">
        <v>0</v>
      </c>
      <c r="AJ16" s="88"/>
      <c r="AL16" s="8" t="s">
        <v>993</v>
      </c>
      <c r="AM16" s="8" t="s">
        <v>1185</v>
      </c>
      <c r="AN16" s="105" t="s">
        <v>176</v>
      </c>
      <c r="AO16" s="105" t="s">
        <v>1202</v>
      </c>
      <c r="AP16" s="10" t="s">
        <v>1210</v>
      </c>
      <c r="AQ16" s="11"/>
      <c r="AR16" s="11"/>
      <c r="AS16" s="11"/>
      <c r="AT16" s="11"/>
      <c r="AU16" s="11"/>
      <c r="AV16" s="11"/>
      <c r="AW16" s="11"/>
      <c r="AX16" s="11"/>
      <c r="AY16" s="11"/>
      <c r="AZ16" s="11"/>
      <c r="BA16" s="11"/>
    </row>
    <row r="17" spans="1:53" ht="19.95" customHeight="1">
      <c r="A17" s="8" t="s">
        <v>994</v>
      </c>
      <c r="B17" s="8" t="s">
        <v>1423</v>
      </c>
      <c r="C17" s="105" t="s">
        <v>176</v>
      </c>
      <c r="D17" s="105" t="s">
        <v>1203</v>
      </c>
      <c r="E17" s="10" t="s">
        <v>1210</v>
      </c>
      <c r="F17" s="84">
        <v>2822413.9414824001</v>
      </c>
      <c r="G17" s="84">
        <f t="shared" si="0"/>
        <v>2893851.3833759152</v>
      </c>
      <c r="H17" s="84">
        <f t="shared" si="0"/>
        <v>2967096.9612162109</v>
      </c>
      <c r="I17" s="84">
        <f t="shared" si="0"/>
        <v>3042196.4402982835</v>
      </c>
      <c r="J17" s="84">
        <f t="shared" si="0"/>
        <v>3119196.7442715275</v>
      </c>
      <c r="K17" s="84">
        <f t="shared" si="0"/>
        <v>3198145.9844585657</v>
      </c>
      <c r="L17" s="84">
        <f t="shared" si="0"/>
        <v>3279093.4899161602</v>
      </c>
      <c r="M17" s="84">
        <f t="shared" si="0"/>
        <v>3362089.8382569905</v>
      </c>
      <c r="N17" s="84">
        <f t="shared" si="0"/>
        <v>3447186.8872515522</v>
      </c>
      <c r="O17" s="84">
        <f t="shared" si="0"/>
        <v>3534437.8072299231</v>
      </c>
      <c r="P17" s="84">
        <v>0</v>
      </c>
      <c r="T17" s="8" t="s">
        <v>994</v>
      </c>
      <c r="U17" s="8" t="s">
        <v>1185</v>
      </c>
      <c r="V17" s="105" t="s">
        <v>176</v>
      </c>
      <c r="W17" s="105" t="s">
        <v>1203</v>
      </c>
      <c r="X17" s="10" t="s">
        <v>1210</v>
      </c>
      <c r="Y17" s="11">
        <v>2</v>
      </c>
      <c r="Z17" s="11">
        <v>2</v>
      </c>
      <c r="AA17" s="11">
        <v>2</v>
      </c>
      <c r="AB17" s="11">
        <v>2</v>
      </c>
      <c r="AC17" s="11">
        <v>2</v>
      </c>
      <c r="AD17" s="11">
        <v>2</v>
      </c>
      <c r="AE17" s="11">
        <v>2</v>
      </c>
      <c r="AF17" s="11">
        <v>2</v>
      </c>
      <c r="AG17" s="11">
        <v>2</v>
      </c>
      <c r="AH17" s="11">
        <v>2</v>
      </c>
      <c r="AI17" s="11">
        <v>0</v>
      </c>
      <c r="AJ17" s="88"/>
      <c r="AL17" s="8" t="s">
        <v>994</v>
      </c>
      <c r="AM17" s="8" t="s">
        <v>1185</v>
      </c>
      <c r="AN17" s="105" t="s">
        <v>176</v>
      </c>
      <c r="AO17" s="105" t="s">
        <v>1203</v>
      </c>
      <c r="AP17" s="10" t="s">
        <v>1210</v>
      </c>
      <c r="AQ17" s="11"/>
      <c r="AR17" s="11"/>
      <c r="AS17" s="11"/>
      <c r="AT17" s="11"/>
      <c r="AU17" s="11"/>
      <c r="AV17" s="11"/>
      <c r="AW17" s="11"/>
      <c r="AX17" s="11"/>
      <c r="AY17" s="11"/>
      <c r="AZ17" s="11"/>
      <c r="BA17" s="11"/>
    </row>
    <row r="18" spans="1:53" ht="19.95" customHeight="1">
      <c r="A18" s="8" t="s">
        <v>995</v>
      </c>
      <c r="B18" s="8" t="s">
        <v>1424</v>
      </c>
      <c r="C18" s="105" t="s">
        <v>176</v>
      </c>
      <c r="D18" s="105" t="s">
        <v>1203</v>
      </c>
      <c r="E18" s="10" t="s">
        <v>1211</v>
      </c>
      <c r="F18" s="84">
        <v>2577095.0131125199</v>
      </c>
      <c r="G18" s="84">
        <f t="shared" si="0"/>
        <v>2642323.2464866075</v>
      </c>
      <c r="H18" s="84">
        <f t="shared" si="0"/>
        <v>2709202.4560208507</v>
      </c>
      <c r="I18" s="84">
        <f t="shared" si="0"/>
        <v>2777774.4291766048</v>
      </c>
      <c r="J18" s="84">
        <f t="shared" si="0"/>
        <v>2848082.0110876309</v>
      </c>
      <c r="K18" s="84">
        <f t="shared" si="0"/>
        <v>2920169.1313305874</v>
      </c>
      <c r="L18" s="84">
        <f t="shared" si="0"/>
        <v>2994080.8313731044</v>
      </c>
      <c r="M18" s="84">
        <f t="shared" si="0"/>
        <v>3069863.2927165893</v>
      </c>
      <c r="N18" s="84">
        <f t="shared" si="0"/>
        <v>3147563.8657513484</v>
      </c>
      <c r="O18" s="84">
        <f t="shared" si="0"/>
        <v>3227231.0993420528</v>
      </c>
      <c r="P18" s="84">
        <v>0</v>
      </c>
      <c r="T18" s="8" t="s">
        <v>995</v>
      </c>
      <c r="U18" s="8" t="s">
        <v>1185</v>
      </c>
      <c r="V18" s="105" t="s">
        <v>176</v>
      </c>
      <c r="W18" s="105" t="s">
        <v>1203</v>
      </c>
      <c r="X18" s="10" t="s">
        <v>1211</v>
      </c>
      <c r="Y18" s="11">
        <v>2</v>
      </c>
      <c r="Z18" s="11">
        <v>2</v>
      </c>
      <c r="AA18" s="11">
        <v>2</v>
      </c>
      <c r="AB18" s="11">
        <v>2</v>
      </c>
      <c r="AC18" s="11">
        <v>2</v>
      </c>
      <c r="AD18" s="11">
        <v>2</v>
      </c>
      <c r="AE18" s="11">
        <v>2</v>
      </c>
      <c r="AF18" s="11">
        <v>2</v>
      </c>
      <c r="AG18" s="11">
        <v>2</v>
      </c>
      <c r="AH18" s="11">
        <v>2</v>
      </c>
      <c r="AI18" s="11">
        <v>0</v>
      </c>
      <c r="AJ18" s="88"/>
      <c r="AL18" s="8" t="s">
        <v>995</v>
      </c>
      <c r="AM18" s="8" t="s">
        <v>1185</v>
      </c>
      <c r="AN18" s="105" t="s">
        <v>176</v>
      </c>
      <c r="AO18" s="105" t="s">
        <v>1203</v>
      </c>
      <c r="AP18" s="10" t="s">
        <v>1211</v>
      </c>
      <c r="AQ18" s="11"/>
      <c r="AR18" s="11"/>
      <c r="AS18" s="11"/>
      <c r="AT18" s="11"/>
      <c r="AU18" s="11"/>
      <c r="AV18" s="11"/>
      <c r="AW18" s="11"/>
      <c r="AX18" s="11"/>
      <c r="AY18" s="11"/>
      <c r="AZ18" s="11"/>
      <c r="BA18" s="11"/>
    </row>
    <row r="19" spans="1:53" ht="19.95" customHeight="1">
      <c r="A19" s="8" t="s">
        <v>996</v>
      </c>
      <c r="B19" s="8" t="s">
        <v>1423</v>
      </c>
      <c r="C19" s="105" t="s">
        <v>176</v>
      </c>
      <c r="D19" s="105" t="s">
        <v>1206</v>
      </c>
      <c r="E19" s="10" t="s">
        <v>1210</v>
      </c>
      <c r="F19" s="84">
        <v>2822413.9414824001</v>
      </c>
      <c r="G19" s="84">
        <f t="shared" si="0"/>
        <v>2893851.3833759152</v>
      </c>
      <c r="H19" s="84">
        <f t="shared" si="0"/>
        <v>2967096.9612162109</v>
      </c>
      <c r="I19" s="84">
        <f t="shared" si="0"/>
        <v>3042196.4402982835</v>
      </c>
      <c r="J19" s="84">
        <f t="shared" si="0"/>
        <v>3119196.7442715275</v>
      </c>
      <c r="K19" s="84">
        <f t="shared" si="0"/>
        <v>3198145.9844585657</v>
      </c>
      <c r="L19" s="84">
        <f t="shared" si="0"/>
        <v>3279093.4899161602</v>
      </c>
      <c r="M19" s="84">
        <f t="shared" si="0"/>
        <v>3362089.8382569905</v>
      </c>
      <c r="N19" s="84">
        <f t="shared" si="0"/>
        <v>3447186.8872515522</v>
      </c>
      <c r="O19" s="84">
        <f t="shared" si="0"/>
        <v>3534437.8072299231</v>
      </c>
      <c r="P19" s="84">
        <v>0</v>
      </c>
      <c r="T19" s="8" t="s">
        <v>996</v>
      </c>
      <c r="U19" s="8" t="s">
        <v>1185</v>
      </c>
      <c r="V19" s="105" t="s">
        <v>176</v>
      </c>
      <c r="W19" s="105" t="s">
        <v>1206</v>
      </c>
      <c r="X19" s="10" t="s">
        <v>1210</v>
      </c>
      <c r="Y19" s="11">
        <v>1</v>
      </c>
      <c r="Z19" s="11">
        <v>1</v>
      </c>
      <c r="AA19" s="11">
        <v>1</v>
      </c>
      <c r="AB19" s="11">
        <v>1</v>
      </c>
      <c r="AC19" s="11">
        <v>1</v>
      </c>
      <c r="AD19" s="11">
        <v>1</v>
      </c>
      <c r="AE19" s="11">
        <v>1</v>
      </c>
      <c r="AF19" s="11">
        <v>1</v>
      </c>
      <c r="AG19" s="11">
        <v>1</v>
      </c>
      <c r="AH19" s="11">
        <v>1</v>
      </c>
      <c r="AI19" s="11">
        <v>0</v>
      </c>
      <c r="AJ19" s="88"/>
      <c r="AL19" s="8" t="s">
        <v>996</v>
      </c>
      <c r="AM19" s="8" t="s">
        <v>1185</v>
      </c>
      <c r="AN19" s="105" t="s">
        <v>176</v>
      </c>
      <c r="AO19" s="105" t="s">
        <v>1206</v>
      </c>
      <c r="AP19" s="10" t="s">
        <v>1210</v>
      </c>
      <c r="AQ19" s="11"/>
      <c r="AR19" s="11"/>
      <c r="AS19" s="11"/>
      <c r="AT19" s="11"/>
      <c r="AU19" s="11"/>
      <c r="AV19" s="11"/>
      <c r="AW19" s="11"/>
      <c r="AX19" s="11"/>
      <c r="AY19" s="11"/>
      <c r="AZ19" s="11"/>
      <c r="BA19" s="11"/>
    </row>
    <row r="20" spans="1:53" ht="19.95" customHeight="1">
      <c r="A20" s="8" t="s">
        <v>997</v>
      </c>
      <c r="B20" s="8" t="s">
        <v>1435</v>
      </c>
      <c r="C20" s="105" t="s">
        <v>176</v>
      </c>
      <c r="D20" s="105" t="s">
        <v>1429</v>
      </c>
      <c r="E20" s="10"/>
      <c r="F20" s="84">
        <v>4100791.006118685</v>
      </c>
      <c r="G20" s="84">
        <v>4204585.1430847133</v>
      </c>
      <c r="H20" s="84">
        <v>4311006.3885408957</v>
      </c>
      <c r="I20" s="84">
        <v>4420121.236599721</v>
      </c>
      <c r="J20" s="84">
        <v>4531997.8643902</v>
      </c>
      <c r="K20" s="84">
        <v>4646706.1746562924</v>
      </c>
      <c r="L20" s="84">
        <v>4764317.8394335359</v>
      </c>
      <c r="M20" s="84">
        <v>4884906.3448311565</v>
      </c>
      <c r="N20" s="84">
        <v>5008547.0369476555</v>
      </c>
      <c r="O20" s="84">
        <v>5135317.1689485488</v>
      </c>
      <c r="P20" s="84">
        <v>0</v>
      </c>
      <c r="T20" s="8" t="s">
        <v>997</v>
      </c>
      <c r="U20" s="8" t="s">
        <v>1435</v>
      </c>
      <c r="V20" s="105" t="s">
        <v>176</v>
      </c>
      <c r="W20" s="105" t="s">
        <v>1429</v>
      </c>
      <c r="X20" s="10"/>
      <c r="Y20" s="11">
        <v>4.75</v>
      </c>
      <c r="Z20" s="11">
        <v>6</v>
      </c>
      <c r="AA20" s="11">
        <v>6</v>
      </c>
      <c r="AB20" s="11">
        <v>6</v>
      </c>
      <c r="AC20" s="11">
        <v>6</v>
      </c>
      <c r="AD20" s="11">
        <v>6</v>
      </c>
      <c r="AE20" s="11">
        <v>6</v>
      </c>
      <c r="AF20" s="11">
        <v>6</v>
      </c>
      <c r="AG20" s="11">
        <v>6</v>
      </c>
      <c r="AH20" s="11">
        <v>6</v>
      </c>
      <c r="AI20" s="11">
        <v>0</v>
      </c>
      <c r="AJ20" s="88"/>
      <c r="AL20" s="8"/>
      <c r="AM20" s="8"/>
      <c r="AN20" s="105"/>
      <c r="AO20" s="105"/>
      <c r="AP20" s="10"/>
      <c r="AQ20" s="11"/>
      <c r="AR20" s="11"/>
      <c r="AS20" s="11"/>
      <c r="AT20" s="11"/>
      <c r="AU20" s="11"/>
      <c r="AV20" s="11"/>
      <c r="AW20" s="11"/>
      <c r="AX20" s="11"/>
      <c r="AY20" s="11"/>
      <c r="AZ20" s="11"/>
      <c r="BA20" s="11"/>
    </row>
    <row r="21" spans="1:53" ht="19.95" customHeight="1">
      <c r="A21" s="8" t="s">
        <v>998</v>
      </c>
      <c r="B21" s="8" t="s">
        <v>1435</v>
      </c>
      <c r="C21" s="105" t="s">
        <v>1436</v>
      </c>
      <c r="D21" s="105" t="s">
        <v>1429</v>
      </c>
      <c r="E21" s="105" t="s">
        <v>1426</v>
      </c>
      <c r="F21" s="84">
        <v>4100791.006118685</v>
      </c>
      <c r="G21" s="84">
        <v>4204585.1430847133</v>
      </c>
      <c r="H21" s="84">
        <v>4311006.3885408957</v>
      </c>
      <c r="I21" s="84">
        <v>4420121.236599721</v>
      </c>
      <c r="J21" s="84">
        <v>4531997.8643902</v>
      </c>
      <c r="K21" s="84">
        <v>4646706.1746562924</v>
      </c>
      <c r="L21" s="84">
        <v>4764317.8394335359</v>
      </c>
      <c r="M21" s="84">
        <v>4884906.3448311565</v>
      </c>
      <c r="N21" s="84">
        <v>5008547.0369476555</v>
      </c>
      <c r="O21" s="84">
        <v>5135317.1689485488</v>
      </c>
      <c r="P21" s="84">
        <v>0</v>
      </c>
      <c r="T21" s="8" t="s">
        <v>998</v>
      </c>
      <c r="U21" s="8" t="s">
        <v>1435</v>
      </c>
      <c r="V21" s="105" t="s">
        <v>1436</v>
      </c>
      <c r="W21" s="105" t="s">
        <v>1429</v>
      </c>
      <c r="X21" s="105" t="s">
        <v>1426</v>
      </c>
      <c r="Y21" s="11">
        <v>1</v>
      </c>
      <c r="Z21" s="11">
        <v>2</v>
      </c>
      <c r="AA21" s="11">
        <v>2</v>
      </c>
      <c r="AB21" s="11">
        <v>2</v>
      </c>
      <c r="AC21" s="11">
        <v>2</v>
      </c>
      <c r="AD21" s="11">
        <v>2</v>
      </c>
      <c r="AE21" s="11">
        <v>2</v>
      </c>
      <c r="AF21" s="11">
        <v>2</v>
      </c>
      <c r="AG21" s="11">
        <v>2</v>
      </c>
      <c r="AH21" s="11">
        <v>2</v>
      </c>
      <c r="AI21" s="11">
        <v>0</v>
      </c>
      <c r="AJ21" s="88"/>
      <c r="AL21" s="8"/>
      <c r="AM21" s="8"/>
      <c r="AN21" s="105"/>
      <c r="AO21" s="105"/>
      <c r="AP21" s="10"/>
      <c r="AQ21" s="11"/>
      <c r="AR21" s="11"/>
      <c r="AS21" s="11"/>
      <c r="AT21" s="11"/>
      <c r="AU21" s="11"/>
      <c r="AV21" s="11"/>
      <c r="AW21" s="11"/>
      <c r="AX21" s="11"/>
      <c r="AY21" s="11"/>
      <c r="AZ21" s="11"/>
      <c r="BA21" s="11"/>
    </row>
    <row r="22" spans="1:53" ht="19.95" customHeight="1">
      <c r="A22" s="8" t="s">
        <v>999</v>
      </c>
      <c r="B22" s="8" t="s">
        <v>1435</v>
      </c>
      <c r="C22" s="105" t="s">
        <v>1436</v>
      </c>
      <c r="D22" s="105" t="s">
        <v>1429</v>
      </c>
      <c r="E22" s="105" t="s">
        <v>1427</v>
      </c>
      <c r="F22" s="84">
        <v>3433931.7373241722</v>
      </c>
      <c r="G22" s="84">
        <v>3520847.1593839675</v>
      </c>
      <c r="H22" s="84">
        <v>3609962.4768318166</v>
      </c>
      <c r="I22" s="84">
        <v>3701333.3706919122</v>
      </c>
      <c r="J22" s="84">
        <v>3795016.9313174863</v>
      </c>
      <c r="K22" s="84">
        <v>3891071.6940619997</v>
      </c>
      <c r="L22" s="84">
        <v>3989557.6758531965</v>
      </c>
      <c r="M22" s="84">
        <v>4090536.4126928747</v>
      </c>
      <c r="N22" s="84">
        <v>4194070.9981058049</v>
      </c>
      <c r="O22" s="84">
        <v>4300226.1225618217</v>
      </c>
      <c r="P22" s="84">
        <v>0</v>
      </c>
      <c r="T22" s="8" t="s">
        <v>999</v>
      </c>
      <c r="U22" s="8" t="s">
        <v>1435</v>
      </c>
      <c r="V22" s="105" t="s">
        <v>1436</v>
      </c>
      <c r="W22" s="105" t="s">
        <v>1429</v>
      </c>
      <c r="X22" s="105" t="s">
        <v>1427</v>
      </c>
      <c r="Y22" s="11">
        <v>1</v>
      </c>
      <c r="Z22" s="11">
        <v>15</v>
      </c>
      <c r="AA22" s="11">
        <v>15</v>
      </c>
      <c r="AB22" s="11">
        <v>15</v>
      </c>
      <c r="AC22" s="11">
        <v>15</v>
      </c>
      <c r="AD22" s="11">
        <v>15</v>
      </c>
      <c r="AE22" s="11">
        <v>15</v>
      </c>
      <c r="AF22" s="11">
        <v>15</v>
      </c>
      <c r="AG22" s="11">
        <v>15</v>
      </c>
      <c r="AH22" s="11">
        <v>15</v>
      </c>
      <c r="AI22" s="11">
        <v>0</v>
      </c>
      <c r="AJ22" s="88"/>
      <c r="AL22" s="8"/>
      <c r="AM22" s="8"/>
      <c r="AN22" s="105"/>
      <c r="AO22" s="105"/>
      <c r="AP22" s="10"/>
      <c r="AQ22" s="11"/>
      <c r="AR22" s="11"/>
      <c r="AS22" s="11"/>
      <c r="AT22" s="11"/>
      <c r="AU22" s="11"/>
      <c r="AV22" s="11"/>
      <c r="AW22" s="11"/>
      <c r="AX22" s="11"/>
      <c r="AY22" s="11"/>
      <c r="AZ22" s="11"/>
      <c r="BA22" s="11"/>
    </row>
    <row r="23" spans="1:53" ht="19.95" customHeight="1">
      <c r="A23" s="8" t="s">
        <v>1000</v>
      </c>
      <c r="B23" s="8" t="s">
        <v>1435</v>
      </c>
      <c r="C23" s="105" t="s">
        <v>1436</v>
      </c>
      <c r="D23" s="105" t="s">
        <v>1429</v>
      </c>
      <c r="E23" s="10"/>
      <c r="F23" s="84">
        <v>2450022.8696861067</v>
      </c>
      <c r="G23" s="84">
        <v>2512034.8105352428</v>
      </c>
      <c r="H23" s="84">
        <v>2575616.3207363458</v>
      </c>
      <c r="I23" s="84">
        <v>2640807.1272825864</v>
      </c>
      <c r="J23" s="84">
        <v>2707647.9626875254</v>
      </c>
      <c r="K23" s="84">
        <v>2776180.5904355985</v>
      </c>
      <c r="L23" s="84">
        <v>2846447.8310767724</v>
      </c>
      <c r="M23" s="84">
        <v>2918493.5889816773</v>
      </c>
      <c r="N23" s="84">
        <v>2992362.8797739311</v>
      </c>
      <c r="O23" s="84">
        <v>3068101.8584567979</v>
      </c>
      <c r="P23" s="84">
        <v>0</v>
      </c>
      <c r="T23" s="8" t="s">
        <v>1000</v>
      </c>
      <c r="U23" s="8" t="s">
        <v>1435</v>
      </c>
      <c r="V23" s="105" t="s">
        <v>1436</v>
      </c>
      <c r="W23" s="105" t="s">
        <v>1429</v>
      </c>
      <c r="X23" s="10"/>
      <c r="Y23" s="11">
        <v>19.5</v>
      </c>
      <c r="Z23" s="11">
        <v>13</v>
      </c>
      <c r="AA23" s="11">
        <v>13</v>
      </c>
      <c r="AB23" s="11">
        <v>13</v>
      </c>
      <c r="AC23" s="11">
        <v>13</v>
      </c>
      <c r="AD23" s="11">
        <v>13</v>
      </c>
      <c r="AE23" s="11">
        <v>13</v>
      </c>
      <c r="AF23" s="11">
        <v>13</v>
      </c>
      <c r="AG23" s="11">
        <v>13</v>
      </c>
      <c r="AH23" s="11">
        <v>13</v>
      </c>
      <c r="AI23" s="11">
        <v>0</v>
      </c>
      <c r="AJ23" s="88"/>
      <c r="AL23" s="8"/>
      <c r="AM23" s="8"/>
      <c r="AN23" s="105"/>
      <c r="AO23" s="105"/>
      <c r="AP23" s="10"/>
      <c r="AQ23" s="11"/>
      <c r="AR23" s="11"/>
      <c r="AS23" s="11"/>
      <c r="AT23" s="11"/>
      <c r="AU23" s="11"/>
      <c r="AV23" s="11"/>
      <c r="AW23" s="11"/>
      <c r="AX23" s="11"/>
      <c r="AY23" s="11"/>
      <c r="AZ23" s="11"/>
      <c r="BA23" s="11"/>
    </row>
    <row r="24" spans="1:53" ht="19.95" customHeight="1">
      <c r="A24" s="8" t="s">
        <v>1001</v>
      </c>
      <c r="B24" s="8" t="s">
        <v>1435</v>
      </c>
      <c r="C24" s="105" t="s">
        <v>176</v>
      </c>
      <c r="D24" s="105" t="s">
        <v>1431</v>
      </c>
      <c r="E24" s="10"/>
      <c r="F24" s="84">
        <v>4319634.2318799999</v>
      </c>
      <c r="G24" s="84">
        <v>4428967.4572108984</v>
      </c>
      <c r="H24" s="84">
        <v>4541067.9895681739</v>
      </c>
      <c r="I24" s="84">
        <v>4656005.8715958167</v>
      </c>
      <c r="J24" s="84">
        <v>4773852.9187703691</v>
      </c>
      <c r="K24" s="84">
        <v>4894682.7642726656</v>
      </c>
      <c r="L24" s="84">
        <v>5018570.9049953073</v>
      </c>
      <c r="M24" s="84">
        <v>5145594.7487146258</v>
      </c>
      <c r="N24" s="84">
        <v>5275833.6624566019</v>
      </c>
      <c r="O24" s="84">
        <v>5409369.0220869621</v>
      </c>
      <c r="P24" s="84">
        <v>0</v>
      </c>
      <c r="T24" s="8" t="s">
        <v>1001</v>
      </c>
      <c r="U24" s="8" t="s">
        <v>1435</v>
      </c>
      <c r="V24" s="105" t="s">
        <v>176</v>
      </c>
      <c r="W24" s="105" t="s">
        <v>1431</v>
      </c>
      <c r="X24" s="10"/>
      <c r="Y24" s="11">
        <v>2</v>
      </c>
      <c r="Z24" s="11">
        <v>2</v>
      </c>
      <c r="AA24" s="11">
        <v>2</v>
      </c>
      <c r="AB24" s="11">
        <v>2</v>
      </c>
      <c r="AC24" s="11">
        <v>2</v>
      </c>
      <c r="AD24" s="11">
        <v>2</v>
      </c>
      <c r="AE24" s="11">
        <v>2</v>
      </c>
      <c r="AF24" s="11">
        <v>2</v>
      </c>
      <c r="AG24" s="11">
        <v>2</v>
      </c>
      <c r="AH24" s="11">
        <v>2</v>
      </c>
      <c r="AI24" s="11">
        <v>0</v>
      </c>
      <c r="AJ24" s="88"/>
      <c r="AL24" s="8"/>
      <c r="AM24" s="8"/>
      <c r="AN24" s="105"/>
      <c r="AO24" s="105"/>
      <c r="AP24" s="10"/>
      <c r="AQ24" s="11"/>
      <c r="AR24" s="11"/>
      <c r="AS24" s="11"/>
      <c r="AT24" s="11"/>
      <c r="AU24" s="11"/>
      <c r="AV24" s="11"/>
      <c r="AW24" s="11"/>
      <c r="AX24" s="11"/>
      <c r="AY24" s="11"/>
      <c r="AZ24" s="11"/>
      <c r="BA24" s="11"/>
    </row>
    <row r="25" spans="1:53" ht="19.95" customHeight="1">
      <c r="A25" s="8" t="s">
        <v>1002</v>
      </c>
      <c r="B25" s="8" t="s">
        <v>1435</v>
      </c>
      <c r="C25" s="105" t="s">
        <v>159</v>
      </c>
      <c r="D25" s="105" t="s">
        <v>1431</v>
      </c>
      <c r="E25" s="10"/>
      <c r="F25" s="84">
        <v>3959750.1551199998</v>
      </c>
      <c r="G25" s="84">
        <v>4059974.4409562047</v>
      </c>
      <c r="H25" s="84">
        <v>4162735.4796373812</v>
      </c>
      <c r="I25" s="84">
        <v>4268097.4783059675</v>
      </c>
      <c r="J25" s="84">
        <v>4376126.2692359751</v>
      </c>
      <c r="K25" s="84">
        <v>4486889.3509663017</v>
      </c>
      <c r="L25" s="84">
        <v>4600455.9304751651</v>
      </c>
      <c r="M25" s="84">
        <v>4716896.966421999</v>
      </c>
      <c r="N25" s="84">
        <v>4836285.2134838346</v>
      </c>
      <c r="O25" s="84">
        <v>4958695.2678138725</v>
      </c>
      <c r="P25" s="84">
        <v>0</v>
      </c>
      <c r="T25" s="8" t="s">
        <v>1002</v>
      </c>
      <c r="U25" s="8" t="s">
        <v>1435</v>
      </c>
      <c r="V25" s="105" t="s">
        <v>159</v>
      </c>
      <c r="W25" s="105" t="s">
        <v>1431</v>
      </c>
      <c r="X25" s="10"/>
      <c r="Y25" s="11">
        <v>6</v>
      </c>
      <c r="Z25" s="11">
        <v>6</v>
      </c>
      <c r="AA25" s="11">
        <v>6</v>
      </c>
      <c r="AB25" s="11">
        <v>6</v>
      </c>
      <c r="AC25" s="11">
        <v>6</v>
      </c>
      <c r="AD25" s="11">
        <v>6</v>
      </c>
      <c r="AE25" s="11">
        <v>6</v>
      </c>
      <c r="AF25" s="11">
        <v>6</v>
      </c>
      <c r="AG25" s="11">
        <v>6</v>
      </c>
      <c r="AH25" s="11">
        <v>6</v>
      </c>
      <c r="AI25" s="11">
        <v>0</v>
      </c>
      <c r="AJ25" s="88"/>
      <c r="AL25" s="8"/>
      <c r="AM25" s="8"/>
      <c r="AN25" s="105"/>
      <c r="AO25" s="105"/>
      <c r="AP25" s="10"/>
      <c r="AQ25" s="11"/>
      <c r="AR25" s="11"/>
      <c r="AS25" s="11"/>
      <c r="AT25" s="11"/>
      <c r="AU25" s="11"/>
      <c r="AV25" s="11"/>
      <c r="AW25" s="11"/>
      <c r="AX25" s="11"/>
      <c r="AY25" s="11"/>
      <c r="AZ25" s="11"/>
      <c r="BA25" s="11"/>
    </row>
    <row r="26" spans="1:53" ht="19.95" customHeight="1">
      <c r="A26" s="8" t="s">
        <v>1003</v>
      </c>
      <c r="B26" s="8" t="s">
        <v>1435</v>
      </c>
      <c r="C26" s="105" t="s">
        <v>1436</v>
      </c>
      <c r="D26" s="105" t="s">
        <v>1432</v>
      </c>
      <c r="E26" s="105" t="s">
        <v>1434</v>
      </c>
      <c r="F26" s="84">
        <v>4100791.006118685</v>
      </c>
      <c r="G26" s="84">
        <v>4204585.1430847133</v>
      </c>
      <c r="H26" s="84">
        <v>4311006.3885408957</v>
      </c>
      <c r="I26" s="84">
        <v>4420121.236599721</v>
      </c>
      <c r="J26" s="84">
        <v>4531997.8643902</v>
      </c>
      <c r="K26" s="84">
        <v>4646706.1746562924</v>
      </c>
      <c r="L26" s="84">
        <v>4764317.8394335359</v>
      </c>
      <c r="M26" s="84">
        <v>4884906.3448311565</v>
      </c>
      <c r="N26" s="84">
        <v>5008547.0369476555</v>
      </c>
      <c r="O26" s="84">
        <v>5135317.1689485488</v>
      </c>
      <c r="P26" s="84">
        <v>0</v>
      </c>
      <c r="T26" s="8" t="s">
        <v>1003</v>
      </c>
      <c r="U26" s="8" t="s">
        <v>1435</v>
      </c>
      <c r="V26" s="105" t="s">
        <v>1436</v>
      </c>
      <c r="W26" s="105" t="s">
        <v>1432</v>
      </c>
      <c r="X26" s="105" t="s">
        <v>1434</v>
      </c>
      <c r="Y26" s="11">
        <v>0</v>
      </c>
      <c r="Z26" s="11">
        <v>8</v>
      </c>
      <c r="AA26" s="11">
        <v>8</v>
      </c>
      <c r="AB26" s="11">
        <v>8</v>
      </c>
      <c r="AC26" s="11">
        <v>8</v>
      </c>
      <c r="AD26" s="11">
        <v>8</v>
      </c>
      <c r="AE26" s="11">
        <v>8</v>
      </c>
      <c r="AF26" s="11">
        <v>8</v>
      </c>
      <c r="AG26" s="11">
        <v>8</v>
      </c>
      <c r="AH26" s="11">
        <v>8</v>
      </c>
      <c r="AI26" s="11">
        <v>0</v>
      </c>
      <c r="AJ26" s="88"/>
      <c r="AL26" s="8"/>
      <c r="AM26" s="8"/>
      <c r="AN26" s="105"/>
      <c r="AO26" s="105"/>
      <c r="AP26" s="10"/>
      <c r="AQ26" s="11"/>
      <c r="AR26" s="11"/>
      <c r="AS26" s="11"/>
      <c r="AT26" s="11"/>
      <c r="AU26" s="11"/>
      <c r="AV26" s="11"/>
      <c r="AW26" s="11"/>
      <c r="AX26" s="11"/>
      <c r="AY26" s="11"/>
      <c r="AZ26" s="11"/>
      <c r="BA26" s="11"/>
    </row>
    <row r="27" spans="1:53" ht="19.95" customHeight="1">
      <c r="A27" s="8" t="s">
        <v>1004</v>
      </c>
      <c r="B27" s="8" t="s">
        <v>1435</v>
      </c>
      <c r="C27" s="105" t="s">
        <v>1437</v>
      </c>
      <c r="D27" s="105" t="s">
        <v>1433</v>
      </c>
      <c r="E27" s="105" t="s">
        <v>1434</v>
      </c>
      <c r="F27" s="84">
        <v>4100791.006118685</v>
      </c>
      <c r="G27" s="84">
        <v>4204585.1430847133</v>
      </c>
      <c r="H27" s="84">
        <v>4311006.3885408957</v>
      </c>
      <c r="I27" s="84">
        <v>4420121.236599721</v>
      </c>
      <c r="J27" s="84">
        <v>4531997.8643902</v>
      </c>
      <c r="K27" s="84">
        <v>4646706.1746562924</v>
      </c>
      <c r="L27" s="84">
        <v>4764317.8394335359</v>
      </c>
      <c r="M27" s="84">
        <v>4884906.3448311565</v>
      </c>
      <c r="N27" s="84">
        <v>5008547.0369476555</v>
      </c>
      <c r="O27" s="84">
        <v>5135317.1689485488</v>
      </c>
      <c r="P27" s="84">
        <v>0</v>
      </c>
      <c r="T27" s="8" t="s">
        <v>1004</v>
      </c>
      <c r="U27" s="8" t="s">
        <v>1435</v>
      </c>
      <c r="V27" s="105" t="s">
        <v>1437</v>
      </c>
      <c r="W27" s="105" t="s">
        <v>1433</v>
      </c>
      <c r="X27" s="105" t="s">
        <v>1434</v>
      </c>
      <c r="Y27" s="11">
        <v>0</v>
      </c>
      <c r="Z27" s="11">
        <v>0</v>
      </c>
      <c r="AA27" s="11">
        <v>0</v>
      </c>
      <c r="AB27" s="11">
        <v>0</v>
      </c>
      <c r="AC27" s="11">
        <v>0</v>
      </c>
      <c r="AD27" s="11">
        <v>0</v>
      </c>
      <c r="AE27" s="11">
        <v>0</v>
      </c>
      <c r="AF27" s="11">
        <v>0</v>
      </c>
      <c r="AG27" s="11">
        <v>0</v>
      </c>
      <c r="AH27" s="11">
        <v>0</v>
      </c>
      <c r="AI27" s="11">
        <v>0</v>
      </c>
      <c r="AJ27" s="88"/>
      <c r="AL27" s="8"/>
      <c r="AM27" s="8"/>
      <c r="AN27" s="105"/>
      <c r="AO27" s="105"/>
      <c r="AP27" s="10"/>
      <c r="AQ27" s="11"/>
      <c r="AR27" s="11"/>
      <c r="AS27" s="11"/>
      <c r="AT27" s="11"/>
      <c r="AU27" s="11"/>
      <c r="AV27" s="11"/>
      <c r="AW27" s="11"/>
      <c r="AX27" s="11"/>
      <c r="AY27" s="11"/>
      <c r="AZ27" s="11"/>
      <c r="BA27" s="11"/>
    </row>
    <row r="28" spans="1:53" ht="19.95" customHeight="1">
      <c r="A28" s="8" t="s">
        <v>1005</v>
      </c>
      <c r="B28" s="8" t="s">
        <v>1442</v>
      </c>
      <c r="C28" s="105" t="s">
        <v>1438</v>
      </c>
      <c r="D28" s="105" t="s">
        <v>194</v>
      </c>
      <c r="E28" s="10"/>
      <c r="F28" s="84">
        <v>2751415.2490987354</v>
      </c>
      <c r="G28" s="84">
        <v>2821055.6601290135</v>
      </c>
      <c r="H28" s="84">
        <v>2892458.7228891803</v>
      </c>
      <c r="I28" s="84">
        <v>2965669.0514341346</v>
      </c>
      <c r="J28" s="84">
        <v>3040732.3890344114</v>
      </c>
      <c r="K28" s="84">
        <v>3117695.6367574879</v>
      </c>
      <c r="L28" s="84">
        <v>3196606.8827725039</v>
      </c>
      <c r="M28" s="84">
        <v>3277515.4323967067</v>
      </c>
      <c r="N28" s="84">
        <v>3360471.8389023957</v>
      </c>
      <c r="O28" s="84">
        <v>3445527.935103613</v>
      </c>
      <c r="P28" s="84">
        <v>0</v>
      </c>
      <c r="T28" s="8" t="s">
        <v>1005</v>
      </c>
      <c r="U28" s="8" t="s">
        <v>1442</v>
      </c>
      <c r="V28" s="105" t="s">
        <v>1438</v>
      </c>
      <c r="W28" s="105" t="s">
        <v>194</v>
      </c>
      <c r="X28" s="10"/>
      <c r="Y28" s="11">
        <v>1</v>
      </c>
      <c r="Z28" s="11">
        <v>1</v>
      </c>
      <c r="AA28" s="11">
        <v>1</v>
      </c>
      <c r="AB28" s="11">
        <v>1</v>
      </c>
      <c r="AC28" s="11">
        <v>1</v>
      </c>
      <c r="AD28" s="11">
        <v>1</v>
      </c>
      <c r="AE28" s="11">
        <v>1</v>
      </c>
      <c r="AF28" s="11">
        <v>1</v>
      </c>
      <c r="AG28" s="11">
        <v>1</v>
      </c>
      <c r="AH28" s="11">
        <v>1</v>
      </c>
      <c r="AI28" s="11">
        <v>0</v>
      </c>
      <c r="AJ28" s="88"/>
      <c r="AL28" s="8"/>
      <c r="AM28" s="8"/>
      <c r="AN28" s="105"/>
      <c r="AO28" s="105"/>
      <c r="AP28" s="10"/>
      <c r="AQ28" s="11"/>
      <c r="AR28" s="11"/>
      <c r="AS28" s="11"/>
      <c r="AT28" s="11"/>
      <c r="AU28" s="11"/>
      <c r="AV28" s="11"/>
      <c r="AW28" s="11"/>
      <c r="AX28" s="11"/>
      <c r="AY28" s="11"/>
      <c r="AZ28" s="11"/>
      <c r="BA28" s="11"/>
    </row>
    <row r="29" spans="1:53" ht="19.95" customHeight="1">
      <c r="A29" s="8" t="s">
        <v>1006</v>
      </c>
      <c r="B29" s="8" t="s">
        <v>1442</v>
      </c>
      <c r="C29" s="105" t="s">
        <v>1438</v>
      </c>
      <c r="D29" s="105" t="s">
        <v>1224</v>
      </c>
      <c r="E29" s="10"/>
      <c r="F29" s="84">
        <v>2751415.2490987354</v>
      </c>
      <c r="G29" s="84">
        <v>2821055.6601290135</v>
      </c>
      <c r="H29" s="84">
        <v>2892458.7228891803</v>
      </c>
      <c r="I29" s="84">
        <v>2965669.0514341346</v>
      </c>
      <c r="J29" s="84">
        <v>3040732.3890344114</v>
      </c>
      <c r="K29" s="84">
        <v>3117695.6367574879</v>
      </c>
      <c r="L29" s="84">
        <v>3196606.8827725039</v>
      </c>
      <c r="M29" s="84">
        <v>3277515.4323967067</v>
      </c>
      <c r="N29" s="84">
        <v>3360471.8389023957</v>
      </c>
      <c r="O29" s="84">
        <v>3445527.935103613</v>
      </c>
      <c r="P29" s="84">
        <v>0</v>
      </c>
      <c r="T29" s="8" t="s">
        <v>1006</v>
      </c>
      <c r="U29" s="8" t="s">
        <v>1442</v>
      </c>
      <c r="V29" s="105" t="s">
        <v>1438</v>
      </c>
      <c r="W29" s="105" t="s">
        <v>1224</v>
      </c>
      <c r="X29" s="10"/>
      <c r="Y29" s="11">
        <v>3</v>
      </c>
      <c r="Z29" s="11">
        <v>3</v>
      </c>
      <c r="AA29" s="11">
        <v>3</v>
      </c>
      <c r="AB29" s="11">
        <v>3</v>
      </c>
      <c r="AC29" s="11">
        <v>3</v>
      </c>
      <c r="AD29" s="11">
        <v>3</v>
      </c>
      <c r="AE29" s="11">
        <v>3</v>
      </c>
      <c r="AF29" s="11">
        <v>3</v>
      </c>
      <c r="AG29" s="11">
        <v>3</v>
      </c>
      <c r="AH29" s="11">
        <v>3</v>
      </c>
      <c r="AI29" s="11">
        <v>0</v>
      </c>
      <c r="AJ29" s="88"/>
      <c r="AL29" s="8"/>
      <c r="AM29" s="8"/>
      <c r="AN29" s="105"/>
      <c r="AO29" s="105"/>
      <c r="AP29" s="10"/>
      <c r="AQ29" s="11"/>
      <c r="AR29" s="11"/>
      <c r="AS29" s="11"/>
      <c r="AT29" s="11"/>
      <c r="AU29" s="11"/>
      <c r="AV29" s="11"/>
      <c r="AW29" s="11"/>
      <c r="AX29" s="11"/>
      <c r="AY29" s="11"/>
      <c r="AZ29" s="11"/>
      <c r="BA29" s="11"/>
    </row>
    <row r="30" spans="1:53" ht="19.95" customHeight="1">
      <c r="A30" s="8" t="s">
        <v>1007</v>
      </c>
      <c r="B30" s="8" t="s">
        <v>1442</v>
      </c>
      <c r="C30" s="105" t="s">
        <v>1438</v>
      </c>
      <c r="D30" s="105" t="s">
        <v>1225</v>
      </c>
      <c r="E30" s="10"/>
      <c r="F30" s="84">
        <v>2751415.2490987401</v>
      </c>
      <c r="G30" s="84">
        <v>2821055.6601290102</v>
      </c>
      <c r="H30" s="84">
        <v>2892458.7228891798</v>
      </c>
      <c r="I30" s="84">
        <v>2965669.0514341299</v>
      </c>
      <c r="J30" s="84">
        <v>3040732.38903441</v>
      </c>
      <c r="K30" s="84">
        <v>3117695.6367574902</v>
      </c>
      <c r="L30" s="84">
        <v>3196606.8827725002</v>
      </c>
      <c r="M30" s="84">
        <v>3277515.4323967099</v>
      </c>
      <c r="N30" s="84">
        <v>3360471.8389023999</v>
      </c>
      <c r="O30" s="84">
        <v>3445527.9351036102</v>
      </c>
      <c r="P30" s="84">
        <v>0</v>
      </c>
      <c r="T30" s="8" t="s">
        <v>1007</v>
      </c>
      <c r="U30" s="8" t="s">
        <v>1442</v>
      </c>
      <c r="V30" s="105" t="s">
        <v>1438</v>
      </c>
      <c r="W30" s="105" t="s">
        <v>1225</v>
      </c>
      <c r="X30" s="10"/>
      <c r="Y30" s="11">
        <v>3</v>
      </c>
      <c r="Z30" s="11">
        <v>3</v>
      </c>
      <c r="AA30" s="11">
        <v>3</v>
      </c>
      <c r="AB30" s="11">
        <v>3</v>
      </c>
      <c r="AC30" s="11">
        <v>3</v>
      </c>
      <c r="AD30" s="11">
        <v>3</v>
      </c>
      <c r="AE30" s="11">
        <v>3</v>
      </c>
      <c r="AF30" s="11">
        <v>3</v>
      </c>
      <c r="AG30" s="11">
        <v>3</v>
      </c>
      <c r="AH30" s="11">
        <v>3</v>
      </c>
      <c r="AI30" s="11">
        <v>0</v>
      </c>
      <c r="AJ30" s="88"/>
      <c r="AL30" s="8"/>
      <c r="AM30" s="8"/>
      <c r="AN30" s="105"/>
      <c r="AO30" s="105"/>
      <c r="AP30" s="10"/>
      <c r="AQ30" s="11"/>
      <c r="AR30" s="11"/>
      <c r="AS30" s="11"/>
      <c r="AT30" s="11"/>
      <c r="AU30" s="11"/>
      <c r="AV30" s="11"/>
      <c r="AW30" s="11"/>
      <c r="AX30" s="11"/>
      <c r="AY30" s="11"/>
      <c r="AZ30" s="11"/>
      <c r="BA30" s="11"/>
    </row>
    <row r="31" spans="1:53" ht="19.95" customHeight="1">
      <c r="A31" s="8" t="s">
        <v>1008</v>
      </c>
      <c r="B31" s="8" t="s">
        <v>1442</v>
      </c>
      <c r="C31" s="105" t="s">
        <v>1438</v>
      </c>
      <c r="D31" s="105" t="s">
        <v>1439</v>
      </c>
      <c r="E31" s="10"/>
      <c r="F31" s="84">
        <v>2751415.2490987401</v>
      </c>
      <c r="G31" s="84">
        <v>2821055.6601290102</v>
      </c>
      <c r="H31" s="84">
        <v>2892458.7228891798</v>
      </c>
      <c r="I31" s="84">
        <v>2965669.0514341299</v>
      </c>
      <c r="J31" s="84">
        <v>3040732.38903441</v>
      </c>
      <c r="K31" s="84">
        <v>3117695.6367574902</v>
      </c>
      <c r="L31" s="84">
        <v>3196606.8827725002</v>
      </c>
      <c r="M31" s="84">
        <v>3277515.4323967099</v>
      </c>
      <c r="N31" s="84">
        <v>3360471.8389023999</v>
      </c>
      <c r="O31" s="84">
        <v>3445527.9351036102</v>
      </c>
      <c r="P31" s="84">
        <v>0</v>
      </c>
      <c r="T31" s="8" t="s">
        <v>1008</v>
      </c>
      <c r="U31" s="8" t="s">
        <v>1442</v>
      </c>
      <c r="V31" s="105" t="s">
        <v>1438</v>
      </c>
      <c r="W31" s="105" t="s">
        <v>1439</v>
      </c>
      <c r="X31" s="10"/>
      <c r="Y31" s="11">
        <v>2</v>
      </c>
      <c r="Z31" s="11">
        <v>2</v>
      </c>
      <c r="AA31" s="11">
        <v>2</v>
      </c>
      <c r="AB31" s="11">
        <v>2</v>
      </c>
      <c r="AC31" s="11">
        <v>2</v>
      </c>
      <c r="AD31" s="11">
        <v>2</v>
      </c>
      <c r="AE31" s="11">
        <v>2</v>
      </c>
      <c r="AF31" s="11">
        <v>2</v>
      </c>
      <c r="AG31" s="11">
        <v>2</v>
      </c>
      <c r="AH31" s="11">
        <v>2</v>
      </c>
      <c r="AI31" s="11">
        <v>0</v>
      </c>
      <c r="AJ31" s="88"/>
      <c r="AL31" s="8"/>
      <c r="AM31" s="8"/>
      <c r="AN31" s="105"/>
      <c r="AO31" s="105"/>
      <c r="AP31" s="10"/>
      <c r="AQ31" s="11"/>
      <c r="AR31" s="11"/>
      <c r="AS31" s="11"/>
      <c r="AT31" s="11"/>
      <c r="AU31" s="11"/>
      <c r="AV31" s="11"/>
      <c r="AW31" s="11"/>
      <c r="AX31" s="11"/>
      <c r="AY31" s="11"/>
      <c r="AZ31" s="11"/>
      <c r="BA31" s="11"/>
    </row>
    <row r="32" spans="1:53" ht="19.95" customHeight="1">
      <c r="A32" s="8" t="s">
        <v>1009</v>
      </c>
      <c r="B32" s="8" t="s">
        <v>1442</v>
      </c>
      <c r="C32" s="105" t="s">
        <v>1438</v>
      </c>
      <c r="D32" s="105" t="s">
        <v>1223</v>
      </c>
      <c r="E32" s="10"/>
      <c r="F32" s="84">
        <v>2751415.2490987401</v>
      </c>
      <c r="G32" s="84">
        <v>2821055.6601290102</v>
      </c>
      <c r="H32" s="84">
        <v>2892458.7228891798</v>
      </c>
      <c r="I32" s="84">
        <v>2965669.0514341299</v>
      </c>
      <c r="J32" s="84">
        <v>3040732.38903441</v>
      </c>
      <c r="K32" s="84">
        <v>3117695.6367574902</v>
      </c>
      <c r="L32" s="84">
        <v>3196606.8827725002</v>
      </c>
      <c r="M32" s="84">
        <v>3277515.4323967099</v>
      </c>
      <c r="N32" s="84">
        <v>3360471.8389023999</v>
      </c>
      <c r="O32" s="84">
        <v>3445527.9351036102</v>
      </c>
      <c r="P32" s="84">
        <v>0</v>
      </c>
      <c r="T32" s="8" t="s">
        <v>1009</v>
      </c>
      <c r="U32" s="8" t="s">
        <v>1442</v>
      </c>
      <c r="V32" s="105" t="s">
        <v>1438</v>
      </c>
      <c r="W32" s="105" t="s">
        <v>1223</v>
      </c>
      <c r="X32" s="10"/>
      <c r="Y32" s="11">
        <v>1</v>
      </c>
      <c r="Z32" s="11">
        <v>1</v>
      </c>
      <c r="AA32" s="11">
        <v>1</v>
      </c>
      <c r="AB32" s="11">
        <v>1</v>
      </c>
      <c r="AC32" s="11">
        <v>1</v>
      </c>
      <c r="AD32" s="11">
        <v>1</v>
      </c>
      <c r="AE32" s="11">
        <v>1</v>
      </c>
      <c r="AF32" s="11">
        <v>1</v>
      </c>
      <c r="AG32" s="11">
        <v>1</v>
      </c>
      <c r="AH32" s="11">
        <v>1</v>
      </c>
      <c r="AI32" s="11">
        <v>0</v>
      </c>
      <c r="AJ32" s="88"/>
      <c r="AL32" s="8"/>
      <c r="AM32" s="8"/>
      <c r="AN32" s="105"/>
      <c r="AO32" s="105"/>
      <c r="AP32" s="10"/>
      <c r="AQ32" s="11"/>
      <c r="AR32" s="11"/>
      <c r="AS32" s="11"/>
      <c r="AT32" s="11"/>
      <c r="AU32" s="11"/>
      <c r="AV32" s="11"/>
      <c r="AW32" s="11"/>
      <c r="AX32" s="11"/>
      <c r="AY32" s="11"/>
      <c r="AZ32" s="11"/>
      <c r="BA32" s="11"/>
    </row>
    <row r="33" spans="1:53" ht="19.95" customHeight="1">
      <c r="A33" s="8" t="s">
        <v>1010</v>
      </c>
      <c r="B33" s="8" t="s">
        <v>1442</v>
      </c>
      <c r="C33" s="105" t="s">
        <v>1438</v>
      </c>
      <c r="D33" s="106" t="s">
        <v>978</v>
      </c>
      <c r="E33" s="10"/>
      <c r="F33" s="84">
        <v>2751415.2490987401</v>
      </c>
      <c r="G33" s="84">
        <v>2821055.6601290102</v>
      </c>
      <c r="H33" s="84">
        <v>2892458.7228891798</v>
      </c>
      <c r="I33" s="84">
        <v>2965669.0514341299</v>
      </c>
      <c r="J33" s="84">
        <v>3040732.38903441</v>
      </c>
      <c r="K33" s="84">
        <v>3117695.6367574902</v>
      </c>
      <c r="L33" s="84">
        <v>3196606.8827725002</v>
      </c>
      <c r="M33" s="84">
        <v>3277515.4323967099</v>
      </c>
      <c r="N33" s="84">
        <v>3360471.8389023999</v>
      </c>
      <c r="O33" s="84">
        <v>3445527.9351036102</v>
      </c>
      <c r="P33" s="84">
        <v>0</v>
      </c>
      <c r="T33" s="8" t="s">
        <v>1010</v>
      </c>
      <c r="U33" s="8" t="s">
        <v>1442</v>
      </c>
      <c r="V33" s="105" t="s">
        <v>1438</v>
      </c>
      <c r="W33" s="106" t="s">
        <v>978</v>
      </c>
      <c r="X33" s="10"/>
      <c r="Y33" s="11"/>
      <c r="Z33" s="11">
        <v>1</v>
      </c>
      <c r="AA33" s="11">
        <v>1</v>
      </c>
      <c r="AB33" s="11">
        <v>1</v>
      </c>
      <c r="AC33" s="11">
        <v>1</v>
      </c>
      <c r="AD33" s="11">
        <v>1</v>
      </c>
      <c r="AE33" s="11">
        <v>1</v>
      </c>
      <c r="AF33" s="11">
        <v>1</v>
      </c>
      <c r="AG33" s="11">
        <v>1</v>
      </c>
      <c r="AH33" s="11">
        <v>1</v>
      </c>
      <c r="AI33" s="11">
        <v>0</v>
      </c>
      <c r="AJ33" s="88"/>
      <c r="AL33" s="8"/>
      <c r="AM33" s="8"/>
      <c r="AN33" s="105"/>
      <c r="AO33" s="106"/>
      <c r="AP33" s="10"/>
      <c r="AQ33" s="11"/>
      <c r="AR33" s="11"/>
      <c r="AS33" s="11"/>
      <c r="AT33" s="11"/>
      <c r="AU33" s="11"/>
      <c r="AV33" s="11"/>
      <c r="AW33" s="11"/>
      <c r="AX33" s="11"/>
      <c r="AY33" s="11"/>
      <c r="AZ33" s="11"/>
      <c r="BA33" s="11"/>
    </row>
    <row r="34" spans="1:53" ht="19.95" customHeight="1">
      <c r="A34" s="8" t="s">
        <v>1011</v>
      </c>
      <c r="B34" s="8" t="s">
        <v>1442</v>
      </c>
      <c r="C34" s="105" t="s">
        <v>1440</v>
      </c>
      <c r="D34" s="106" t="s">
        <v>1216</v>
      </c>
      <c r="E34" s="10"/>
      <c r="F34" s="84">
        <v>2751415.2490987401</v>
      </c>
      <c r="G34" s="84">
        <v>2821055.6601290102</v>
      </c>
      <c r="H34" s="84">
        <v>2892458.7228891798</v>
      </c>
      <c r="I34" s="84">
        <v>2965669.0514341299</v>
      </c>
      <c r="J34" s="84">
        <v>3040732.38903441</v>
      </c>
      <c r="K34" s="84">
        <v>3117695.6367574902</v>
      </c>
      <c r="L34" s="84">
        <v>3196606.8827725002</v>
      </c>
      <c r="M34" s="84">
        <v>3277515.4323967099</v>
      </c>
      <c r="N34" s="84">
        <v>3360471.8389023999</v>
      </c>
      <c r="O34" s="84">
        <v>3445527.9351036102</v>
      </c>
      <c r="P34" s="84">
        <v>0</v>
      </c>
      <c r="T34" s="8" t="s">
        <v>1011</v>
      </c>
      <c r="U34" s="8" t="s">
        <v>1442</v>
      </c>
      <c r="V34" s="105" t="s">
        <v>1440</v>
      </c>
      <c r="W34" s="106" t="s">
        <v>1216</v>
      </c>
      <c r="X34" s="10"/>
      <c r="Y34" s="11">
        <v>15</v>
      </c>
      <c r="Z34" s="11">
        <v>15</v>
      </c>
      <c r="AA34" s="11">
        <v>15</v>
      </c>
      <c r="AB34" s="11">
        <v>15</v>
      </c>
      <c r="AC34" s="11">
        <v>15</v>
      </c>
      <c r="AD34" s="11">
        <v>15</v>
      </c>
      <c r="AE34" s="11">
        <v>15</v>
      </c>
      <c r="AF34" s="11">
        <v>15</v>
      </c>
      <c r="AG34" s="11">
        <v>15</v>
      </c>
      <c r="AH34" s="11">
        <v>15</v>
      </c>
      <c r="AI34" s="11">
        <v>0</v>
      </c>
      <c r="AJ34" s="88"/>
      <c r="AL34" s="8"/>
      <c r="AM34" s="8"/>
      <c r="AN34" s="105"/>
      <c r="AO34" s="106"/>
      <c r="AP34" s="10"/>
      <c r="AQ34" s="11"/>
      <c r="AR34" s="11"/>
      <c r="AS34" s="11"/>
      <c r="AT34" s="11"/>
      <c r="AU34" s="11"/>
      <c r="AV34" s="11"/>
      <c r="AW34" s="11"/>
      <c r="AX34" s="11"/>
      <c r="AY34" s="11"/>
      <c r="AZ34" s="11"/>
      <c r="BA34" s="11"/>
    </row>
    <row r="35" spans="1:53" ht="19.95" customHeight="1">
      <c r="A35" s="8" t="s">
        <v>1229</v>
      </c>
      <c r="B35" s="8" t="s">
        <v>1442</v>
      </c>
      <c r="C35" s="105" t="s">
        <v>1440</v>
      </c>
      <c r="D35" s="9" t="s">
        <v>1218</v>
      </c>
      <c r="E35" s="10"/>
      <c r="F35" s="84">
        <v>2751415.2490987401</v>
      </c>
      <c r="G35" s="84">
        <v>2821055.6601290102</v>
      </c>
      <c r="H35" s="84">
        <v>2892458.7228891798</v>
      </c>
      <c r="I35" s="84">
        <v>2965669.0514341299</v>
      </c>
      <c r="J35" s="84">
        <v>3040732.38903441</v>
      </c>
      <c r="K35" s="84">
        <v>3117695.6367574902</v>
      </c>
      <c r="L35" s="84">
        <v>3196606.8827725002</v>
      </c>
      <c r="M35" s="84">
        <v>3277515.4323967099</v>
      </c>
      <c r="N35" s="84">
        <v>3360471.8389023999</v>
      </c>
      <c r="O35" s="84">
        <v>3445527.9351036102</v>
      </c>
      <c r="P35" s="84">
        <v>0</v>
      </c>
      <c r="T35" s="8" t="s">
        <v>1229</v>
      </c>
      <c r="U35" s="8" t="s">
        <v>1442</v>
      </c>
      <c r="V35" s="105" t="s">
        <v>1440</v>
      </c>
      <c r="W35" s="9" t="s">
        <v>1218</v>
      </c>
      <c r="X35" s="10"/>
      <c r="Y35" s="11">
        <v>11</v>
      </c>
      <c r="Z35" s="11">
        <v>11</v>
      </c>
      <c r="AA35" s="11">
        <v>11</v>
      </c>
      <c r="AB35" s="11">
        <v>11</v>
      </c>
      <c r="AC35" s="11">
        <v>11</v>
      </c>
      <c r="AD35" s="11">
        <v>11</v>
      </c>
      <c r="AE35" s="11">
        <v>11</v>
      </c>
      <c r="AF35" s="11">
        <v>11</v>
      </c>
      <c r="AG35" s="11">
        <v>11</v>
      </c>
      <c r="AH35" s="11">
        <v>11</v>
      </c>
      <c r="AI35" s="11">
        <v>0</v>
      </c>
      <c r="AJ35" s="88"/>
      <c r="AL35" s="8"/>
      <c r="AM35" s="8"/>
      <c r="AN35" s="9"/>
      <c r="AO35" s="9"/>
      <c r="AP35" s="10"/>
      <c r="AQ35" s="11"/>
      <c r="AR35" s="11"/>
      <c r="AS35" s="11"/>
      <c r="AT35" s="11"/>
      <c r="AU35" s="11"/>
      <c r="AV35" s="11"/>
      <c r="AW35" s="11"/>
      <c r="AX35" s="11"/>
      <c r="AY35" s="11"/>
      <c r="AZ35" s="11"/>
      <c r="BA35" s="11"/>
    </row>
    <row r="36" spans="1:53" ht="19.95" customHeight="1">
      <c r="A36" s="8" t="s">
        <v>1230</v>
      </c>
      <c r="B36" s="8" t="s">
        <v>1442</v>
      </c>
      <c r="C36" s="105" t="s">
        <v>1440</v>
      </c>
      <c r="D36" s="9" t="s">
        <v>1219</v>
      </c>
      <c r="E36" s="10"/>
      <c r="F36" s="84">
        <v>2751415.2490987401</v>
      </c>
      <c r="G36" s="84">
        <v>2821055.6601290102</v>
      </c>
      <c r="H36" s="84">
        <v>2892458.7228891798</v>
      </c>
      <c r="I36" s="84">
        <v>2965669.0514341299</v>
      </c>
      <c r="J36" s="84">
        <v>3040732.38903441</v>
      </c>
      <c r="K36" s="84">
        <v>3117695.6367574902</v>
      </c>
      <c r="L36" s="84">
        <v>3196606.8827725002</v>
      </c>
      <c r="M36" s="84">
        <v>3277515.4323967099</v>
      </c>
      <c r="N36" s="84">
        <v>3360471.8389023999</v>
      </c>
      <c r="O36" s="84">
        <v>3445527.9351036102</v>
      </c>
      <c r="P36" s="84">
        <v>0</v>
      </c>
      <c r="T36" s="8" t="s">
        <v>1230</v>
      </c>
      <c r="U36" s="8" t="s">
        <v>1442</v>
      </c>
      <c r="V36" s="105" t="s">
        <v>1440</v>
      </c>
      <c r="W36" s="9" t="s">
        <v>1219</v>
      </c>
      <c r="X36" s="10"/>
      <c r="Y36" s="11">
        <v>14</v>
      </c>
      <c r="Z36" s="11">
        <v>14</v>
      </c>
      <c r="AA36" s="11">
        <v>14</v>
      </c>
      <c r="AB36" s="11">
        <v>14</v>
      </c>
      <c r="AC36" s="11">
        <v>14</v>
      </c>
      <c r="AD36" s="11">
        <v>14</v>
      </c>
      <c r="AE36" s="11">
        <v>14</v>
      </c>
      <c r="AF36" s="11">
        <v>14</v>
      </c>
      <c r="AG36" s="11">
        <v>14</v>
      </c>
      <c r="AH36" s="11">
        <v>14</v>
      </c>
      <c r="AI36" s="11">
        <v>0</v>
      </c>
      <c r="AJ36" s="88"/>
      <c r="AL36" s="8"/>
      <c r="AM36" s="8"/>
      <c r="AN36" s="9"/>
      <c r="AO36" s="9"/>
      <c r="AP36" s="10"/>
      <c r="AQ36" s="11"/>
      <c r="AR36" s="11"/>
      <c r="AS36" s="11"/>
      <c r="AT36" s="11"/>
      <c r="AU36" s="11"/>
      <c r="AV36" s="11"/>
      <c r="AW36" s="11"/>
      <c r="AX36" s="11"/>
      <c r="AY36" s="11"/>
      <c r="AZ36" s="11"/>
      <c r="BA36" s="11"/>
    </row>
    <row r="37" spans="1:53" ht="19.95" customHeight="1">
      <c r="A37" s="8" t="s">
        <v>1231</v>
      </c>
      <c r="B37" s="8" t="s">
        <v>1442</v>
      </c>
      <c r="C37" s="105" t="s">
        <v>1440</v>
      </c>
      <c r="D37" s="9" t="s">
        <v>1221</v>
      </c>
      <c r="E37" s="10"/>
      <c r="F37" s="84">
        <v>2751415.2490987401</v>
      </c>
      <c r="G37" s="84">
        <v>2821055.6601290102</v>
      </c>
      <c r="H37" s="84">
        <v>2892458.7228891798</v>
      </c>
      <c r="I37" s="84">
        <v>2965669.0514341299</v>
      </c>
      <c r="J37" s="84">
        <v>3040732.38903441</v>
      </c>
      <c r="K37" s="84">
        <v>3117695.6367574902</v>
      </c>
      <c r="L37" s="84">
        <v>3196606.8827725002</v>
      </c>
      <c r="M37" s="84">
        <v>3277515.4323967099</v>
      </c>
      <c r="N37" s="84">
        <v>3360471.8389023999</v>
      </c>
      <c r="O37" s="84">
        <v>3445527.9351036102</v>
      </c>
      <c r="P37" s="84">
        <v>0</v>
      </c>
      <c r="T37" s="8" t="s">
        <v>1231</v>
      </c>
      <c r="U37" s="8" t="s">
        <v>1442</v>
      </c>
      <c r="V37" s="105" t="s">
        <v>1440</v>
      </c>
      <c r="W37" s="9" t="s">
        <v>1221</v>
      </c>
      <c r="X37" s="10"/>
      <c r="Y37" s="11">
        <v>10</v>
      </c>
      <c r="Z37" s="11">
        <v>10</v>
      </c>
      <c r="AA37" s="11">
        <v>10</v>
      </c>
      <c r="AB37" s="11">
        <v>10</v>
      </c>
      <c r="AC37" s="11">
        <v>10</v>
      </c>
      <c r="AD37" s="11">
        <v>10</v>
      </c>
      <c r="AE37" s="11">
        <v>10</v>
      </c>
      <c r="AF37" s="11">
        <v>10</v>
      </c>
      <c r="AG37" s="11">
        <v>10</v>
      </c>
      <c r="AH37" s="11">
        <v>10</v>
      </c>
      <c r="AI37" s="11">
        <v>0</v>
      </c>
      <c r="AJ37" s="88"/>
      <c r="AL37" s="8"/>
      <c r="AM37" s="8"/>
      <c r="AN37" s="9"/>
      <c r="AO37" s="9"/>
      <c r="AP37" s="10"/>
      <c r="AQ37" s="11"/>
      <c r="AR37" s="11"/>
      <c r="AS37" s="11"/>
      <c r="AT37" s="11"/>
      <c r="AU37" s="11"/>
      <c r="AV37" s="11"/>
      <c r="AW37" s="11"/>
      <c r="AX37" s="11"/>
      <c r="AY37" s="11"/>
      <c r="AZ37" s="11"/>
      <c r="BA37" s="11"/>
    </row>
    <row r="38" spans="1:53" ht="19.95" customHeight="1">
      <c r="A38" s="8" t="s">
        <v>1232</v>
      </c>
      <c r="B38" s="8" t="s">
        <v>1442</v>
      </c>
      <c r="C38" s="105" t="s">
        <v>1440</v>
      </c>
      <c r="D38" s="9" t="s">
        <v>1220</v>
      </c>
      <c r="E38" s="10"/>
      <c r="F38" s="84">
        <v>2751415.2490987401</v>
      </c>
      <c r="G38" s="84">
        <v>2821055.6601290102</v>
      </c>
      <c r="H38" s="84">
        <v>2892458.7228891798</v>
      </c>
      <c r="I38" s="84">
        <v>2965669.0514341299</v>
      </c>
      <c r="J38" s="84">
        <v>3040732.38903441</v>
      </c>
      <c r="K38" s="84">
        <v>3117695.6367574902</v>
      </c>
      <c r="L38" s="84">
        <v>3196606.8827725002</v>
      </c>
      <c r="M38" s="84">
        <v>3277515.4323967099</v>
      </c>
      <c r="N38" s="84">
        <v>3360471.8389023999</v>
      </c>
      <c r="O38" s="84">
        <v>3445527.9351036102</v>
      </c>
      <c r="P38" s="84">
        <v>0</v>
      </c>
      <c r="T38" s="8" t="s">
        <v>1232</v>
      </c>
      <c r="U38" s="8" t="s">
        <v>1442</v>
      </c>
      <c r="V38" s="105" t="s">
        <v>1440</v>
      </c>
      <c r="W38" s="9" t="s">
        <v>1220</v>
      </c>
      <c r="X38" s="10"/>
      <c r="Y38" s="11">
        <v>5</v>
      </c>
      <c r="Z38" s="11">
        <v>5</v>
      </c>
      <c r="AA38" s="11">
        <v>5</v>
      </c>
      <c r="AB38" s="11">
        <v>5</v>
      </c>
      <c r="AC38" s="11">
        <v>5</v>
      </c>
      <c r="AD38" s="11">
        <v>5</v>
      </c>
      <c r="AE38" s="11">
        <v>5</v>
      </c>
      <c r="AF38" s="11">
        <v>5</v>
      </c>
      <c r="AG38" s="11">
        <v>5</v>
      </c>
      <c r="AH38" s="11">
        <v>5</v>
      </c>
      <c r="AI38" s="11">
        <v>0</v>
      </c>
      <c r="AJ38" s="88"/>
      <c r="AL38" s="8"/>
      <c r="AM38" s="8"/>
      <c r="AN38" s="9"/>
      <c r="AO38" s="9"/>
      <c r="AP38" s="10"/>
      <c r="AQ38" s="11"/>
      <c r="AR38" s="11"/>
      <c r="AS38" s="11"/>
      <c r="AT38" s="11"/>
      <c r="AU38" s="11"/>
      <c r="AV38" s="11"/>
      <c r="AW38" s="11"/>
      <c r="AX38" s="11"/>
      <c r="AY38" s="11"/>
      <c r="AZ38" s="11"/>
      <c r="BA38" s="11"/>
    </row>
    <row r="39" spans="1:53" ht="19.95" customHeight="1">
      <c r="A39" s="8" t="s">
        <v>1233</v>
      </c>
      <c r="B39" s="8" t="s">
        <v>1442</v>
      </c>
      <c r="C39" s="105" t="s">
        <v>1440</v>
      </c>
      <c r="D39" s="9" t="s">
        <v>1217</v>
      </c>
      <c r="E39" s="10"/>
      <c r="F39" s="84">
        <v>2751415.2490987401</v>
      </c>
      <c r="G39" s="84">
        <v>2821055.6601290102</v>
      </c>
      <c r="H39" s="84">
        <v>2892458.7228891798</v>
      </c>
      <c r="I39" s="84">
        <v>2965669.0514341299</v>
      </c>
      <c r="J39" s="84">
        <v>3040732.38903441</v>
      </c>
      <c r="K39" s="84">
        <v>3117695.6367574902</v>
      </c>
      <c r="L39" s="84">
        <v>3196606.8827725002</v>
      </c>
      <c r="M39" s="84">
        <v>3277515.4323967099</v>
      </c>
      <c r="N39" s="84">
        <v>3360471.8389023999</v>
      </c>
      <c r="O39" s="84">
        <v>3445527.9351036102</v>
      </c>
      <c r="P39" s="84">
        <v>0</v>
      </c>
      <c r="T39" s="8" t="s">
        <v>1233</v>
      </c>
      <c r="U39" s="8" t="s">
        <v>1442</v>
      </c>
      <c r="V39" s="105" t="s">
        <v>1440</v>
      </c>
      <c r="W39" s="9" t="s">
        <v>1217</v>
      </c>
      <c r="X39" s="10"/>
      <c r="Y39" s="11">
        <v>3</v>
      </c>
      <c r="Z39" s="11">
        <v>3</v>
      </c>
      <c r="AA39" s="11">
        <v>3</v>
      </c>
      <c r="AB39" s="11">
        <v>3</v>
      </c>
      <c r="AC39" s="11">
        <v>3</v>
      </c>
      <c r="AD39" s="11">
        <v>3</v>
      </c>
      <c r="AE39" s="11">
        <v>3</v>
      </c>
      <c r="AF39" s="11">
        <v>3</v>
      </c>
      <c r="AG39" s="11">
        <v>3</v>
      </c>
      <c r="AH39" s="11">
        <v>3</v>
      </c>
      <c r="AI39" s="11">
        <v>0</v>
      </c>
      <c r="AJ39" s="88"/>
      <c r="AL39" s="8"/>
      <c r="AM39" s="8"/>
      <c r="AN39" s="9"/>
      <c r="AO39" s="9"/>
      <c r="AP39" s="10"/>
      <c r="AQ39" s="11"/>
      <c r="AR39" s="11"/>
      <c r="AS39" s="11"/>
      <c r="AT39" s="11"/>
      <c r="AU39" s="11"/>
      <c r="AV39" s="11"/>
      <c r="AW39" s="11"/>
      <c r="AX39" s="11"/>
      <c r="AY39" s="11"/>
      <c r="AZ39" s="11"/>
      <c r="BA39" s="11"/>
    </row>
    <row r="40" spans="1:53" ht="19.95" customHeight="1">
      <c r="A40" s="8" t="s">
        <v>1234</v>
      </c>
      <c r="B40" s="8" t="s">
        <v>1442</v>
      </c>
      <c r="C40" s="9" t="s">
        <v>159</v>
      </c>
      <c r="D40" s="9" t="s">
        <v>1441</v>
      </c>
      <c r="E40" s="10"/>
      <c r="F40" s="84">
        <v>2751415.2490987401</v>
      </c>
      <c r="G40" s="84">
        <v>2821055.6601290102</v>
      </c>
      <c r="H40" s="84">
        <v>2892458.7228891798</v>
      </c>
      <c r="I40" s="84">
        <v>2965669.0514341299</v>
      </c>
      <c r="J40" s="84">
        <v>3040732.38903441</v>
      </c>
      <c r="K40" s="84">
        <v>3117695.6367574902</v>
      </c>
      <c r="L40" s="84">
        <v>3196606.8827725002</v>
      </c>
      <c r="M40" s="84">
        <v>3277515.4323967099</v>
      </c>
      <c r="N40" s="84">
        <v>3360471.8389023999</v>
      </c>
      <c r="O40" s="84">
        <v>3445527.9351036102</v>
      </c>
      <c r="P40" s="84">
        <v>0</v>
      </c>
      <c r="T40" s="8" t="s">
        <v>1234</v>
      </c>
      <c r="U40" s="8" t="s">
        <v>1442</v>
      </c>
      <c r="V40" s="9" t="s">
        <v>159</v>
      </c>
      <c r="W40" s="9" t="s">
        <v>1441</v>
      </c>
      <c r="X40" s="10"/>
      <c r="Y40" s="11">
        <v>10</v>
      </c>
      <c r="Z40" s="11">
        <v>10</v>
      </c>
      <c r="AA40" s="11">
        <v>10</v>
      </c>
      <c r="AB40" s="11">
        <v>10</v>
      </c>
      <c r="AC40" s="11">
        <v>10</v>
      </c>
      <c r="AD40" s="11">
        <v>10</v>
      </c>
      <c r="AE40" s="11">
        <v>10</v>
      </c>
      <c r="AF40" s="11">
        <v>10</v>
      </c>
      <c r="AG40" s="11">
        <v>10</v>
      </c>
      <c r="AH40" s="11">
        <v>10</v>
      </c>
      <c r="AI40" s="11">
        <v>0</v>
      </c>
      <c r="AJ40" s="88"/>
      <c r="AL40" s="8"/>
      <c r="AM40" s="8"/>
      <c r="AN40" s="9"/>
      <c r="AO40" s="9"/>
      <c r="AP40" s="10"/>
      <c r="AQ40" s="11"/>
      <c r="AR40" s="11"/>
      <c r="AS40" s="11"/>
      <c r="AT40" s="11"/>
      <c r="AU40" s="11"/>
      <c r="AV40" s="11"/>
      <c r="AW40" s="11"/>
      <c r="AX40" s="11"/>
      <c r="AY40" s="11"/>
      <c r="AZ40" s="11"/>
      <c r="BA40" s="11"/>
    </row>
    <row r="41" spans="1:53" ht="19.95" customHeight="1">
      <c r="A41" s="8" t="s">
        <v>1235</v>
      </c>
      <c r="B41" s="8" t="s">
        <v>1442</v>
      </c>
      <c r="C41" s="9" t="s">
        <v>176</v>
      </c>
      <c r="D41" s="9" t="s">
        <v>1441</v>
      </c>
      <c r="E41" s="10"/>
      <c r="F41" s="84">
        <v>2751415.2490987401</v>
      </c>
      <c r="G41" s="84">
        <v>2821055.6601290102</v>
      </c>
      <c r="H41" s="84">
        <v>2892458.7228891798</v>
      </c>
      <c r="I41" s="84">
        <v>2965669.0514341299</v>
      </c>
      <c r="J41" s="84">
        <v>3040732.38903441</v>
      </c>
      <c r="K41" s="84">
        <v>3117695.6367574902</v>
      </c>
      <c r="L41" s="84">
        <v>3196606.8827725002</v>
      </c>
      <c r="M41" s="84">
        <v>3277515.4323967099</v>
      </c>
      <c r="N41" s="84">
        <v>3360471.8389023999</v>
      </c>
      <c r="O41" s="84">
        <v>3445527.9351036102</v>
      </c>
      <c r="P41" s="84">
        <v>0</v>
      </c>
      <c r="T41" s="8" t="s">
        <v>1235</v>
      </c>
      <c r="U41" s="8" t="s">
        <v>1442</v>
      </c>
      <c r="V41" s="9" t="s">
        <v>176</v>
      </c>
      <c r="W41" s="9" t="s">
        <v>1441</v>
      </c>
      <c r="X41" s="10"/>
      <c r="Y41" s="11">
        <v>2</v>
      </c>
      <c r="Z41" s="11">
        <v>2</v>
      </c>
      <c r="AA41" s="11">
        <v>2</v>
      </c>
      <c r="AB41" s="11">
        <v>2</v>
      </c>
      <c r="AC41" s="11">
        <v>2</v>
      </c>
      <c r="AD41" s="11">
        <v>2</v>
      </c>
      <c r="AE41" s="11">
        <v>2</v>
      </c>
      <c r="AF41" s="11">
        <v>2</v>
      </c>
      <c r="AG41" s="11">
        <v>2</v>
      </c>
      <c r="AH41" s="11">
        <v>2</v>
      </c>
      <c r="AI41" s="11">
        <v>0</v>
      </c>
      <c r="AJ41" s="88"/>
      <c r="AL41" s="8"/>
      <c r="AM41" s="8"/>
      <c r="AN41" s="9"/>
      <c r="AO41" s="9"/>
      <c r="AP41" s="10"/>
      <c r="AQ41" s="11"/>
      <c r="AR41" s="11"/>
      <c r="AS41" s="11"/>
      <c r="AT41" s="11"/>
      <c r="AU41" s="11"/>
      <c r="AV41" s="11"/>
      <c r="AW41" s="11"/>
      <c r="AX41" s="11"/>
      <c r="AY41" s="11"/>
      <c r="AZ41" s="11"/>
      <c r="BA41" s="11"/>
    </row>
    <row r="42" spans="1:53">
      <c r="A42" s="8" t="s">
        <v>1503</v>
      </c>
      <c r="B42" s="8" t="s">
        <v>1435</v>
      </c>
      <c r="C42" s="9" t="s">
        <v>1505</v>
      </c>
      <c r="D42" s="9" t="s">
        <v>1506</v>
      </c>
      <c r="E42" s="10"/>
      <c r="F42" s="84">
        <v>10381875</v>
      </c>
      <c r="G42" s="84">
        <v>15067500</v>
      </c>
      <c r="H42" s="84">
        <v>15067500</v>
      </c>
      <c r="I42" s="84">
        <v>15067500</v>
      </c>
      <c r="J42" s="84">
        <v>15067500</v>
      </c>
      <c r="K42" s="84">
        <v>15067500</v>
      </c>
      <c r="L42" s="84">
        <v>15067500</v>
      </c>
      <c r="M42" s="84">
        <v>15067500</v>
      </c>
      <c r="N42" s="84">
        <v>15067500</v>
      </c>
      <c r="O42" s="84">
        <v>15067500</v>
      </c>
      <c r="P42" s="84">
        <v>0</v>
      </c>
      <c r="T42" s="8" t="s">
        <v>1503</v>
      </c>
      <c r="U42" s="8" t="s">
        <v>1435</v>
      </c>
      <c r="V42" s="9" t="s">
        <v>1505</v>
      </c>
      <c r="W42" s="9" t="s">
        <v>1506</v>
      </c>
      <c r="X42" s="10"/>
      <c r="Y42" s="84">
        <v>1</v>
      </c>
      <c r="Z42" s="84">
        <v>1</v>
      </c>
      <c r="AA42" s="84">
        <v>1</v>
      </c>
      <c r="AB42" s="84">
        <v>1</v>
      </c>
      <c r="AC42" s="84">
        <v>1</v>
      </c>
      <c r="AD42" s="84">
        <v>1</v>
      </c>
      <c r="AE42" s="84">
        <v>1</v>
      </c>
      <c r="AF42" s="84">
        <v>1</v>
      </c>
      <c r="AG42" s="84">
        <v>1</v>
      </c>
      <c r="AH42" s="84">
        <v>1</v>
      </c>
      <c r="AI42" s="11">
        <v>0</v>
      </c>
    </row>
    <row r="43" spans="1:53">
      <c r="A43" s="8" t="s">
        <v>1504</v>
      </c>
      <c r="B43" s="8" t="s">
        <v>1442</v>
      </c>
      <c r="C43" s="9" t="s">
        <v>1491</v>
      </c>
      <c r="D43" s="9" t="s">
        <v>1500</v>
      </c>
      <c r="E43" s="10"/>
      <c r="F43" s="84">
        <v>18742500</v>
      </c>
      <c r="G43" s="84">
        <v>18742500</v>
      </c>
      <c r="H43" s="84">
        <v>18742500</v>
      </c>
      <c r="I43" s="84">
        <v>18742500</v>
      </c>
      <c r="J43" s="84">
        <v>18742500</v>
      </c>
      <c r="K43" s="84">
        <v>18742500</v>
      </c>
      <c r="L43" s="84">
        <v>18742500</v>
      </c>
      <c r="M43" s="84">
        <v>18742500</v>
      </c>
      <c r="N43" s="84">
        <v>18742500</v>
      </c>
      <c r="O43" s="84">
        <v>18742500</v>
      </c>
      <c r="P43" s="84">
        <v>0</v>
      </c>
      <c r="T43" s="8" t="s">
        <v>1504</v>
      </c>
      <c r="U43" s="8" t="s">
        <v>1442</v>
      </c>
      <c r="V43" s="9" t="s">
        <v>1491</v>
      </c>
      <c r="W43" s="9" t="s">
        <v>1500</v>
      </c>
      <c r="X43" s="10"/>
      <c r="Y43" s="84">
        <v>1</v>
      </c>
      <c r="Z43" s="84">
        <v>1</v>
      </c>
      <c r="AA43" s="84">
        <v>1</v>
      </c>
      <c r="AB43" s="84">
        <v>1</v>
      </c>
      <c r="AC43" s="84">
        <v>1</v>
      </c>
      <c r="AD43" s="84">
        <v>1</v>
      </c>
      <c r="AE43" s="84">
        <v>1</v>
      </c>
      <c r="AF43" s="84">
        <v>1</v>
      </c>
      <c r="AG43" s="84">
        <v>1</v>
      </c>
      <c r="AH43" s="84">
        <v>1</v>
      </c>
      <c r="AI43" s="11">
        <v>0</v>
      </c>
    </row>
    <row r="44" spans="1:53">
      <c r="G44" s="537"/>
      <c r="H44" s="537"/>
      <c r="I44" s="537"/>
      <c r="J44" s="537"/>
    </row>
  </sheetData>
  <phoneticPr fontId="1"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4_Sheet">
    <tabColor theme="7" tint="-0.249977111117893"/>
  </sheetPr>
  <dimension ref="A4:BA68"/>
  <sheetViews>
    <sheetView showGridLines="0" zoomScale="70" zoomScaleNormal="70" workbookViewId="0">
      <selection activeCell="A5" sqref="A5:E44"/>
    </sheetView>
  </sheetViews>
  <sheetFormatPr defaultRowHeight="17.399999999999999"/>
  <cols>
    <col min="1" max="1" width="13" customWidth="1"/>
    <col min="2" max="2" width="16.8984375" bestFit="1" customWidth="1"/>
    <col min="4" max="4" width="19.69921875" bestFit="1" customWidth="1"/>
    <col min="5" max="5" width="19.19921875" bestFit="1" customWidth="1"/>
    <col min="6" max="6" width="13.5" bestFit="1" customWidth="1"/>
    <col min="7" max="7" width="10.5" customWidth="1"/>
    <col min="8" max="8" width="19.69921875" bestFit="1" customWidth="1"/>
    <col min="9" max="9" width="10.5" customWidth="1"/>
    <col min="10" max="10" width="19.69921875" bestFit="1" customWidth="1"/>
    <col min="11" max="11" width="10.5" customWidth="1"/>
    <col min="12" max="12" width="15.69921875" bestFit="1" customWidth="1"/>
    <col min="13" max="13" width="10.5" customWidth="1"/>
    <col min="14" max="14" width="18.59765625" bestFit="1" customWidth="1"/>
    <col min="15" max="15" width="10.5" customWidth="1"/>
    <col min="16" max="16" width="10.09765625" bestFit="1" customWidth="1"/>
    <col min="31" max="31" width="10.09765625" bestFit="1" customWidth="1"/>
    <col min="39" max="40" width="8.796875" style="42"/>
  </cols>
  <sheetData>
    <row r="4" spans="1:53" ht="52.2">
      <c r="A4" s="7" t="s">
        <v>178</v>
      </c>
      <c r="B4" s="7" t="s">
        <v>1</v>
      </c>
      <c r="C4" s="7" t="s">
        <v>179</v>
      </c>
      <c r="D4" s="7" t="s">
        <v>180</v>
      </c>
      <c r="E4" s="7" t="s">
        <v>181</v>
      </c>
      <c r="F4" s="529" t="s">
        <v>175</v>
      </c>
      <c r="G4" s="529" t="s">
        <v>184</v>
      </c>
      <c r="H4" s="529" t="s">
        <v>185</v>
      </c>
      <c r="I4" s="529" t="s">
        <v>186</v>
      </c>
      <c r="J4" s="529" t="s">
        <v>187</v>
      </c>
      <c r="K4" s="529" t="s">
        <v>188</v>
      </c>
      <c r="L4" s="529" t="s">
        <v>189</v>
      </c>
      <c r="M4" s="529" t="s">
        <v>190</v>
      </c>
      <c r="N4" s="529" t="s">
        <v>191</v>
      </c>
      <c r="O4" s="529" t="s">
        <v>192</v>
      </c>
      <c r="P4" s="529" t="s">
        <v>1239</v>
      </c>
      <c r="R4" s="6" t="s">
        <v>182</v>
      </c>
      <c r="T4" s="5" t="s">
        <v>178</v>
      </c>
      <c r="U4" s="5" t="s">
        <v>1</v>
      </c>
      <c r="V4" s="5" t="s">
        <v>179</v>
      </c>
      <c r="W4" s="5" t="s">
        <v>180</v>
      </c>
      <c r="X4" s="5" t="s">
        <v>181</v>
      </c>
      <c r="Y4" s="530" t="s">
        <v>1425</v>
      </c>
      <c r="Z4" s="530" t="s">
        <v>300</v>
      </c>
      <c r="AA4" s="530" t="s">
        <v>301</v>
      </c>
      <c r="AB4" s="530" t="s">
        <v>302</v>
      </c>
      <c r="AC4" s="530" t="s">
        <v>303</v>
      </c>
      <c r="AD4" s="530" t="s">
        <v>304</v>
      </c>
      <c r="AE4" s="530" t="s">
        <v>305</v>
      </c>
      <c r="AF4" s="530" t="s">
        <v>306</v>
      </c>
      <c r="AG4" s="530" t="s">
        <v>307</v>
      </c>
      <c r="AH4" s="530" t="s">
        <v>308</v>
      </c>
      <c r="AI4" s="530" t="s">
        <v>1240</v>
      </c>
      <c r="AJ4" s="523"/>
      <c r="AL4" s="5" t="s">
        <v>178</v>
      </c>
      <c r="AM4" s="5" t="s">
        <v>1</v>
      </c>
      <c r="AN4" s="5" t="s">
        <v>179</v>
      </c>
      <c r="AO4" s="5" t="s">
        <v>180</v>
      </c>
      <c r="AP4" s="5" t="s">
        <v>181</v>
      </c>
      <c r="AQ4" s="103" t="s">
        <v>309</v>
      </c>
      <c r="AR4" s="103" t="s">
        <v>310</v>
      </c>
      <c r="AS4" s="103" t="s">
        <v>311</v>
      </c>
      <c r="AT4" s="103" t="s">
        <v>312</v>
      </c>
      <c r="AU4" s="103" t="s">
        <v>313</v>
      </c>
      <c r="AV4" s="103" t="s">
        <v>314</v>
      </c>
      <c r="AW4" s="103" t="s">
        <v>315</v>
      </c>
      <c r="AX4" s="103" t="s">
        <v>316</v>
      </c>
      <c r="AY4" s="103" t="s">
        <v>317</v>
      </c>
      <c r="AZ4" s="103" t="s">
        <v>318</v>
      </c>
      <c r="BA4" s="103" t="s">
        <v>1241</v>
      </c>
    </row>
    <row r="5" spans="1:53" ht="19.95" customHeight="1">
      <c r="A5" s="8" t="s">
        <v>982</v>
      </c>
      <c r="B5" s="8" t="s">
        <v>1185</v>
      </c>
      <c r="C5" s="105" t="s">
        <v>159</v>
      </c>
      <c r="D5" s="105" t="s">
        <v>1200</v>
      </c>
      <c r="E5" s="10" t="s">
        <v>1201</v>
      </c>
      <c r="F5" s="84">
        <v>3198644.5476890798</v>
      </c>
      <c r="G5" s="84">
        <f>F5*$R$5</f>
        <v>3279604.6721609468</v>
      </c>
      <c r="H5" s="84">
        <f t="shared" ref="H5:O5" si="0">G5*$R$5</f>
        <v>3362613.9589128913</v>
      </c>
      <c r="I5" s="84">
        <f t="shared" si="0"/>
        <v>3447724.2737995852</v>
      </c>
      <c r="J5" s="84">
        <f t="shared" si="0"/>
        <v>3534988.7954399008</v>
      </c>
      <c r="K5" s="84">
        <f t="shared" si="0"/>
        <v>3624462.0484439693</v>
      </c>
      <c r="L5" s="84">
        <f t="shared" si="0"/>
        <v>3716199.9374812432</v>
      </c>
      <c r="M5" s="84">
        <f t="shared" si="0"/>
        <v>3810259.782210846</v>
      </c>
      <c r="N5" s="84">
        <f t="shared" si="0"/>
        <v>3906700.3530960367</v>
      </c>
      <c r="O5" s="84">
        <f t="shared" si="0"/>
        <v>4005581.9081251658</v>
      </c>
      <c r="P5" s="84">
        <v>0</v>
      </c>
      <c r="R5">
        <v>1.02531076</v>
      </c>
      <c r="T5" s="8" t="s">
        <v>982</v>
      </c>
      <c r="U5" s="8" t="s">
        <v>1185</v>
      </c>
      <c r="V5" s="538" t="s">
        <v>159</v>
      </c>
      <c r="W5" s="105" t="s">
        <v>1200</v>
      </c>
      <c r="X5" s="10" t="s">
        <v>1201</v>
      </c>
      <c r="Y5" s="539">
        <v>1</v>
      </c>
      <c r="Z5" s="104">
        <v>1</v>
      </c>
      <c r="AA5" s="104">
        <v>1</v>
      </c>
      <c r="AB5" s="104">
        <v>1</v>
      </c>
      <c r="AC5" s="104">
        <v>1</v>
      </c>
      <c r="AD5" s="104">
        <v>1</v>
      </c>
      <c r="AE5" s="104">
        <v>1</v>
      </c>
      <c r="AF5" s="85">
        <v>1</v>
      </c>
      <c r="AG5" s="85">
        <v>1</v>
      </c>
      <c r="AH5" s="85">
        <v>1</v>
      </c>
      <c r="AI5" s="85">
        <v>0</v>
      </c>
      <c r="AK5" s="8" t="s">
        <v>982</v>
      </c>
      <c r="AL5" s="8" t="s">
        <v>1185</v>
      </c>
      <c r="AM5" s="105" t="s">
        <v>159</v>
      </c>
      <c r="AN5" s="105" t="s">
        <v>1200</v>
      </c>
      <c r="AO5" s="10" t="s">
        <v>1201</v>
      </c>
      <c r="AP5" s="11"/>
      <c r="AQ5" s="11"/>
      <c r="AR5" s="11"/>
      <c r="AS5" s="11"/>
      <c r="AT5" s="11"/>
      <c r="AU5" s="11"/>
      <c r="AV5" s="11"/>
      <c r="AW5" s="11"/>
      <c r="AX5" s="11"/>
      <c r="AY5" s="11"/>
    </row>
    <row r="6" spans="1:53" ht="19.95" customHeight="1">
      <c r="A6" s="8" t="s">
        <v>983</v>
      </c>
      <c r="B6" s="83" t="s">
        <v>1185</v>
      </c>
      <c r="C6" s="106" t="s">
        <v>159</v>
      </c>
      <c r="D6" s="106" t="s">
        <v>1200</v>
      </c>
      <c r="E6" s="83" t="s">
        <v>159</v>
      </c>
      <c r="F6" s="84">
        <v>2416906.6118346802</v>
      </c>
      <c r="G6" s="84">
        <f t="shared" ref="G6:O27" si="1">F6*$R$5</f>
        <v>2478080.3550292407</v>
      </c>
      <c r="H6" s="84">
        <f t="shared" si="1"/>
        <v>2540802.4521561004</v>
      </c>
      <c r="I6" s="84">
        <f t="shared" si="1"/>
        <v>2605112.0932300352</v>
      </c>
      <c r="J6" s="84">
        <f t="shared" si="1"/>
        <v>2671049.4601948783</v>
      </c>
      <c r="K6" s="84">
        <f t="shared" si="1"/>
        <v>2738655.7520300006</v>
      </c>
      <c r="L6" s="84">
        <f t="shared" si="1"/>
        <v>2807973.2104922514</v>
      </c>
      <c r="M6" s="84">
        <f t="shared" si="1"/>
        <v>2879045.1465094504</v>
      </c>
      <c r="N6" s="84">
        <f t="shared" si="1"/>
        <v>2951915.9672419159</v>
      </c>
      <c r="O6" s="84">
        <f t="shared" si="1"/>
        <v>3026631.2038289439</v>
      </c>
      <c r="P6" s="84">
        <v>0</v>
      </c>
      <c r="T6" s="8" t="s">
        <v>983</v>
      </c>
      <c r="U6" s="83" t="s">
        <v>1185</v>
      </c>
      <c r="V6" s="538" t="s">
        <v>159</v>
      </c>
      <c r="W6" s="106" t="s">
        <v>1200</v>
      </c>
      <c r="X6" s="83" t="s">
        <v>159</v>
      </c>
      <c r="Y6" s="539">
        <v>5</v>
      </c>
      <c r="Z6" s="104">
        <v>5</v>
      </c>
      <c r="AA6" s="104">
        <v>5</v>
      </c>
      <c r="AB6" s="104">
        <v>5</v>
      </c>
      <c r="AC6" s="104">
        <v>5</v>
      </c>
      <c r="AD6" s="104">
        <v>5</v>
      </c>
      <c r="AE6" s="104">
        <v>5</v>
      </c>
      <c r="AF6" s="86">
        <v>5</v>
      </c>
      <c r="AG6" s="86">
        <v>5</v>
      </c>
      <c r="AH6" s="86">
        <v>5</v>
      </c>
      <c r="AI6" s="86">
        <v>0</v>
      </c>
      <c r="AK6" s="83" t="s">
        <v>983</v>
      </c>
      <c r="AL6" s="83" t="s">
        <v>1185</v>
      </c>
      <c r="AM6" s="106" t="s">
        <v>159</v>
      </c>
      <c r="AN6" s="106" t="s">
        <v>1200</v>
      </c>
      <c r="AO6" s="83" t="s">
        <v>159</v>
      </c>
      <c r="AP6" s="11"/>
      <c r="AQ6" s="11"/>
      <c r="AR6" s="11"/>
      <c r="AS6" s="11"/>
      <c r="AT6" s="11"/>
      <c r="AU6" s="11"/>
      <c r="AV6" s="11"/>
      <c r="AW6" s="11"/>
      <c r="AX6" s="11"/>
      <c r="AY6" s="11"/>
    </row>
    <row r="7" spans="1:53" ht="19.95" customHeight="1">
      <c r="A7" s="8" t="s">
        <v>984</v>
      </c>
      <c r="B7" s="8" t="s">
        <v>1185</v>
      </c>
      <c r="C7" s="105" t="s">
        <v>159</v>
      </c>
      <c r="D7" s="105" t="s">
        <v>1202</v>
      </c>
      <c r="E7" s="10" t="s">
        <v>159</v>
      </c>
      <c r="F7" s="84">
        <v>2416906.6118346802</v>
      </c>
      <c r="G7" s="84">
        <f t="shared" si="1"/>
        <v>2478080.3550292407</v>
      </c>
      <c r="H7" s="84">
        <f t="shared" si="1"/>
        <v>2540802.4521561004</v>
      </c>
      <c r="I7" s="84">
        <f t="shared" si="1"/>
        <v>2605112.0932300352</v>
      </c>
      <c r="J7" s="84">
        <f t="shared" si="1"/>
        <v>2671049.4601948783</v>
      </c>
      <c r="K7" s="84">
        <f t="shared" si="1"/>
        <v>2738655.7520300006</v>
      </c>
      <c r="L7" s="84">
        <f t="shared" si="1"/>
        <v>2807973.2104922514</v>
      </c>
      <c r="M7" s="84">
        <f t="shared" si="1"/>
        <v>2879045.1465094504</v>
      </c>
      <c r="N7" s="84">
        <f t="shared" si="1"/>
        <v>2951915.9672419159</v>
      </c>
      <c r="O7" s="84">
        <f t="shared" si="1"/>
        <v>3026631.2038289439</v>
      </c>
      <c r="P7" s="84">
        <v>0</v>
      </c>
      <c r="R7" s="88"/>
      <c r="T7" s="8" t="s">
        <v>984</v>
      </c>
      <c r="U7" s="8" t="s">
        <v>1185</v>
      </c>
      <c r="V7" s="538" t="s">
        <v>159</v>
      </c>
      <c r="W7" s="105" t="s">
        <v>1202</v>
      </c>
      <c r="X7" s="10" t="s">
        <v>159</v>
      </c>
      <c r="Y7" s="539">
        <v>5</v>
      </c>
      <c r="Z7" s="104">
        <v>5</v>
      </c>
      <c r="AA7" s="104">
        <v>5</v>
      </c>
      <c r="AB7" s="104">
        <v>5</v>
      </c>
      <c r="AC7" s="104">
        <v>5</v>
      </c>
      <c r="AD7" s="104">
        <v>5</v>
      </c>
      <c r="AE7" s="104">
        <v>5</v>
      </c>
      <c r="AF7" s="86">
        <v>5</v>
      </c>
      <c r="AG7" s="86">
        <v>5</v>
      </c>
      <c r="AH7" s="86">
        <v>5</v>
      </c>
      <c r="AI7" s="86">
        <v>0</v>
      </c>
      <c r="AK7" s="8" t="s">
        <v>984</v>
      </c>
      <c r="AL7" s="8" t="s">
        <v>1185</v>
      </c>
      <c r="AM7" s="105" t="s">
        <v>159</v>
      </c>
      <c r="AN7" s="105" t="s">
        <v>1202</v>
      </c>
      <c r="AO7" s="10" t="s">
        <v>159</v>
      </c>
      <c r="AP7" s="11"/>
      <c r="AQ7" s="11"/>
      <c r="AR7" s="11"/>
      <c r="AS7" s="11"/>
      <c r="AT7" s="11"/>
      <c r="AU7" s="11"/>
      <c r="AV7" s="11"/>
      <c r="AW7" s="11"/>
      <c r="AX7" s="11"/>
      <c r="AY7" s="11"/>
    </row>
    <row r="8" spans="1:53" ht="19.95" customHeight="1">
      <c r="A8" s="8" t="s">
        <v>985</v>
      </c>
      <c r="B8" s="8" t="s">
        <v>1185</v>
      </c>
      <c r="C8" s="105" t="s">
        <v>159</v>
      </c>
      <c r="D8" s="105" t="s">
        <v>1203</v>
      </c>
      <c r="E8" s="10" t="s">
        <v>159</v>
      </c>
      <c r="F8" s="84">
        <v>2475400.5906926799</v>
      </c>
      <c r="G8" s="84">
        <f t="shared" si="1"/>
        <v>2538054.8609475605</v>
      </c>
      <c r="H8" s="84">
        <f t="shared" si="1"/>
        <v>2602294.9583998374</v>
      </c>
      <c r="I8" s="84">
        <f t="shared" si="1"/>
        <v>2668161.0215411056</v>
      </c>
      <c r="J8" s="84">
        <f t="shared" si="1"/>
        <v>2735694.2047986872</v>
      </c>
      <c r="K8" s="84">
        <f t="shared" si="1"/>
        <v>2804936.7042497378</v>
      </c>
      <c r="L8" s="84">
        <f t="shared" si="1"/>
        <v>2875931.7839861941</v>
      </c>
      <c r="M8" s="84">
        <f t="shared" si="1"/>
        <v>2948723.8031470403</v>
      </c>
      <c r="N8" s="84">
        <f t="shared" si="1"/>
        <v>3023358.2436347823</v>
      </c>
      <c r="O8" s="84">
        <f t="shared" si="1"/>
        <v>3099881.7385334438</v>
      </c>
      <c r="P8" s="84">
        <v>0</v>
      </c>
      <c r="R8" s="88"/>
      <c r="T8" s="8" t="s">
        <v>985</v>
      </c>
      <c r="U8" s="8" t="s">
        <v>1185</v>
      </c>
      <c r="V8" s="538" t="s">
        <v>159</v>
      </c>
      <c r="W8" s="105" t="s">
        <v>1203</v>
      </c>
      <c r="X8" s="10" t="s">
        <v>159</v>
      </c>
      <c r="Y8" s="539">
        <v>25</v>
      </c>
      <c r="Z8" s="104">
        <v>25</v>
      </c>
      <c r="AA8" s="104">
        <v>25</v>
      </c>
      <c r="AB8" s="104">
        <v>25</v>
      </c>
      <c r="AC8" s="104">
        <v>25</v>
      </c>
      <c r="AD8" s="104">
        <v>25</v>
      </c>
      <c r="AE8" s="104">
        <v>25</v>
      </c>
      <c r="AF8" s="86">
        <v>25</v>
      </c>
      <c r="AG8" s="86">
        <v>25</v>
      </c>
      <c r="AH8" s="86">
        <v>25</v>
      </c>
      <c r="AI8" s="86">
        <v>0</v>
      </c>
      <c r="AK8" s="8" t="s">
        <v>985</v>
      </c>
      <c r="AL8" s="8" t="s">
        <v>1185</v>
      </c>
      <c r="AM8" s="105" t="s">
        <v>159</v>
      </c>
      <c r="AN8" s="105" t="s">
        <v>1203</v>
      </c>
      <c r="AO8" s="10" t="s">
        <v>159</v>
      </c>
      <c r="AP8" s="11"/>
      <c r="AQ8" s="11"/>
      <c r="AR8" s="11"/>
      <c r="AS8" s="11"/>
      <c r="AT8" s="11"/>
      <c r="AU8" s="11"/>
      <c r="AV8" s="11"/>
      <c r="AW8" s="11"/>
      <c r="AX8" s="11"/>
      <c r="AY8" s="11"/>
    </row>
    <row r="9" spans="1:53" ht="19.95" customHeight="1">
      <c r="A9" s="8" t="s">
        <v>986</v>
      </c>
      <c r="B9" s="8" t="s">
        <v>1185</v>
      </c>
      <c r="C9" s="105" t="s">
        <v>159</v>
      </c>
      <c r="D9" s="105" t="s">
        <v>1203</v>
      </c>
      <c r="E9" s="10" t="s">
        <v>1204</v>
      </c>
      <c r="F9" s="84">
        <v>2890361.2855476001</v>
      </c>
      <c r="G9" s="84">
        <f t="shared" si="1"/>
        <v>2963518.5263593867</v>
      </c>
      <c r="H9" s="84">
        <f t="shared" si="1"/>
        <v>3038527.4325356227</v>
      </c>
      <c r="I9" s="84">
        <f t="shared" si="1"/>
        <v>3115434.8711339482</v>
      </c>
      <c r="J9" s="84">
        <f t="shared" si="1"/>
        <v>3194288.8954528505</v>
      </c>
      <c r="K9" s="84">
        <f t="shared" si="1"/>
        <v>3275138.7750563226</v>
      </c>
      <c r="L9" s="84">
        <f t="shared" si="1"/>
        <v>3358035.0265584672</v>
      </c>
      <c r="M9" s="84">
        <f t="shared" si="1"/>
        <v>3443029.4451872823</v>
      </c>
      <c r="N9" s="84">
        <f t="shared" si="1"/>
        <v>3530175.1371473507</v>
      </c>
      <c r="O9" s="84">
        <f t="shared" si="1"/>
        <v>3619526.5528016542</v>
      </c>
      <c r="P9" s="84">
        <v>0</v>
      </c>
      <c r="R9" s="88"/>
      <c r="T9" s="8" t="s">
        <v>986</v>
      </c>
      <c r="U9" s="8" t="s">
        <v>1185</v>
      </c>
      <c r="V9" s="538" t="s">
        <v>159</v>
      </c>
      <c r="W9" s="105" t="s">
        <v>1203</v>
      </c>
      <c r="X9" s="10" t="s">
        <v>1204</v>
      </c>
      <c r="Y9" s="539">
        <v>1</v>
      </c>
      <c r="Z9" s="104">
        <v>1</v>
      </c>
      <c r="AA9" s="104">
        <v>1</v>
      </c>
      <c r="AB9" s="104">
        <v>1</v>
      </c>
      <c r="AC9" s="104">
        <v>1</v>
      </c>
      <c r="AD9" s="104">
        <v>1</v>
      </c>
      <c r="AE9" s="104">
        <v>1</v>
      </c>
      <c r="AF9" s="86">
        <v>1</v>
      </c>
      <c r="AG9" s="86">
        <v>1</v>
      </c>
      <c r="AH9" s="86">
        <v>1</v>
      </c>
      <c r="AI9" s="86">
        <v>0</v>
      </c>
      <c r="AK9" s="8" t="s">
        <v>986</v>
      </c>
      <c r="AL9" s="8" t="s">
        <v>1185</v>
      </c>
      <c r="AM9" s="105" t="s">
        <v>159</v>
      </c>
      <c r="AN9" s="105" t="s">
        <v>1203</v>
      </c>
      <c r="AO9" s="10" t="s">
        <v>1204</v>
      </c>
      <c r="AP9" s="11"/>
      <c r="AQ9" s="11"/>
      <c r="AR9" s="11"/>
      <c r="AS9" s="11"/>
      <c r="AT9" s="11"/>
      <c r="AU9" s="11"/>
      <c r="AV9" s="11"/>
      <c r="AW9" s="11"/>
      <c r="AX9" s="11"/>
      <c r="AY9" s="11"/>
    </row>
    <row r="10" spans="1:53" ht="19.95" customHeight="1">
      <c r="A10" s="8" t="s">
        <v>987</v>
      </c>
      <c r="B10" s="8" t="s">
        <v>1185</v>
      </c>
      <c r="C10" s="105" t="s">
        <v>159</v>
      </c>
      <c r="D10" s="105" t="s">
        <v>1203</v>
      </c>
      <c r="E10" s="10" t="s">
        <v>1205</v>
      </c>
      <c r="F10" s="84">
        <v>2713848.9116598</v>
      </c>
      <c r="G10" s="84">
        <f t="shared" si="1"/>
        <v>2782538.4901390825</v>
      </c>
      <c r="H10" s="84">
        <f t="shared" si="1"/>
        <v>2852966.6540537551</v>
      </c>
      <c r="I10" s="84">
        <f t="shared" si="1"/>
        <v>2925177.4083225126</v>
      </c>
      <c r="J10" s="84">
        <f t="shared" si="1"/>
        <v>2999215.8716619858</v>
      </c>
      <c r="K10" s="84">
        <f t="shared" si="1"/>
        <v>3075128.3047778131</v>
      </c>
      <c r="L10" s="84">
        <f t="shared" si="1"/>
        <v>3152962.1392692514</v>
      </c>
      <c r="M10" s="84">
        <f t="shared" si="1"/>
        <v>3232766.007265382</v>
      </c>
      <c r="N10" s="84">
        <f t="shared" si="1"/>
        <v>3314589.7718114341</v>
      </c>
      <c r="O10" s="84">
        <f t="shared" si="1"/>
        <v>3398484.5580242081</v>
      </c>
      <c r="P10" s="84">
        <v>0</v>
      </c>
      <c r="R10" s="88"/>
      <c r="T10" s="8" t="s">
        <v>987</v>
      </c>
      <c r="U10" s="8" t="s">
        <v>1185</v>
      </c>
      <c r="V10" s="538" t="s">
        <v>159</v>
      </c>
      <c r="W10" s="105" t="s">
        <v>1203</v>
      </c>
      <c r="X10" s="10" t="s">
        <v>1205</v>
      </c>
      <c r="Y10" s="539">
        <v>1</v>
      </c>
      <c r="Z10" s="104">
        <v>1</v>
      </c>
      <c r="AA10" s="104">
        <v>1</v>
      </c>
      <c r="AB10" s="104">
        <v>1</v>
      </c>
      <c r="AC10" s="104">
        <v>1</v>
      </c>
      <c r="AD10" s="104">
        <v>1</v>
      </c>
      <c r="AE10" s="104">
        <v>1</v>
      </c>
      <c r="AF10" s="86">
        <v>1</v>
      </c>
      <c r="AG10" s="86">
        <v>1</v>
      </c>
      <c r="AH10" s="86">
        <v>1</v>
      </c>
      <c r="AI10" s="86">
        <v>0</v>
      </c>
      <c r="AK10" s="8" t="s">
        <v>987</v>
      </c>
      <c r="AL10" s="8" t="s">
        <v>1185</v>
      </c>
      <c r="AM10" s="105" t="s">
        <v>159</v>
      </c>
      <c r="AN10" s="105" t="s">
        <v>1203</v>
      </c>
      <c r="AO10" s="10" t="s">
        <v>1205</v>
      </c>
      <c r="AP10" s="11"/>
      <c r="AQ10" s="11"/>
      <c r="AR10" s="11"/>
      <c r="AS10" s="11"/>
      <c r="AT10" s="11"/>
      <c r="AU10" s="11"/>
      <c r="AV10" s="11"/>
      <c r="AW10" s="11"/>
      <c r="AX10" s="11"/>
      <c r="AY10" s="11"/>
    </row>
    <row r="11" spans="1:53" ht="19.95" customHeight="1">
      <c r="A11" s="8" t="s">
        <v>988</v>
      </c>
      <c r="B11" s="8" t="s">
        <v>1185</v>
      </c>
      <c r="C11" s="105" t="s">
        <v>159</v>
      </c>
      <c r="D11" s="105" t="s">
        <v>1206</v>
      </c>
      <c r="E11" s="10" t="s">
        <v>159</v>
      </c>
      <c r="F11" s="84">
        <v>2428512.1043271199</v>
      </c>
      <c r="G11" s="84">
        <f t="shared" si="1"/>
        <v>2489979.5913568386</v>
      </c>
      <c r="H11" s="84">
        <f t="shared" si="1"/>
        <v>2553002.8671985697</v>
      </c>
      <c r="I11" s="84">
        <f t="shared" si="1"/>
        <v>2617621.3100495446</v>
      </c>
      <c r="J11" s="84">
        <f t="shared" si="1"/>
        <v>2683875.2947990941</v>
      </c>
      <c r="K11" s="84">
        <f t="shared" si="1"/>
        <v>2751806.2182556833</v>
      </c>
      <c r="L11" s="84">
        <f t="shared" si="1"/>
        <v>2821456.5250124605</v>
      </c>
      <c r="M11" s="84">
        <f t="shared" si="1"/>
        <v>2892869.7339674849</v>
      </c>
      <c r="N11" s="84">
        <f t="shared" si="1"/>
        <v>2966090.4655151996</v>
      </c>
      <c r="O11" s="84">
        <f t="shared" si="1"/>
        <v>3041164.469426143</v>
      </c>
      <c r="P11" s="84">
        <v>0</v>
      </c>
      <c r="R11" s="88"/>
      <c r="T11" s="8" t="s">
        <v>988</v>
      </c>
      <c r="U11" s="8" t="s">
        <v>1185</v>
      </c>
      <c r="V11" s="538" t="s">
        <v>159</v>
      </c>
      <c r="W11" s="105" t="s">
        <v>1206</v>
      </c>
      <c r="X11" s="10" t="s">
        <v>159</v>
      </c>
      <c r="Y11" s="539">
        <v>9</v>
      </c>
      <c r="Z11" s="104">
        <v>9</v>
      </c>
      <c r="AA11" s="104">
        <v>9</v>
      </c>
      <c r="AB11" s="104">
        <v>9</v>
      </c>
      <c r="AC11" s="104">
        <v>9</v>
      </c>
      <c r="AD11" s="104">
        <v>9</v>
      </c>
      <c r="AE11" s="104">
        <v>9</v>
      </c>
      <c r="AF11" s="86">
        <v>9</v>
      </c>
      <c r="AG11" s="86">
        <v>9</v>
      </c>
      <c r="AH11" s="86">
        <v>9</v>
      </c>
      <c r="AI11" s="86">
        <v>0</v>
      </c>
      <c r="AK11" s="8" t="s">
        <v>988</v>
      </c>
      <c r="AL11" s="8" t="s">
        <v>1185</v>
      </c>
      <c r="AM11" s="105" t="s">
        <v>159</v>
      </c>
      <c r="AN11" s="105" t="s">
        <v>1206</v>
      </c>
      <c r="AO11" s="10" t="s">
        <v>159</v>
      </c>
      <c r="AP11" s="11"/>
      <c r="AQ11" s="11"/>
      <c r="AR11" s="11"/>
      <c r="AS11" s="11"/>
      <c r="AT11" s="11"/>
      <c r="AU11" s="11"/>
      <c r="AV11" s="11"/>
      <c r="AW11" s="11"/>
      <c r="AX11" s="11"/>
      <c r="AY11" s="11"/>
    </row>
    <row r="12" spans="1:53" ht="19.95" customHeight="1">
      <c r="A12" s="8" t="s">
        <v>989</v>
      </c>
      <c r="B12" s="8" t="s">
        <v>1185</v>
      </c>
      <c r="C12" s="105" t="s">
        <v>176</v>
      </c>
      <c r="D12" s="105" t="s">
        <v>1207</v>
      </c>
      <c r="E12" s="10" t="s">
        <v>177</v>
      </c>
      <c r="F12" s="84">
        <v>3934599.2821772001</v>
      </c>
      <c r="G12" s="84">
        <f t="shared" si="1"/>
        <v>4034186.9803045592</v>
      </c>
      <c r="H12" s="84">
        <f t="shared" si="1"/>
        <v>4136295.3187581724</v>
      </c>
      <c r="I12" s="84">
        <f t="shared" si="1"/>
        <v>4240988.0968603836</v>
      </c>
      <c r="J12" s="84">
        <f t="shared" si="1"/>
        <v>4348330.7287428733</v>
      </c>
      <c r="K12" s="84">
        <f t="shared" si="1"/>
        <v>4458390.284218709</v>
      </c>
      <c r="L12" s="84">
        <f t="shared" si="1"/>
        <v>4571235.5306889005</v>
      </c>
      <c r="M12" s="84">
        <f t="shared" si="1"/>
        <v>4686936.9761096397</v>
      </c>
      <c r="N12" s="84">
        <f t="shared" si="1"/>
        <v>4805566.9130470762</v>
      </c>
      <c r="O12" s="84">
        <f t="shared" si="1"/>
        <v>4927199.463847152</v>
      </c>
      <c r="P12" s="84">
        <v>0</v>
      </c>
      <c r="R12" s="88"/>
      <c r="T12" s="8" t="s">
        <v>989</v>
      </c>
      <c r="U12" s="8" t="s">
        <v>1185</v>
      </c>
      <c r="V12" s="105" t="s">
        <v>176</v>
      </c>
      <c r="W12" s="105" t="s">
        <v>1207</v>
      </c>
      <c r="X12" s="10" t="s">
        <v>177</v>
      </c>
      <c r="Y12" s="104">
        <v>1</v>
      </c>
      <c r="Z12" s="104">
        <v>1</v>
      </c>
      <c r="AA12" s="104">
        <v>1</v>
      </c>
      <c r="AB12" s="104">
        <v>1</v>
      </c>
      <c r="AC12" s="104">
        <v>1</v>
      </c>
      <c r="AD12" s="104">
        <v>1</v>
      </c>
      <c r="AE12" s="104">
        <v>1</v>
      </c>
      <c r="AF12" s="86">
        <v>1</v>
      </c>
      <c r="AG12" s="86">
        <v>1</v>
      </c>
      <c r="AH12" s="86">
        <v>1</v>
      </c>
      <c r="AI12" s="86">
        <v>0</v>
      </c>
      <c r="AK12" s="8" t="s">
        <v>989</v>
      </c>
      <c r="AL12" s="8" t="s">
        <v>1185</v>
      </c>
      <c r="AM12" s="105" t="s">
        <v>176</v>
      </c>
      <c r="AN12" s="105" t="s">
        <v>1207</v>
      </c>
      <c r="AO12" s="10" t="s">
        <v>177</v>
      </c>
      <c r="AP12" s="11"/>
      <c r="AQ12" s="11"/>
      <c r="AR12" s="11"/>
      <c r="AS12" s="11"/>
      <c r="AT12" s="11"/>
      <c r="AU12" s="11"/>
      <c r="AV12" s="11"/>
      <c r="AW12" s="11"/>
      <c r="AX12" s="11"/>
      <c r="AY12" s="11"/>
    </row>
    <row r="13" spans="1:53" ht="19.95" customHeight="1">
      <c r="A13" s="8" t="s">
        <v>990</v>
      </c>
      <c r="B13" s="8" t="s">
        <v>1185</v>
      </c>
      <c r="C13" s="105" t="s">
        <v>176</v>
      </c>
      <c r="D13" s="105" t="s">
        <v>1207</v>
      </c>
      <c r="E13" s="10" t="s">
        <v>1208</v>
      </c>
      <c r="F13" s="84">
        <v>3005310.9254727201</v>
      </c>
      <c r="G13" s="84">
        <f t="shared" si="1"/>
        <v>3081377.629032738</v>
      </c>
      <c r="H13" s="84">
        <f t="shared" si="1"/>
        <v>3159369.6386705549</v>
      </c>
      <c r="I13" s="84">
        <f t="shared" si="1"/>
        <v>3239335.6853462318</v>
      </c>
      <c r="J13" s="84">
        <f t="shared" si="1"/>
        <v>3321325.733437466</v>
      </c>
      <c r="K13" s="84">
        <f t="shared" si="1"/>
        <v>3405391.0119583257</v>
      </c>
      <c r="L13" s="84">
        <f t="shared" si="1"/>
        <v>3491584.0465681599</v>
      </c>
      <c r="M13" s="84">
        <f t="shared" si="1"/>
        <v>3579958.6923906752</v>
      </c>
      <c r="N13" s="84">
        <f t="shared" si="1"/>
        <v>3670570.1676636892</v>
      </c>
      <c r="O13" s="84">
        <f t="shared" si="1"/>
        <v>3763475.0882405844</v>
      </c>
      <c r="P13" s="84">
        <v>0</v>
      </c>
      <c r="R13" s="88"/>
      <c r="T13" s="8" t="s">
        <v>990</v>
      </c>
      <c r="U13" s="8" t="s">
        <v>1185</v>
      </c>
      <c r="V13" s="105" t="s">
        <v>176</v>
      </c>
      <c r="W13" s="105" t="s">
        <v>1207</v>
      </c>
      <c r="X13" s="10" t="s">
        <v>1208</v>
      </c>
      <c r="Y13" s="104">
        <v>1</v>
      </c>
      <c r="Z13" s="104">
        <v>1</v>
      </c>
      <c r="AA13" s="104">
        <v>1</v>
      </c>
      <c r="AB13" s="104">
        <v>1</v>
      </c>
      <c r="AC13" s="104">
        <v>1</v>
      </c>
      <c r="AD13" s="104">
        <v>1</v>
      </c>
      <c r="AE13" s="104">
        <v>1</v>
      </c>
      <c r="AF13" s="86">
        <v>1</v>
      </c>
      <c r="AG13" s="86">
        <v>1</v>
      </c>
      <c r="AH13" s="86">
        <v>1</v>
      </c>
      <c r="AI13" s="86">
        <v>0</v>
      </c>
      <c r="AK13" s="8" t="s">
        <v>990</v>
      </c>
      <c r="AL13" s="8" t="s">
        <v>1185</v>
      </c>
      <c r="AM13" s="105" t="s">
        <v>176</v>
      </c>
      <c r="AN13" s="105" t="s">
        <v>1207</v>
      </c>
      <c r="AO13" s="10" t="s">
        <v>1208</v>
      </c>
      <c r="AP13" s="11"/>
      <c r="AQ13" s="11"/>
      <c r="AR13" s="11"/>
      <c r="AS13" s="11"/>
      <c r="AT13" s="11"/>
      <c r="AU13" s="11"/>
      <c r="AV13" s="11"/>
      <c r="AW13" s="11"/>
      <c r="AX13" s="11"/>
      <c r="AY13" s="11"/>
    </row>
    <row r="14" spans="1:53" ht="19.95" customHeight="1">
      <c r="A14" s="8" t="s">
        <v>991</v>
      </c>
      <c r="B14" s="8" t="s">
        <v>1185</v>
      </c>
      <c r="C14" s="105" t="s">
        <v>176</v>
      </c>
      <c r="D14" s="105" t="s">
        <v>1207</v>
      </c>
      <c r="E14" s="10" t="s">
        <v>1209</v>
      </c>
      <c r="F14" s="84">
        <v>2822413.9414824001</v>
      </c>
      <c r="G14" s="84">
        <f t="shared" si="1"/>
        <v>2893851.3833759152</v>
      </c>
      <c r="H14" s="84">
        <f t="shared" si="1"/>
        <v>2967096.9612162109</v>
      </c>
      <c r="I14" s="84">
        <f t="shared" si="1"/>
        <v>3042196.4402982835</v>
      </c>
      <c r="J14" s="84">
        <f t="shared" si="1"/>
        <v>3119196.7442715275</v>
      </c>
      <c r="K14" s="84">
        <f t="shared" si="1"/>
        <v>3198145.9844585657</v>
      </c>
      <c r="L14" s="84">
        <f t="shared" si="1"/>
        <v>3279093.4899161602</v>
      </c>
      <c r="M14" s="84">
        <f t="shared" si="1"/>
        <v>3362089.8382569905</v>
      </c>
      <c r="N14" s="84">
        <f t="shared" si="1"/>
        <v>3447186.8872515522</v>
      </c>
      <c r="O14" s="84">
        <f t="shared" si="1"/>
        <v>3534437.8072299231</v>
      </c>
      <c r="P14" s="84">
        <v>0</v>
      </c>
      <c r="R14" s="88"/>
      <c r="T14" s="8" t="s">
        <v>991</v>
      </c>
      <c r="U14" s="8" t="s">
        <v>1185</v>
      </c>
      <c r="V14" s="105" t="s">
        <v>176</v>
      </c>
      <c r="W14" s="105" t="s">
        <v>1207</v>
      </c>
      <c r="X14" s="10" t="s">
        <v>1209</v>
      </c>
      <c r="Y14" s="104">
        <v>3</v>
      </c>
      <c r="Z14" s="104">
        <v>3</v>
      </c>
      <c r="AA14" s="104">
        <v>3</v>
      </c>
      <c r="AB14" s="104">
        <v>3</v>
      </c>
      <c r="AC14" s="104">
        <v>3</v>
      </c>
      <c r="AD14" s="104">
        <v>3</v>
      </c>
      <c r="AE14" s="104">
        <v>3</v>
      </c>
      <c r="AF14" s="86">
        <v>3</v>
      </c>
      <c r="AG14" s="86">
        <v>3</v>
      </c>
      <c r="AH14" s="86">
        <v>3</v>
      </c>
      <c r="AI14" s="86">
        <v>0</v>
      </c>
      <c r="AK14" s="8" t="s">
        <v>991</v>
      </c>
      <c r="AL14" s="8" t="s">
        <v>1185</v>
      </c>
      <c r="AM14" s="105" t="s">
        <v>176</v>
      </c>
      <c r="AN14" s="105" t="s">
        <v>1207</v>
      </c>
      <c r="AO14" s="10" t="s">
        <v>1209</v>
      </c>
      <c r="AP14" s="11"/>
      <c r="AQ14" s="11"/>
      <c r="AR14" s="11"/>
      <c r="AS14" s="11"/>
      <c r="AT14" s="11"/>
      <c r="AU14" s="11"/>
      <c r="AV14" s="11"/>
      <c r="AW14" s="11"/>
      <c r="AX14" s="11"/>
      <c r="AY14" s="11"/>
    </row>
    <row r="15" spans="1:53" ht="19.95" customHeight="1">
      <c r="A15" s="8" t="s">
        <v>992</v>
      </c>
      <c r="B15" s="8" t="s">
        <v>1185</v>
      </c>
      <c r="C15" s="105" t="s">
        <v>176</v>
      </c>
      <c r="D15" s="105" t="s">
        <v>1200</v>
      </c>
      <c r="E15" s="10" t="s">
        <v>1210</v>
      </c>
      <c r="F15" s="84">
        <v>2822413.9414824001</v>
      </c>
      <c r="G15" s="84">
        <f t="shared" si="1"/>
        <v>2893851.3833759152</v>
      </c>
      <c r="H15" s="84">
        <f t="shared" si="1"/>
        <v>2967096.9612162109</v>
      </c>
      <c r="I15" s="84">
        <f t="shared" si="1"/>
        <v>3042196.4402982835</v>
      </c>
      <c r="J15" s="84">
        <f t="shared" si="1"/>
        <v>3119196.7442715275</v>
      </c>
      <c r="K15" s="84">
        <f t="shared" si="1"/>
        <v>3198145.9844585657</v>
      </c>
      <c r="L15" s="84">
        <f t="shared" si="1"/>
        <v>3279093.4899161602</v>
      </c>
      <c r="M15" s="84">
        <f t="shared" si="1"/>
        <v>3362089.8382569905</v>
      </c>
      <c r="N15" s="84">
        <f t="shared" si="1"/>
        <v>3447186.8872515522</v>
      </c>
      <c r="O15" s="84">
        <f t="shared" si="1"/>
        <v>3534437.8072299231</v>
      </c>
      <c r="P15" s="84">
        <v>0</v>
      </c>
      <c r="R15" s="88"/>
      <c r="T15" s="8" t="s">
        <v>992</v>
      </c>
      <c r="U15" s="8" t="s">
        <v>1185</v>
      </c>
      <c r="V15" s="105" t="s">
        <v>176</v>
      </c>
      <c r="W15" s="105" t="s">
        <v>1200</v>
      </c>
      <c r="X15" s="10" t="s">
        <v>1210</v>
      </c>
      <c r="Y15" s="104">
        <v>1</v>
      </c>
      <c r="Z15" s="104">
        <v>1</v>
      </c>
      <c r="AA15" s="104">
        <v>1</v>
      </c>
      <c r="AB15" s="104">
        <v>1</v>
      </c>
      <c r="AC15" s="104">
        <v>1</v>
      </c>
      <c r="AD15" s="104">
        <v>1</v>
      </c>
      <c r="AE15" s="104">
        <v>1</v>
      </c>
      <c r="AF15" s="86">
        <v>1</v>
      </c>
      <c r="AG15" s="86">
        <v>1</v>
      </c>
      <c r="AH15" s="86">
        <v>1</v>
      </c>
      <c r="AI15" s="86">
        <v>0</v>
      </c>
      <c r="AK15" s="8" t="s">
        <v>992</v>
      </c>
      <c r="AL15" s="8" t="s">
        <v>1185</v>
      </c>
      <c r="AM15" s="105" t="s">
        <v>176</v>
      </c>
      <c r="AN15" s="105" t="s">
        <v>1200</v>
      </c>
      <c r="AO15" s="10" t="s">
        <v>1210</v>
      </c>
      <c r="AP15" s="11"/>
      <c r="AQ15" s="11"/>
      <c r="AR15" s="11"/>
      <c r="AS15" s="11"/>
      <c r="AT15" s="11"/>
      <c r="AU15" s="11"/>
      <c r="AV15" s="11"/>
      <c r="AW15" s="11"/>
      <c r="AX15" s="11"/>
      <c r="AY15" s="11"/>
    </row>
    <row r="16" spans="1:53" ht="19.95" customHeight="1">
      <c r="A16" s="8" t="s">
        <v>993</v>
      </c>
      <c r="B16" s="8" t="s">
        <v>1185</v>
      </c>
      <c r="C16" s="105" t="s">
        <v>176</v>
      </c>
      <c r="D16" s="105" t="s">
        <v>1202</v>
      </c>
      <c r="E16" s="10" t="s">
        <v>1210</v>
      </c>
      <c r="F16" s="84">
        <v>2822413.9414824001</v>
      </c>
      <c r="G16" s="84">
        <f t="shared" si="1"/>
        <v>2893851.3833759152</v>
      </c>
      <c r="H16" s="84">
        <f t="shared" si="1"/>
        <v>2967096.9612162109</v>
      </c>
      <c r="I16" s="84">
        <f t="shared" si="1"/>
        <v>3042196.4402982835</v>
      </c>
      <c r="J16" s="84">
        <f t="shared" si="1"/>
        <v>3119196.7442715275</v>
      </c>
      <c r="K16" s="84">
        <f t="shared" si="1"/>
        <v>3198145.9844585657</v>
      </c>
      <c r="L16" s="84">
        <f t="shared" si="1"/>
        <v>3279093.4899161602</v>
      </c>
      <c r="M16" s="84">
        <f t="shared" si="1"/>
        <v>3362089.8382569905</v>
      </c>
      <c r="N16" s="84">
        <f t="shared" si="1"/>
        <v>3447186.8872515522</v>
      </c>
      <c r="O16" s="84">
        <f t="shared" si="1"/>
        <v>3534437.8072299231</v>
      </c>
      <c r="P16" s="84">
        <v>0</v>
      </c>
      <c r="R16" s="88"/>
      <c r="T16" s="8" t="s">
        <v>993</v>
      </c>
      <c r="U16" s="8" t="s">
        <v>1185</v>
      </c>
      <c r="V16" s="105" t="s">
        <v>176</v>
      </c>
      <c r="W16" s="105" t="s">
        <v>1202</v>
      </c>
      <c r="X16" s="10" t="s">
        <v>1210</v>
      </c>
      <c r="Y16" s="104">
        <v>1</v>
      </c>
      <c r="Z16" s="104">
        <v>1</v>
      </c>
      <c r="AA16" s="104">
        <v>1</v>
      </c>
      <c r="AB16" s="104">
        <v>1</v>
      </c>
      <c r="AC16" s="104">
        <v>1</v>
      </c>
      <c r="AD16" s="104">
        <v>1</v>
      </c>
      <c r="AE16" s="104">
        <v>1</v>
      </c>
      <c r="AF16" s="86">
        <v>1</v>
      </c>
      <c r="AG16" s="86">
        <v>1</v>
      </c>
      <c r="AH16" s="86">
        <v>1</v>
      </c>
      <c r="AI16" s="86">
        <v>0</v>
      </c>
      <c r="AK16" s="8" t="s">
        <v>993</v>
      </c>
      <c r="AL16" s="8" t="s">
        <v>1185</v>
      </c>
      <c r="AM16" s="105" t="s">
        <v>176</v>
      </c>
      <c r="AN16" s="105" t="s">
        <v>1202</v>
      </c>
      <c r="AO16" s="10" t="s">
        <v>1210</v>
      </c>
      <c r="AP16" s="11"/>
      <c r="AQ16" s="11"/>
      <c r="AR16" s="11"/>
      <c r="AS16" s="11"/>
      <c r="AT16" s="11"/>
      <c r="AU16" s="11"/>
      <c r="AV16" s="11"/>
      <c r="AW16" s="11"/>
      <c r="AX16" s="11"/>
      <c r="AY16" s="11"/>
    </row>
    <row r="17" spans="1:51" ht="19.95" customHeight="1">
      <c r="A17" s="8" t="s">
        <v>994</v>
      </c>
      <c r="B17" s="8" t="s">
        <v>1185</v>
      </c>
      <c r="C17" s="105" t="s">
        <v>176</v>
      </c>
      <c r="D17" s="105" t="s">
        <v>1203</v>
      </c>
      <c r="E17" s="10" t="s">
        <v>1210</v>
      </c>
      <c r="F17" s="84">
        <v>2822413.9414824001</v>
      </c>
      <c r="G17" s="84">
        <f t="shared" si="1"/>
        <v>2893851.3833759152</v>
      </c>
      <c r="H17" s="84">
        <f t="shared" si="1"/>
        <v>2967096.9612162109</v>
      </c>
      <c r="I17" s="84">
        <f t="shared" si="1"/>
        <v>3042196.4402982835</v>
      </c>
      <c r="J17" s="84">
        <f t="shared" si="1"/>
        <v>3119196.7442715275</v>
      </c>
      <c r="K17" s="84">
        <f t="shared" si="1"/>
        <v>3198145.9844585657</v>
      </c>
      <c r="L17" s="84">
        <f t="shared" si="1"/>
        <v>3279093.4899161602</v>
      </c>
      <c r="M17" s="84">
        <f t="shared" si="1"/>
        <v>3362089.8382569905</v>
      </c>
      <c r="N17" s="84">
        <f t="shared" si="1"/>
        <v>3447186.8872515522</v>
      </c>
      <c r="O17" s="84">
        <f t="shared" si="1"/>
        <v>3534437.8072299231</v>
      </c>
      <c r="P17" s="84">
        <v>0</v>
      </c>
      <c r="R17" s="88"/>
      <c r="T17" s="8" t="s">
        <v>994</v>
      </c>
      <c r="U17" s="8" t="s">
        <v>1185</v>
      </c>
      <c r="V17" s="105" t="s">
        <v>176</v>
      </c>
      <c r="W17" s="105" t="s">
        <v>1203</v>
      </c>
      <c r="X17" s="10" t="s">
        <v>1210</v>
      </c>
      <c r="Y17" s="104">
        <v>1</v>
      </c>
      <c r="Z17" s="104">
        <v>1</v>
      </c>
      <c r="AA17" s="104">
        <v>1</v>
      </c>
      <c r="AB17" s="104">
        <v>1</v>
      </c>
      <c r="AC17" s="104">
        <v>1</v>
      </c>
      <c r="AD17" s="104">
        <v>1</v>
      </c>
      <c r="AE17" s="104">
        <v>1</v>
      </c>
      <c r="AF17" s="86">
        <v>1</v>
      </c>
      <c r="AG17" s="86">
        <v>1</v>
      </c>
      <c r="AH17" s="86">
        <v>1</v>
      </c>
      <c r="AI17" s="86">
        <v>0</v>
      </c>
      <c r="AK17" s="8" t="s">
        <v>994</v>
      </c>
      <c r="AL17" s="8" t="s">
        <v>1185</v>
      </c>
      <c r="AM17" s="105" t="s">
        <v>176</v>
      </c>
      <c r="AN17" s="105" t="s">
        <v>1203</v>
      </c>
      <c r="AO17" s="10" t="s">
        <v>1210</v>
      </c>
      <c r="AP17" s="11"/>
      <c r="AQ17" s="11"/>
      <c r="AR17" s="11"/>
      <c r="AS17" s="11"/>
      <c r="AT17" s="11"/>
      <c r="AU17" s="11"/>
      <c r="AV17" s="11"/>
      <c r="AW17" s="11"/>
      <c r="AX17" s="11"/>
      <c r="AY17" s="11"/>
    </row>
    <row r="18" spans="1:51" ht="19.95" customHeight="1">
      <c r="A18" s="8" t="s">
        <v>995</v>
      </c>
      <c r="B18" s="8" t="s">
        <v>1185</v>
      </c>
      <c r="C18" s="105" t="s">
        <v>176</v>
      </c>
      <c r="D18" s="105" t="s">
        <v>1203</v>
      </c>
      <c r="E18" s="10" t="s">
        <v>1211</v>
      </c>
      <c r="F18" s="84">
        <v>2577095.0131125199</v>
      </c>
      <c r="G18" s="84">
        <f t="shared" si="1"/>
        <v>2642323.2464866075</v>
      </c>
      <c r="H18" s="84">
        <f t="shared" si="1"/>
        <v>2709202.4560208507</v>
      </c>
      <c r="I18" s="84">
        <f t="shared" si="1"/>
        <v>2777774.4291766048</v>
      </c>
      <c r="J18" s="84">
        <f t="shared" si="1"/>
        <v>2848082.0110876309</v>
      </c>
      <c r="K18" s="84">
        <f t="shared" si="1"/>
        <v>2920169.1313305874</v>
      </c>
      <c r="L18" s="84">
        <f t="shared" si="1"/>
        <v>2994080.8313731044</v>
      </c>
      <c r="M18" s="84">
        <f t="shared" si="1"/>
        <v>3069863.2927165893</v>
      </c>
      <c r="N18" s="84">
        <f t="shared" si="1"/>
        <v>3147563.8657513484</v>
      </c>
      <c r="O18" s="84">
        <f t="shared" si="1"/>
        <v>3227231.0993420528</v>
      </c>
      <c r="P18" s="84">
        <v>0</v>
      </c>
      <c r="R18" s="88"/>
      <c r="T18" s="8" t="s">
        <v>995</v>
      </c>
      <c r="U18" s="8" t="s">
        <v>1185</v>
      </c>
      <c r="V18" s="105" t="s">
        <v>176</v>
      </c>
      <c r="W18" s="105" t="s">
        <v>1203</v>
      </c>
      <c r="X18" s="10" t="s">
        <v>1211</v>
      </c>
      <c r="Y18" s="104">
        <v>1</v>
      </c>
      <c r="Z18" s="104">
        <v>1</v>
      </c>
      <c r="AA18" s="104">
        <v>1</v>
      </c>
      <c r="AB18" s="104">
        <v>1</v>
      </c>
      <c r="AC18" s="104">
        <v>1</v>
      </c>
      <c r="AD18" s="104">
        <v>1</v>
      </c>
      <c r="AE18" s="104">
        <v>1</v>
      </c>
      <c r="AF18" s="86">
        <v>1</v>
      </c>
      <c r="AG18" s="86">
        <v>1</v>
      </c>
      <c r="AH18" s="86">
        <v>1</v>
      </c>
      <c r="AI18" s="86">
        <v>0</v>
      </c>
      <c r="AK18" s="8" t="s">
        <v>995</v>
      </c>
      <c r="AL18" s="8" t="s">
        <v>1185</v>
      </c>
      <c r="AM18" s="105" t="s">
        <v>176</v>
      </c>
      <c r="AN18" s="105" t="s">
        <v>1203</v>
      </c>
      <c r="AO18" s="10" t="s">
        <v>1211</v>
      </c>
      <c r="AP18" s="11"/>
      <c r="AQ18" s="11"/>
      <c r="AR18" s="11"/>
      <c r="AS18" s="11"/>
      <c r="AT18" s="11"/>
      <c r="AU18" s="11"/>
      <c r="AV18" s="11"/>
      <c r="AW18" s="11"/>
      <c r="AX18" s="11"/>
      <c r="AY18" s="11"/>
    </row>
    <row r="19" spans="1:51" ht="19.95" customHeight="1">
      <c r="A19" s="8" t="s">
        <v>996</v>
      </c>
      <c r="B19" s="8" t="s">
        <v>1185</v>
      </c>
      <c r="C19" s="105" t="s">
        <v>176</v>
      </c>
      <c r="D19" s="105" t="s">
        <v>1206</v>
      </c>
      <c r="E19" s="10" t="s">
        <v>1210</v>
      </c>
      <c r="F19" s="84">
        <v>2822413.9414824001</v>
      </c>
      <c r="G19" s="84">
        <f t="shared" si="1"/>
        <v>2893851.3833759152</v>
      </c>
      <c r="H19" s="84">
        <f t="shared" si="1"/>
        <v>2967096.9612162109</v>
      </c>
      <c r="I19" s="84">
        <f t="shared" si="1"/>
        <v>3042196.4402982835</v>
      </c>
      <c r="J19" s="84">
        <f t="shared" si="1"/>
        <v>3119196.7442715275</v>
      </c>
      <c r="K19" s="84">
        <f t="shared" si="1"/>
        <v>3198145.9844585657</v>
      </c>
      <c r="L19" s="84">
        <f t="shared" si="1"/>
        <v>3279093.4899161602</v>
      </c>
      <c r="M19" s="84">
        <f t="shared" si="1"/>
        <v>3362089.8382569905</v>
      </c>
      <c r="N19" s="84">
        <f t="shared" si="1"/>
        <v>3447186.8872515522</v>
      </c>
      <c r="O19" s="84">
        <f t="shared" si="1"/>
        <v>3534437.8072299231</v>
      </c>
      <c r="P19" s="84">
        <v>0</v>
      </c>
      <c r="R19" s="88"/>
      <c r="T19" s="8" t="s">
        <v>996</v>
      </c>
      <c r="U19" s="8" t="s">
        <v>1185</v>
      </c>
      <c r="V19" s="105" t="s">
        <v>176</v>
      </c>
      <c r="W19" s="105" t="s">
        <v>1206</v>
      </c>
      <c r="X19" s="10" t="s">
        <v>1210</v>
      </c>
      <c r="Y19" s="104">
        <v>1</v>
      </c>
      <c r="Z19" s="104">
        <v>1</v>
      </c>
      <c r="AA19" s="104">
        <v>1</v>
      </c>
      <c r="AB19" s="104">
        <v>1</v>
      </c>
      <c r="AC19" s="104">
        <v>1</v>
      </c>
      <c r="AD19" s="104">
        <v>1</v>
      </c>
      <c r="AE19" s="104">
        <v>1</v>
      </c>
      <c r="AF19" s="86">
        <v>1</v>
      </c>
      <c r="AG19" s="86">
        <v>1</v>
      </c>
      <c r="AH19" s="86">
        <v>1</v>
      </c>
      <c r="AI19" s="86">
        <v>0</v>
      </c>
      <c r="AK19" s="8" t="s">
        <v>996</v>
      </c>
      <c r="AL19" s="8" t="s">
        <v>1185</v>
      </c>
      <c r="AM19" s="105" t="s">
        <v>176</v>
      </c>
      <c r="AN19" s="105" t="s">
        <v>1206</v>
      </c>
      <c r="AO19" s="10" t="s">
        <v>1210</v>
      </c>
      <c r="AP19" s="11"/>
      <c r="AQ19" s="11"/>
      <c r="AR19" s="11"/>
      <c r="AS19" s="11"/>
      <c r="AT19" s="11"/>
      <c r="AU19" s="11"/>
      <c r="AV19" s="11"/>
      <c r="AW19" s="11"/>
      <c r="AX19" s="11"/>
      <c r="AY19" s="11"/>
    </row>
    <row r="20" spans="1:51" ht="19.95" customHeight="1">
      <c r="A20" s="8" t="s">
        <v>997</v>
      </c>
      <c r="B20" s="8" t="s">
        <v>1199</v>
      </c>
      <c r="C20" s="105" t="s">
        <v>176</v>
      </c>
      <c r="D20" s="105" t="s">
        <v>1212</v>
      </c>
      <c r="E20" s="10" t="s">
        <v>1213</v>
      </c>
      <c r="F20" s="84">
        <v>2822413.9414824001</v>
      </c>
      <c r="G20" s="84">
        <f t="shared" si="1"/>
        <v>2893851.3833759152</v>
      </c>
      <c r="H20" s="84">
        <f t="shared" si="1"/>
        <v>2967096.9612162109</v>
      </c>
      <c r="I20" s="84">
        <f t="shared" si="1"/>
        <v>3042196.4402982835</v>
      </c>
      <c r="J20" s="84">
        <f t="shared" si="1"/>
        <v>3119196.7442715275</v>
      </c>
      <c r="K20" s="84">
        <f t="shared" si="1"/>
        <v>3198145.9844585657</v>
      </c>
      <c r="L20" s="84">
        <f t="shared" si="1"/>
        <v>3279093.4899161602</v>
      </c>
      <c r="M20" s="84">
        <f t="shared" si="1"/>
        <v>3362089.8382569905</v>
      </c>
      <c r="N20" s="84">
        <f t="shared" si="1"/>
        <v>3447186.8872515522</v>
      </c>
      <c r="O20" s="84">
        <f t="shared" si="1"/>
        <v>3534437.8072299231</v>
      </c>
      <c r="P20" s="84">
        <v>0</v>
      </c>
      <c r="R20" s="88"/>
      <c r="T20" s="8" t="s">
        <v>997</v>
      </c>
      <c r="U20" s="8" t="s">
        <v>1199</v>
      </c>
      <c r="V20" s="105" t="s">
        <v>176</v>
      </c>
      <c r="W20" s="105" t="s">
        <v>1212</v>
      </c>
      <c r="X20" s="10" t="s">
        <v>1213</v>
      </c>
      <c r="Y20" s="104">
        <v>0</v>
      </c>
      <c r="Z20" s="104">
        <v>0</v>
      </c>
      <c r="AA20" s="104">
        <v>0</v>
      </c>
      <c r="AB20" s="104">
        <v>0</v>
      </c>
      <c r="AC20" s="104">
        <v>0</v>
      </c>
      <c r="AD20" s="104">
        <v>0</v>
      </c>
      <c r="AE20" s="104">
        <v>0</v>
      </c>
      <c r="AF20" s="87">
        <v>0</v>
      </c>
      <c r="AG20" s="87">
        <v>0</v>
      </c>
      <c r="AH20" s="87">
        <v>0</v>
      </c>
      <c r="AI20" s="87">
        <v>0</v>
      </c>
      <c r="AK20" s="8" t="s">
        <v>997</v>
      </c>
      <c r="AL20" s="8" t="s">
        <v>1199</v>
      </c>
      <c r="AM20" s="105" t="s">
        <v>176</v>
      </c>
      <c r="AN20" s="105" t="s">
        <v>1212</v>
      </c>
      <c r="AO20" s="10" t="s">
        <v>1213</v>
      </c>
      <c r="AP20" s="11"/>
      <c r="AQ20" s="11"/>
      <c r="AR20" s="11"/>
      <c r="AS20" s="11"/>
      <c r="AT20" s="11"/>
      <c r="AU20" s="11"/>
      <c r="AV20" s="11"/>
      <c r="AW20" s="11"/>
      <c r="AX20" s="11"/>
      <c r="AY20" s="11"/>
    </row>
    <row r="21" spans="1:51" ht="19.95" customHeight="1">
      <c r="A21" s="8" t="s">
        <v>998</v>
      </c>
      <c r="B21" s="8" t="s">
        <v>1199</v>
      </c>
      <c r="C21" s="105" t="s">
        <v>159</v>
      </c>
      <c r="D21" s="105" t="s">
        <v>1212</v>
      </c>
      <c r="E21" s="10" t="s">
        <v>159</v>
      </c>
      <c r="F21" s="84">
        <v>2475400.5906926799</v>
      </c>
      <c r="G21" s="84">
        <f t="shared" si="1"/>
        <v>2538054.8609475605</v>
      </c>
      <c r="H21" s="84">
        <f t="shared" si="1"/>
        <v>2602294.9583998374</v>
      </c>
      <c r="I21" s="84">
        <f t="shared" si="1"/>
        <v>2668161.0215411056</v>
      </c>
      <c r="J21" s="84">
        <f t="shared" si="1"/>
        <v>2735694.2047986872</v>
      </c>
      <c r="K21" s="84">
        <f t="shared" si="1"/>
        <v>2804936.7042497378</v>
      </c>
      <c r="L21" s="84">
        <f t="shared" si="1"/>
        <v>2875931.7839861941</v>
      </c>
      <c r="M21" s="84">
        <f t="shared" si="1"/>
        <v>2948723.8031470403</v>
      </c>
      <c r="N21" s="84">
        <f t="shared" si="1"/>
        <v>3023358.2436347823</v>
      </c>
      <c r="O21" s="84">
        <f t="shared" si="1"/>
        <v>3099881.7385334438</v>
      </c>
      <c r="P21" s="84">
        <v>0</v>
      </c>
      <c r="R21" s="88"/>
      <c r="T21" s="8" t="s">
        <v>998</v>
      </c>
      <c r="U21" s="8" t="s">
        <v>1199</v>
      </c>
      <c r="V21" s="538" t="s">
        <v>159</v>
      </c>
      <c r="W21" s="105" t="s">
        <v>1212</v>
      </c>
      <c r="X21" s="10" t="s">
        <v>159</v>
      </c>
      <c r="Y21" s="539">
        <v>19.5</v>
      </c>
      <c r="Z21" s="104">
        <v>34</v>
      </c>
      <c r="AA21" s="104">
        <v>34</v>
      </c>
      <c r="AB21" s="104">
        <v>34</v>
      </c>
      <c r="AC21" s="104">
        <v>34</v>
      </c>
      <c r="AD21" s="104">
        <v>34</v>
      </c>
      <c r="AE21" s="104">
        <v>34</v>
      </c>
      <c r="AF21" s="87">
        <v>34</v>
      </c>
      <c r="AG21" s="87">
        <v>34</v>
      </c>
      <c r="AH21" s="87">
        <v>34</v>
      </c>
      <c r="AI21" s="87">
        <v>0</v>
      </c>
      <c r="AK21" s="8" t="s">
        <v>998</v>
      </c>
      <c r="AL21" s="8" t="s">
        <v>1199</v>
      </c>
      <c r="AM21" s="105" t="s">
        <v>159</v>
      </c>
      <c r="AN21" s="105" t="s">
        <v>1212</v>
      </c>
      <c r="AO21" s="10" t="s">
        <v>159</v>
      </c>
      <c r="AP21" s="11"/>
      <c r="AQ21" s="11"/>
      <c r="AR21" s="11"/>
      <c r="AS21" s="11"/>
      <c r="AT21" s="11"/>
      <c r="AU21" s="11"/>
      <c r="AV21" s="11"/>
      <c r="AW21" s="11"/>
      <c r="AX21" s="11"/>
      <c r="AY21" s="11"/>
    </row>
    <row r="22" spans="1:51" ht="19.95" customHeight="1">
      <c r="A22" s="8" t="s">
        <v>999</v>
      </c>
      <c r="B22" s="8" t="s">
        <v>1199</v>
      </c>
      <c r="C22" s="105" t="s">
        <v>159</v>
      </c>
      <c r="D22" s="105" t="s">
        <v>1214</v>
      </c>
      <c r="E22" s="10" t="s">
        <v>159</v>
      </c>
      <c r="F22" s="84">
        <v>2810805.3730576797</v>
      </c>
      <c r="G22" s="84">
        <f t="shared" si="1"/>
        <v>2881948.9932618532</v>
      </c>
      <c r="H22" s="84">
        <f t="shared" si="1"/>
        <v>2954893.3125625458</v>
      </c>
      <c r="I22" s="84">
        <f t="shared" si="1"/>
        <v>3029683.9080224214</v>
      </c>
      <c r="J22" s="84">
        <f t="shared" si="1"/>
        <v>3106367.510294239</v>
      </c>
      <c r="K22" s="84">
        <f t="shared" si="1"/>
        <v>3184992.0328190941</v>
      </c>
      <c r="L22" s="84">
        <f t="shared" si="1"/>
        <v>3265606.6017636904</v>
      </c>
      <c r="M22" s="84">
        <f t="shared" si="1"/>
        <v>3348261.5867153467</v>
      </c>
      <c r="N22" s="84">
        <f t="shared" si="1"/>
        <v>3433008.632153918</v>
      </c>
      <c r="O22" s="84">
        <f t="shared" si="1"/>
        <v>3519900.689720294</v>
      </c>
      <c r="P22" s="84">
        <v>0</v>
      </c>
      <c r="T22" s="8" t="s">
        <v>999</v>
      </c>
      <c r="U22" s="8" t="s">
        <v>1199</v>
      </c>
      <c r="V22" s="538" t="s">
        <v>159</v>
      </c>
      <c r="W22" s="105" t="s">
        <v>1214</v>
      </c>
      <c r="X22" s="10" t="s">
        <v>159</v>
      </c>
      <c r="Y22" s="539">
        <v>4</v>
      </c>
      <c r="Z22" s="104">
        <v>4</v>
      </c>
      <c r="AA22" s="104">
        <v>4</v>
      </c>
      <c r="AB22" s="104">
        <v>4</v>
      </c>
      <c r="AC22" s="104">
        <v>4</v>
      </c>
      <c r="AD22" s="104">
        <v>4</v>
      </c>
      <c r="AE22" s="104">
        <v>4</v>
      </c>
      <c r="AF22" s="87">
        <v>4</v>
      </c>
      <c r="AG22" s="87">
        <v>4</v>
      </c>
      <c r="AH22" s="87">
        <v>4</v>
      </c>
      <c r="AI22" s="87">
        <v>0</v>
      </c>
      <c r="AK22" s="8" t="s">
        <v>999</v>
      </c>
      <c r="AL22" s="8" t="s">
        <v>1199</v>
      </c>
      <c r="AM22" s="105" t="s">
        <v>159</v>
      </c>
      <c r="AN22" s="105" t="s">
        <v>1214</v>
      </c>
      <c r="AO22" s="10" t="s">
        <v>159</v>
      </c>
      <c r="AP22" s="11"/>
      <c r="AQ22" s="11"/>
      <c r="AR22" s="11"/>
      <c r="AS22" s="11"/>
      <c r="AT22" s="11"/>
      <c r="AU22" s="11"/>
      <c r="AV22" s="11"/>
      <c r="AW22" s="11"/>
      <c r="AX22" s="11"/>
      <c r="AY22" s="11"/>
    </row>
    <row r="23" spans="1:51" ht="19.95" customHeight="1">
      <c r="A23" s="8" t="s">
        <v>1000</v>
      </c>
      <c r="B23" s="8" t="s">
        <v>1199</v>
      </c>
      <c r="C23" s="105" t="s">
        <v>159</v>
      </c>
      <c r="D23" s="105" t="s">
        <v>1214</v>
      </c>
      <c r="E23" s="10" t="s">
        <v>1215</v>
      </c>
      <c r="F23" s="84">
        <v>2268632.3215880399</v>
      </c>
      <c r="G23" s="84">
        <f t="shared" si="1"/>
        <v>2326053.1298079975</v>
      </c>
      <c r="H23" s="84">
        <f t="shared" si="1"/>
        <v>2384927.3023238163</v>
      </c>
      <c r="I23" s="84">
        <f t="shared" si="1"/>
        <v>2445291.6248903819</v>
      </c>
      <c r="J23" s="84">
        <f t="shared" si="1"/>
        <v>2507183.8143379926</v>
      </c>
      <c r="K23" s="84">
        <f t="shared" si="1"/>
        <v>2570642.5421385858</v>
      </c>
      <c r="L23" s="84">
        <f t="shared" si="1"/>
        <v>2635707.4585684454</v>
      </c>
      <c r="M23" s="84">
        <f t="shared" si="1"/>
        <v>2702419.2174824812</v>
      </c>
      <c r="N23" s="84">
        <f t="shared" si="1"/>
        <v>2770819.5017155679</v>
      </c>
      <c r="O23" s="84">
        <f t="shared" si="1"/>
        <v>2840951.0491268104</v>
      </c>
      <c r="P23" s="84">
        <v>0</v>
      </c>
      <c r="T23" s="8" t="s">
        <v>1000</v>
      </c>
      <c r="U23" s="8" t="s">
        <v>1199</v>
      </c>
      <c r="V23" s="538" t="s">
        <v>159</v>
      </c>
      <c r="W23" s="105" t="s">
        <v>1214</v>
      </c>
      <c r="X23" s="10" t="s">
        <v>1215</v>
      </c>
      <c r="Y23" s="539">
        <v>2</v>
      </c>
      <c r="Z23" s="104">
        <v>2</v>
      </c>
      <c r="AA23" s="104">
        <v>2</v>
      </c>
      <c r="AB23" s="104">
        <v>2</v>
      </c>
      <c r="AC23" s="104">
        <v>2</v>
      </c>
      <c r="AD23" s="104">
        <v>2</v>
      </c>
      <c r="AE23" s="104">
        <v>2</v>
      </c>
      <c r="AF23" s="87">
        <v>2</v>
      </c>
      <c r="AG23" s="87">
        <v>2</v>
      </c>
      <c r="AH23" s="87">
        <v>2</v>
      </c>
      <c r="AI23" s="87">
        <v>0</v>
      </c>
      <c r="AK23" s="8" t="s">
        <v>1000</v>
      </c>
      <c r="AL23" s="8" t="s">
        <v>1199</v>
      </c>
      <c r="AM23" s="105" t="s">
        <v>159</v>
      </c>
      <c r="AN23" s="105" t="s">
        <v>1214</v>
      </c>
      <c r="AO23" s="10" t="s">
        <v>1215</v>
      </c>
      <c r="AP23" s="11"/>
      <c r="AQ23" s="11"/>
      <c r="AR23" s="11"/>
      <c r="AS23" s="11"/>
      <c r="AT23" s="11"/>
      <c r="AU23" s="11"/>
      <c r="AV23" s="11"/>
      <c r="AW23" s="11"/>
      <c r="AX23" s="11"/>
      <c r="AY23" s="11"/>
    </row>
    <row r="24" spans="1:51" ht="19.95" customHeight="1">
      <c r="A24" s="8" t="s">
        <v>1001</v>
      </c>
      <c r="B24" s="8" t="s">
        <v>1199</v>
      </c>
      <c r="C24" s="105" t="s">
        <v>176</v>
      </c>
      <c r="D24" s="105" t="s">
        <v>1207</v>
      </c>
      <c r="E24" s="10" t="s">
        <v>177</v>
      </c>
      <c r="F24" s="84">
        <v>3934599.2821772001</v>
      </c>
      <c r="G24" s="84">
        <f t="shared" si="1"/>
        <v>4034186.9803045592</v>
      </c>
      <c r="H24" s="84">
        <f t="shared" si="1"/>
        <v>4136295.3187581724</v>
      </c>
      <c r="I24" s="84">
        <f t="shared" si="1"/>
        <v>4240988.0968603836</v>
      </c>
      <c r="J24" s="84">
        <f t="shared" si="1"/>
        <v>4348330.7287428733</v>
      </c>
      <c r="K24" s="84">
        <f t="shared" si="1"/>
        <v>4458390.284218709</v>
      </c>
      <c r="L24" s="84">
        <f t="shared" si="1"/>
        <v>4571235.5306889005</v>
      </c>
      <c r="M24" s="84">
        <f t="shared" si="1"/>
        <v>4686936.9761096397</v>
      </c>
      <c r="N24" s="84">
        <f t="shared" si="1"/>
        <v>4805566.9130470762</v>
      </c>
      <c r="O24" s="84">
        <f t="shared" si="1"/>
        <v>4927199.463847152</v>
      </c>
      <c r="P24" s="84">
        <v>0</v>
      </c>
      <c r="T24" s="8" t="s">
        <v>1001</v>
      </c>
      <c r="U24" s="8" t="s">
        <v>1199</v>
      </c>
      <c r="V24" s="105" t="s">
        <v>176</v>
      </c>
      <c r="W24" s="105" t="s">
        <v>1207</v>
      </c>
      <c r="X24" s="10" t="s">
        <v>177</v>
      </c>
      <c r="Y24" s="104">
        <v>1</v>
      </c>
      <c r="Z24" s="104">
        <v>1</v>
      </c>
      <c r="AA24" s="104">
        <v>1</v>
      </c>
      <c r="AB24" s="104">
        <v>1</v>
      </c>
      <c r="AC24" s="104">
        <v>1</v>
      </c>
      <c r="AD24" s="104">
        <v>1</v>
      </c>
      <c r="AE24" s="104">
        <v>1</v>
      </c>
      <c r="AF24" s="87">
        <v>1</v>
      </c>
      <c r="AG24" s="87">
        <v>1</v>
      </c>
      <c r="AH24" s="87">
        <v>1</v>
      </c>
      <c r="AI24" s="87">
        <v>0</v>
      </c>
      <c r="AK24" s="8" t="s">
        <v>1001</v>
      </c>
      <c r="AL24" s="8" t="s">
        <v>1199</v>
      </c>
      <c r="AM24" s="105" t="s">
        <v>176</v>
      </c>
      <c r="AN24" s="105" t="s">
        <v>1207</v>
      </c>
      <c r="AO24" s="10" t="s">
        <v>177</v>
      </c>
      <c r="AP24" s="11"/>
      <c r="AQ24" s="11"/>
      <c r="AR24" s="11"/>
      <c r="AS24" s="11"/>
      <c r="AT24" s="11"/>
      <c r="AU24" s="11"/>
      <c r="AV24" s="11"/>
      <c r="AW24" s="11"/>
      <c r="AX24" s="11"/>
      <c r="AY24" s="11"/>
    </row>
    <row r="25" spans="1:51" ht="19.95" customHeight="1">
      <c r="A25" s="8" t="s">
        <v>1002</v>
      </c>
      <c r="B25" s="8" t="s">
        <v>1199</v>
      </c>
      <c r="C25" s="105" t="s">
        <v>176</v>
      </c>
      <c r="D25" s="105" t="s">
        <v>1207</v>
      </c>
      <c r="E25" s="10" t="s">
        <v>1209</v>
      </c>
      <c r="F25" s="84">
        <v>2822413.9414824001</v>
      </c>
      <c r="G25" s="84">
        <f t="shared" si="1"/>
        <v>2893851.3833759152</v>
      </c>
      <c r="H25" s="84">
        <f t="shared" si="1"/>
        <v>2967096.9612162109</v>
      </c>
      <c r="I25" s="84">
        <f t="shared" si="1"/>
        <v>3042196.4402982835</v>
      </c>
      <c r="J25" s="84">
        <f t="shared" si="1"/>
        <v>3119196.7442715275</v>
      </c>
      <c r="K25" s="84">
        <f t="shared" si="1"/>
        <v>3198145.9844585657</v>
      </c>
      <c r="L25" s="84">
        <f t="shared" si="1"/>
        <v>3279093.4899161602</v>
      </c>
      <c r="M25" s="84">
        <f t="shared" si="1"/>
        <v>3362089.8382569905</v>
      </c>
      <c r="N25" s="84">
        <f t="shared" si="1"/>
        <v>3447186.8872515522</v>
      </c>
      <c r="O25" s="84">
        <f t="shared" si="1"/>
        <v>3534437.8072299231</v>
      </c>
      <c r="P25" s="84">
        <v>0</v>
      </c>
      <c r="T25" s="8" t="s">
        <v>1002</v>
      </c>
      <c r="U25" s="8" t="s">
        <v>1199</v>
      </c>
      <c r="V25" s="105" t="s">
        <v>176</v>
      </c>
      <c r="W25" s="105" t="s">
        <v>1207</v>
      </c>
      <c r="X25" s="10" t="s">
        <v>1209</v>
      </c>
      <c r="Y25" s="104">
        <v>2.25</v>
      </c>
      <c r="Z25" s="104">
        <v>1</v>
      </c>
      <c r="AA25" s="104">
        <v>1</v>
      </c>
      <c r="AB25" s="104">
        <v>1</v>
      </c>
      <c r="AC25" s="104">
        <v>1</v>
      </c>
      <c r="AD25" s="104">
        <v>1</v>
      </c>
      <c r="AE25" s="104">
        <v>1</v>
      </c>
      <c r="AF25" s="87">
        <v>1</v>
      </c>
      <c r="AG25" s="87">
        <v>1</v>
      </c>
      <c r="AH25" s="87">
        <v>1</v>
      </c>
      <c r="AI25" s="87">
        <v>0</v>
      </c>
      <c r="AK25" s="8" t="s">
        <v>1002</v>
      </c>
      <c r="AL25" s="8" t="s">
        <v>1199</v>
      </c>
      <c r="AM25" s="105" t="s">
        <v>176</v>
      </c>
      <c r="AN25" s="105" t="s">
        <v>1207</v>
      </c>
      <c r="AO25" s="10" t="s">
        <v>1209</v>
      </c>
      <c r="AP25" s="11"/>
      <c r="AQ25" s="11"/>
      <c r="AR25" s="11"/>
      <c r="AS25" s="11"/>
      <c r="AT25" s="11"/>
      <c r="AU25" s="11"/>
      <c r="AV25" s="11"/>
      <c r="AW25" s="11"/>
      <c r="AX25" s="11"/>
      <c r="AY25" s="11"/>
    </row>
    <row r="26" spans="1:51" ht="19.95" customHeight="1">
      <c r="A26" s="8" t="s">
        <v>1003</v>
      </c>
      <c r="B26" s="8" t="s">
        <v>1199</v>
      </c>
      <c r="C26" s="105" t="s">
        <v>176</v>
      </c>
      <c r="D26" s="105" t="s">
        <v>1212</v>
      </c>
      <c r="E26" s="10" t="s">
        <v>1210</v>
      </c>
      <c r="F26" s="84">
        <v>2822413.9414824001</v>
      </c>
      <c r="G26" s="84">
        <f t="shared" si="1"/>
        <v>2893851.3833759152</v>
      </c>
      <c r="H26" s="84">
        <f t="shared" si="1"/>
        <v>2967096.9612162109</v>
      </c>
      <c r="I26" s="84">
        <f t="shared" si="1"/>
        <v>3042196.4402982835</v>
      </c>
      <c r="J26" s="84">
        <f t="shared" si="1"/>
        <v>3119196.7442715275</v>
      </c>
      <c r="K26" s="84">
        <f t="shared" si="1"/>
        <v>3198145.9844585657</v>
      </c>
      <c r="L26" s="84">
        <f t="shared" si="1"/>
        <v>3279093.4899161602</v>
      </c>
      <c r="M26" s="84">
        <f t="shared" si="1"/>
        <v>3362089.8382569905</v>
      </c>
      <c r="N26" s="84">
        <f t="shared" si="1"/>
        <v>3447186.8872515522</v>
      </c>
      <c r="O26" s="84">
        <f t="shared" si="1"/>
        <v>3534437.8072299231</v>
      </c>
      <c r="P26" s="84">
        <v>0</v>
      </c>
      <c r="T26" s="8" t="s">
        <v>1003</v>
      </c>
      <c r="U26" s="8" t="s">
        <v>1199</v>
      </c>
      <c r="V26" s="105" t="s">
        <v>176</v>
      </c>
      <c r="W26" s="105" t="s">
        <v>1212</v>
      </c>
      <c r="X26" s="10" t="s">
        <v>1210</v>
      </c>
      <c r="Y26" s="104">
        <v>3.5</v>
      </c>
      <c r="Z26" s="104">
        <v>3</v>
      </c>
      <c r="AA26" s="104">
        <v>3</v>
      </c>
      <c r="AB26" s="104">
        <v>3</v>
      </c>
      <c r="AC26" s="104">
        <v>3</v>
      </c>
      <c r="AD26" s="104">
        <v>3</v>
      </c>
      <c r="AE26" s="104">
        <v>3</v>
      </c>
      <c r="AF26" s="87">
        <v>3</v>
      </c>
      <c r="AG26" s="87">
        <v>3</v>
      </c>
      <c r="AH26" s="87">
        <v>3</v>
      </c>
      <c r="AI26" s="87">
        <v>0</v>
      </c>
      <c r="AK26" s="8" t="s">
        <v>1003</v>
      </c>
      <c r="AL26" s="8" t="s">
        <v>1199</v>
      </c>
      <c r="AM26" s="105" t="s">
        <v>176</v>
      </c>
      <c r="AN26" s="105" t="s">
        <v>1212</v>
      </c>
      <c r="AO26" s="10" t="s">
        <v>1210</v>
      </c>
      <c r="AP26" s="11"/>
      <c r="AQ26" s="11"/>
      <c r="AR26" s="11"/>
      <c r="AS26" s="11"/>
      <c r="AT26" s="11"/>
      <c r="AU26" s="11"/>
      <c r="AV26" s="11"/>
      <c r="AW26" s="11"/>
      <c r="AX26" s="11"/>
      <c r="AY26" s="11"/>
    </row>
    <row r="27" spans="1:51" ht="19.95" customHeight="1">
      <c r="A27" s="8" t="s">
        <v>1004</v>
      </c>
      <c r="B27" s="8" t="s">
        <v>1199</v>
      </c>
      <c r="C27" s="105" t="s">
        <v>176</v>
      </c>
      <c r="D27" s="105" t="s">
        <v>1214</v>
      </c>
      <c r="E27" s="10" t="s">
        <v>1210</v>
      </c>
      <c r="F27" s="84">
        <v>2822413.9414824001</v>
      </c>
      <c r="G27" s="84">
        <f t="shared" si="1"/>
        <v>2893851.3833759152</v>
      </c>
      <c r="H27" s="84">
        <f t="shared" si="1"/>
        <v>2967096.9612162109</v>
      </c>
      <c r="I27" s="84">
        <f t="shared" si="1"/>
        <v>3042196.4402982835</v>
      </c>
      <c r="J27" s="84">
        <f t="shared" si="1"/>
        <v>3119196.7442715275</v>
      </c>
      <c r="K27" s="84">
        <f t="shared" si="1"/>
        <v>3198145.9844585657</v>
      </c>
      <c r="L27" s="84">
        <f t="shared" si="1"/>
        <v>3279093.4899161602</v>
      </c>
      <c r="M27" s="84">
        <f t="shared" si="1"/>
        <v>3362089.8382569905</v>
      </c>
      <c r="N27" s="84">
        <f t="shared" si="1"/>
        <v>3447186.8872515522</v>
      </c>
      <c r="O27" s="84">
        <f t="shared" si="1"/>
        <v>3534437.8072299231</v>
      </c>
      <c r="P27" s="84">
        <v>0</v>
      </c>
      <c r="T27" s="8" t="s">
        <v>1004</v>
      </c>
      <c r="U27" s="8" t="s">
        <v>1199</v>
      </c>
      <c r="V27" s="105" t="s">
        <v>176</v>
      </c>
      <c r="W27" s="105" t="s">
        <v>1214</v>
      </c>
      <c r="X27" s="10" t="s">
        <v>1210</v>
      </c>
      <c r="Y27" s="104">
        <v>2</v>
      </c>
      <c r="Z27" s="104">
        <v>2</v>
      </c>
      <c r="AA27" s="104">
        <v>2</v>
      </c>
      <c r="AB27" s="104">
        <v>2</v>
      </c>
      <c r="AC27" s="104">
        <v>2</v>
      </c>
      <c r="AD27" s="104">
        <v>2</v>
      </c>
      <c r="AE27" s="104">
        <v>2</v>
      </c>
      <c r="AF27" s="87">
        <v>2</v>
      </c>
      <c r="AG27" s="87">
        <v>2</v>
      </c>
      <c r="AH27" s="87">
        <v>2</v>
      </c>
      <c r="AI27" s="87">
        <v>0</v>
      </c>
      <c r="AK27" s="8" t="s">
        <v>1004</v>
      </c>
      <c r="AL27" s="8" t="s">
        <v>1199</v>
      </c>
      <c r="AM27" s="105" t="s">
        <v>176</v>
      </c>
      <c r="AN27" s="105" t="s">
        <v>1214</v>
      </c>
      <c r="AO27" s="10" t="s">
        <v>1210</v>
      </c>
      <c r="AP27" s="11"/>
      <c r="AQ27" s="11"/>
      <c r="AR27" s="11"/>
      <c r="AS27" s="11"/>
      <c r="AT27" s="11"/>
      <c r="AU27" s="11"/>
      <c r="AV27" s="11"/>
      <c r="AW27" s="11"/>
      <c r="AX27" s="11"/>
      <c r="AY27" s="11"/>
    </row>
    <row r="28" spans="1:51" ht="19.95" customHeight="1">
      <c r="A28" s="8" t="s">
        <v>1005</v>
      </c>
      <c r="B28" s="8" t="s">
        <v>1184</v>
      </c>
      <c r="C28" s="105" t="s">
        <v>176</v>
      </c>
      <c r="D28" s="105" t="s">
        <v>1212</v>
      </c>
      <c r="E28" s="10" t="s">
        <v>1213</v>
      </c>
      <c r="F28" s="84">
        <v>2970191.1851691948</v>
      </c>
      <c r="G28" s="84">
        <v>3045368.981411125</v>
      </c>
      <c r="H28" s="84">
        <v>3122449.5848110663</v>
      </c>
      <c r="I28" s="84">
        <v>3201481.156864319</v>
      </c>
      <c r="J28" s="84">
        <v>3282513.078070234</v>
      </c>
      <c r="K28" s="84">
        <v>3365595.9787861314</v>
      </c>
      <c r="L28" s="84">
        <v>3450781.7708621523</v>
      </c>
      <c r="M28" s="84">
        <v>3538123.6800768184</v>
      </c>
      <c r="N28" s="84">
        <v>3627676.2793935603</v>
      </c>
      <c r="O28" s="84">
        <v>3719495.5230589835</v>
      </c>
      <c r="P28" s="84">
        <v>0</v>
      </c>
      <c r="T28" s="8" t="s">
        <v>1005</v>
      </c>
      <c r="U28" s="8" t="s">
        <v>1184</v>
      </c>
      <c r="V28" s="105" t="s">
        <v>176</v>
      </c>
      <c r="W28" s="105" t="s">
        <v>1212</v>
      </c>
      <c r="X28" s="10" t="s">
        <v>1213</v>
      </c>
      <c r="Y28" s="104">
        <v>0</v>
      </c>
      <c r="Z28" s="104">
        <v>0</v>
      </c>
      <c r="AA28" s="104">
        <v>0</v>
      </c>
      <c r="AB28" s="104">
        <v>0</v>
      </c>
      <c r="AC28" s="104">
        <v>0</v>
      </c>
      <c r="AD28" s="104">
        <v>0</v>
      </c>
      <c r="AE28" s="104">
        <v>0</v>
      </c>
      <c r="AF28" s="87">
        <v>0</v>
      </c>
      <c r="AG28" s="87">
        <v>0</v>
      </c>
      <c r="AH28" s="87">
        <v>0</v>
      </c>
      <c r="AI28" s="87">
        <v>0</v>
      </c>
      <c r="AK28" s="8" t="s">
        <v>1005</v>
      </c>
      <c r="AL28" s="8" t="s">
        <v>1184</v>
      </c>
      <c r="AM28" s="105" t="s">
        <v>176</v>
      </c>
      <c r="AN28" s="105" t="s">
        <v>1212</v>
      </c>
      <c r="AO28" s="10" t="s">
        <v>1213</v>
      </c>
      <c r="AP28" s="11"/>
      <c r="AQ28" s="11"/>
      <c r="AR28" s="11"/>
      <c r="AS28" s="11"/>
      <c r="AT28" s="11"/>
      <c r="AU28" s="11"/>
      <c r="AV28" s="11"/>
      <c r="AW28" s="11"/>
      <c r="AX28" s="11"/>
      <c r="AY28" s="11"/>
    </row>
    <row r="29" spans="1:51" ht="19.95" customHeight="1">
      <c r="A29" s="8" t="s">
        <v>1006</v>
      </c>
      <c r="B29" s="8" t="s">
        <v>1184</v>
      </c>
      <c r="C29" s="105" t="s">
        <v>159</v>
      </c>
      <c r="D29" s="105" t="s">
        <v>1212</v>
      </c>
      <c r="E29" s="10" t="s">
        <v>1216</v>
      </c>
      <c r="F29" s="84">
        <v>2387498.5637485301</v>
      </c>
      <c r="G29" s="84">
        <v>2447927.9668959118</v>
      </c>
      <c r="H29" s="84">
        <v>2509886.8841633014</v>
      </c>
      <c r="I29" s="84">
        <v>2573414.0287155071</v>
      </c>
      <c r="J29" s="84">
        <v>2638549.093576957</v>
      </c>
      <c r="K29" s="84">
        <v>2705332.7764327019</v>
      </c>
      <c r="L29" s="84">
        <v>2773806.8050571242</v>
      </c>
      <c r="M29" s="84">
        <v>2844013.9633862916</v>
      </c>
      <c r="N29" s="84">
        <v>2915998.1182502108</v>
      </c>
      <c r="O29" s="84">
        <v>2989804.2467816933</v>
      </c>
      <c r="P29" s="84">
        <v>0</v>
      </c>
      <c r="T29" s="8" t="s">
        <v>1006</v>
      </c>
      <c r="U29" s="8" t="s">
        <v>1184</v>
      </c>
      <c r="V29" s="105" t="s">
        <v>159</v>
      </c>
      <c r="W29" s="105" t="s">
        <v>1212</v>
      </c>
      <c r="X29" s="10" t="s">
        <v>1216</v>
      </c>
      <c r="Y29" s="104">
        <v>16.946564885496198</v>
      </c>
      <c r="Z29" s="104">
        <v>16.946564885496198</v>
      </c>
      <c r="AA29" s="104">
        <v>16.946564885496162</v>
      </c>
      <c r="AB29" s="104">
        <v>16.946564885496162</v>
      </c>
      <c r="AC29" s="104">
        <v>16.946564885496162</v>
      </c>
      <c r="AD29" s="104">
        <v>16.946564885496162</v>
      </c>
      <c r="AE29" s="104">
        <v>16.946564885496162</v>
      </c>
      <c r="AF29" s="87">
        <v>16.946564885496162</v>
      </c>
      <c r="AG29" s="87">
        <v>16.946564885496162</v>
      </c>
      <c r="AH29" s="87">
        <v>16.946564885496162</v>
      </c>
      <c r="AI29" s="87">
        <v>0</v>
      </c>
      <c r="AK29" s="8" t="s">
        <v>1006</v>
      </c>
      <c r="AL29" s="8" t="s">
        <v>1184</v>
      </c>
      <c r="AM29" s="105" t="s">
        <v>159</v>
      </c>
      <c r="AN29" s="105" t="s">
        <v>1212</v>
      </c>
      <c r="AO29" s="10" t="s">
        <v>1216</v>
      </c>
      <c r="AP29" s="11"/>
      <c r="AQ29" s="11"/>
      <c r="AR29" s="11"/>
      <c r="AS29" s="11"/>
      <c r="AT29" s="11"/>
      <c r="AU29" s="11"/>
      <c r="AV29" s="11"/>
      <c r="AW29" s="11"/>
      <c r="AX29" s="11"/>
      <c r="AY29" s="11"/>
    </row>
    <row r="30" spans="1:51" ht="19.95" customHeight="1">
      <c r="A30" s="8" t="s">
        <v>1007</v>
      </c>
      <c r="B30" s="8" t="s">
        <v>1184</v>
      </c>
      <c r="C30" s="105" t="s">
        <v>159</v>
      </c>
      <c r="D30" s="105" t="s">
        <v>1212</v>
      </c>
      <c r="E30" s="10" t="s">
        <v>1217</v>
      </c>
      <c r="F30" s="84">
        <v>2387498.5637485301</v>
      </c>
      <c r="G30" s="84">
        <v>2447927.9668959118</v>
      </c>
      <c r="H30" s="84">
        <v>2509886.8841633014</v>
      </c>
      <c r="I30" s="84">
        <v>2573414.0287155071</v>
      </c>
      <c r="J30" s="84">
        <v>2638549.093576957</v>
      </c>
      <c r="K30" s="84">
        <v>2705332.7764327019</v>
      </c>
      <c r="L30" s="84">
        <v>2773806.8050571242</v>
      </c>
      <c r="M30" s="84">
        <v>2844013.9633862916</v>
      </c>
      <c r="N30" s="84">
        <v>2915998.1182502108</v>
      </c>
      <c r="O30" s="84">
        <v>2989804.2467816933</v>
      </c>
      <c r="P30" s="84">
        <v>0</v>
      </c>
      <c r="T30" s="8" t="s">
        <v>1007</v>
      </c>
      <c r="U30" s="8" t="s">
        <v>1184</v>
      </c>
      <c r="V30" s="105" t="s">
        <v>159</v>
      </c>
      <c r="W30" s="105" t="s">
        <v>1212</v>
      </c>
      <c r="X30" s="10" t="s">
        <v>1217</v>
      </c>
      <c r="Y30" s="104">
        <v>3.3893129770992396</v>
      </c>
      <c r="Z30" s="104">
        <v>3.3893129770992396</v>
      </c>
      <c r="AA30" s="104">
        <v>3.3893129770992423</v>
      </c>
      <c r="AB30" s="104">
        <v>3.3893129770992423</v>
      </c>
      <c r="AC30" s="104">
        <v>3.3893129770992423</v>
      </c>
      <c r="AD30" s="104">
        <v>3.3893129770992423</v>
      </c>
      <c r="AE30" s="104">
        <v>3.3893129770992423</v>
      </c>
      <c r="AF30" s="87">
        <v>3.3893129770992423</v>
      </c>
      <c r="AG30" s="87">
        <v>3.3893129770992423</v>
      </c>
      <c r="AH30" s="87">
        <v>3.3893129770992423</v>
      </c>
      <c r="AI30" s="87">
        <v>0</v>
      </c>
      <c r="AK30" s="8" t="s">
        <v>1007</v>
      </c>
      <c r="AL30" s="8" t="s">
        <v>1184</v>
      </c>
      <c r="AM30" s="105" t="s">
        <v>159</v>
      </c>
      <c r="AN30" s="105" t="s">
        <v>1212</v>
      </c>
      <c r="AO30" s="10" t="s">
        <v>1217</v>
      </c>
      <c r="AP30" s="11"/>
      <c r="AQ30" s="11"/>
      <c r="AR30" s="11"/>
      <c r="AS30" s="11"/>
      <c r="AT30" s="11"/>
      <c r="AU30" s="11"/>
      <c r="AV30" s="11"/>
      <c r="AW30" s="11"/>
      <c r="AX30" s="11"/>
      <c r="AY30" s="11"/>
    </row>
    <row r="31" spans="1:51" ht="19.95" customHeight="1">
      <c r="A31" s="8" t="s">
        <v>1008</v>
      </c>
      <c r="B31" s="8" t="s">
        <v>1184</v>
      </c>
      <c r="C31" s="105" t="s">
        <v>159</v>
      </c>
      <c r="D31" s="105" t="s">
        <v>1212</v>
      </c>
      <c r="E31" s="10" t="s">
        <v>1218</v>
      </c>
      <c r="F31" s="84">
        <v>2387498.5637485301</v>
      </c>
      <c r="G31" s="84">
        <v>2447927.9668959118</v>
      </c>
      <c r="H31" s="84">
        <v>2509886.8841633014</v>
      </c>
      <c r="I31" s="84">
        <v>2573414.0287155071</v>
      </c>
      <c r="J31" s="84">
        <v>2638549.093576957</v>
      </c>
      <c r="K31" s="84">
        <v>2705332.7764327019</v>
      </c>
      <c r="L31" s="84">
        <v>2773806.8050571242</v>
      </c>
      <c r="M31" s="84">
        <v>2844013.9633862916</v>
      </c>
      <c r="N31" s="84">
        <v>2915998.1182502108</v>
      </c>
      <c r="O31" s="84">
        <v>2989804.2467816933</v>
      </c>
      <c r="P31" s="84">
        <v>0</v>
      </c>
      <c r="T31" s="8" t="s">
        <v>1008</v>
      </c>
      <c r="U31" s="8" t="s">
        <v>1184</v>
      </c>
      <c r="V31" s="105" t="s">
        <v>159</v>
      </c>
      <c r="W31" s="105" t="s">
        <v>1212</v>
      </c>
      <c r="X31" s="10" t="s">
        <v>1218</v>
      </c>
      <c r="Y31" s="104">
        <v>12.427480916030547</v>
      </c>
      <c r="Z31" s="104">
        <v>12.427480916030547</v>
      </c>
      <c r="AA31" s="104">
        <v>12.427480916030525</v>
      </c>
      <c r="AB31" s="104">
        <v>12.427480916030525</v>
      </c>
      <c r="AC31" s="104">
        <v>12.427480916030525</v>
      </c>
      <c r="AD31" s="104">
        <v>12.427480916030525</v>
      </c>
      <c r="AE31" s="104">
        <v>12.427480916030525</v>
      </c>
      <c r="AF31" s="87">
        <v>12.427480916030525</v>
      </c>
      <c r="AG31" s="87">
        <v>12.427480916030525</v>
      </c>
      <c r="AH31" s="87">
        <v>12.427480916030525</v>
      </c>
      <c r="AI31" s="87">
        <v>0</v>
      </c>
      <c r="AK31" s="8" t="s">
        <v>1008</v>
      </c>
      <c r="AL31" s="8" t="s">
        <v>1184</v>
      </c>
      <c r="AM31" s="105" t="s">
        <v>159</v>
      </c>
      <c r="AN31" s="105" t="s">
        <v>1212</v>
      </c>
      <c r="AO31" s="10" t="s">
        <v>1218</v>
      </c>
      <c r="AP31" s="11"/>
      <c r="AQ31" s="11"/>
      <c r="AR31" s="11"/>
      <c r="AS31" s="11"/>
      <c r="AT31" s="11"/>
      <c r="AU31" s="11"/>
      <c r="AV31" s="11"/>
      <c r="AW31" s="11"/>
      <c r="AX31" s="11"/>
      <c r="AY31" s="11"/>
    </row>
    <row r="32" spans="1:51" ht="19.95" customHeight="1">
      <c r="A32" s="8" t="s">
        <v>1009</v>
      </c>
      <c r="B32" s="8" t="s">
        <v>1184</v>
      </c>
      <c r="C32" s="105" t="s">
        <v>159</v>
      </c>
      <c r="D32" s="105" t="s">
        <v>1214</v>
      </c>
      <c r="E32" s="10" t="s">
        <v>1219</v>
      </c>
      <c r="F32" s="84">
        <v>2387498.5637485301</v>
      </c>
      <c r="G32" s="84">
        <v>2447927.9668959118</v>
      </c>
      <c r="H32" s="84">
        <v>2509886.8841633014</v>
      </c>
      <c r="I32" s="84">
        <v>2573414.0287155071</v>
      </c>
      <c r="J32" s="84">
        <v>2638549.093576957</v>
      </c>
      <c r="K32" s="84">
        <v>2705332.7764327019</v>
      </c>
      <c r="L32" s="84">
        <v>2773806.8050571242</v>
      </c>
      <c r="M32" s="84">
        <v>2844013.9633862916</v>
      </c>
      <c r="N32" s="84">
        <v>2915998.1182502108</v>
      </c>
      <c r="O32" s="84">
        <v>2989804.2467816933</v>
      </c>
      <c r="P32" s="84">
        <v>0</v>
      </c>
      <c r="T32" s="8" t="s">
        <v>1009</v>
      </c>
      <c r="U32" s="8" t="s">
        <v>1184</v>
      </c>
      <c r="V32" s="105" t="s">
        <v>159</v>
      </c>
      <c r="W32" s="105" t="s">
        <v>1214</v>
      </c>
      <c r="X32" s="10" t="s">
        <v>1219</v>
      </c>
      <c r="Y32" s="104">
        <v>27.114503816793917</v>
      </c>
      <c r="Z32" s="104">
        <v>27.114503816793917</v>
      </c>
      <c r="AA32" s="104">
        <v>27.114503816793917</v>
      </c>
      <c r="AB32" s="104">
        <v>27.114503816793917</v>
      </c>
      <c r="AC32" s="104">
        <v>27.114503816793917</v>
      </c>
      <c r="AD32" s="104">
        <v>27.114503816793917</v>
      </c>
      <c r="AE32" s="104">
        <v>27.114503816793917</v>
      </c>
      <c r="AF32" s="87">
        <v>27.114503816793917</v>
      </c>
      <c r="AG32" s="87">
        <v>27.114503816793917</v>
      </c>
      <c r="AH32" s="87">
        <v>27.114503816793917</v>
      </c>
      <c r="AI32" s="87">
        <v>0</v>
      </c>
      <c r="AK32" s="8" t="s">
        <v>1009</v>
      </c>
      <c r="AL32" s="8" t="s">
        <v>1184</v>
      </c>
      <c r="AM32" s="105" t="s">
        <v>159</v>
      </c>
      <c r="AN32" s="105" t="s">
        <v>1214</v>
      </c>
      <c r="AO32" s="10" t="s">
        <v>1219</v>
      </c>
      <c r="AP32" s="11"/>
      <c r="AQ32" s="11"/>
      <c r="AR32" s="11"/>
      <c r="AS32" s="11"/>
      <c r="AT32" s="11"/>
      <c r="AU32" s="11"/>
      <c r="AV32" s="11"/>
      <c r="AW32" s="11"/>
      <c r="AX32" s="11"/>
      <c r="AY32" s="11"/>
    </row>
    <row r="33" spans="1:51" ht="19.95" customHeight="1">
      <c r="A33" s="8" t="s">
        <v>1010</v>
      </c>
      <c r="B33" s="8" t="s">
        <v>1184</v>
      </c>
      <c r="C33" s="105" t="s">
        <v>159</v>
      </c>
      <c r="D33" s="105" t="s">
        <v>1214</v>
      </c>
      <c r="E33" s="10" t="s">
        <v>1220</v>
      </c>
      <c r="F33" s="84">
        <v>2387498.5637485301</v>
      </c>
      <c r="G33" s="84">
        <v>2447927.9668959118</v>
      </c>
      <c r="H33" s="84">
        <v>2509886.8841633014</v>
      </c>
      <c r="I33" s="84">
        <v>2573414.0287155071</v>
      </c>
      <c r="J33" s="84">
        <v>2638549.093576957</v>
      </c>
      <c r="K33" s="84">
        <v>2705332.7764327019</v>
      </c>
      <c r="L33" s="84">
        <v>2773806.8050571242</v>
      </c>
      <c r="M33" s="84">
        <v>2844013.9633862916</v>
      </c>
      <c r="N33" s="84">
        <v>2915998.1182502108</v>
      </c>
      <c r="O33" s="84">
        <v>2989804.2467816933</v>
      </c>
      <c r="P33" s="84">
        <v>0</v>
      </c>
      <c r="T33" s="8" t="s">
        <v>1010</v>
      </c>
      <c r="U33" s="8" t="s">
        <v>1184</v>
      </c>
      <c r="V33" s="105" t="s">
        <v>159</v>
      </c>
      <c r="W33" s="105" t="s">
        <v>1214</v>
      </c>
      <c r="X33" s="10" t="s">
        <v>1220</v>
      </c>
      <c r="Y33" s="104">
        <v>0</v>
      </c>
      <c r="Z33" s="104">
        <v>0</v>
      </c>
      <c r="AA33" s="104">
        <v>0</v>
      </c>
      <c r="AB33" s="104">
        <v>0</v>
      </c>
      <c r="AC33" s="104">
        <v>0</v>
      </c>
      <c r="AD33" s="104">
        <v>0</v>
      </c>
      <c r="AE33" s="104">
        <v>0</v>
      </c>
      <c r="AF33" s="87">
        <v>0</v>
      </c>
      <c r="AG33" s="87">
        <v>0</v>
      </c>
      <c r="AH33" s="87">
        <v>0</v>
      </c>
      <c r="AI33" s="87">
        <v>0</v>
      </c>
      <c r="AK33" s="8" t="s">
        <v>1010</v>
      </c>
      <c r="AL33" s="8" t="s">
        <v>1184</v>
      </c>
      <c r="AM33" s="105" t="s">
        <v>159</v>
      </c>
      <c r="AN33" s="105" t="s">
        <v>1214</v>
      </c>
      <c r="AO33" s="10" t="s">
        <v>1220</v>
      </c>
      <c r="AP33" s="11"/>
      <c r="AQ33" s="11"/>
      <c r="AR33" s="11"/>
      <c r="AS33" s="11"/>
      <c r="AT33" s="11"/>
      <c r="AU33" s="11"/>
      <c r="AV33" s="11"/>
      <c r="AW33" s="11"/>
      <c r="AX33" s="11"/>
      <c r="AY33" s="11"/>
    </row>
    <row r="34" spans="1:51" ht="19.95" customHeight="1">
      <c r="A34" s="8" t="s">
        <v>1011</v>
      </c>
      <c r="B34" s="8" t="s">
        <v>1184</v>
      </c>
      <c r="C34" s="105" t="s">
        <v>159</v>
      </c>
      <c r="D34" s="105" t="s">
        <v>1214</v>
      </c>
      <c r="E34" s="10" t="s">
        <v>1221</v>
      </c>
      <c r="F34" s="84">
        <v>2387498.5637485301</v>
      </c>
      <c r="G34" s="84">
        <v>2447927.9668959118</v>
      </c>
      <c r="H34" s="84">
        <v>2509886.8841633014</v>
      </c>
      <c r="I34" s="84">
        <v>2573414.0287155071</v>
      </c>
      <c r="J34" s="84">
        <v>2638549.093576957</v>
      </c>
      <c r="K34" s="84">
        <v>2705332.7764327019</v>
      </c>
      <c r="L34" s="84">
        <v>2773806.8050571242</v>
      </c>
      <c r="M34" s="84">
        <v>2844013.9633862916</v>
      </c>
      <c r="N34" s="84">
        <v>2915998.1182502108</v>
      </c>
      <c r="O34" s="84">
        <v>2989804.2467816933</v>
      </c>
      <c r="P34" s="84">
        <v>0</v>
      </c>
      <c r="T34" s="8" t="s">
        <v>1011</v>
      </c>
      <c r="U34" s="8" t="s">
        <v>1184</v>
      </c>
      <c r="V34" s="105" t="s">
        <v>159</v>
      </c>
      <c r="W34" s="105" t="s">
        <v>1214</v>
      </c>
      <c r="X34" s="10" t="s">
        <v>1221</v>
      </c>
      <c r="Y34" s="104">
        <v>0</v>
      </c>
      <c r="Z34" s="104">
        <v>0</v>
      </c>
      <c r="AA34" s="104">
        <v>0</v>
      </c>
      <c r="AB34" s="104">
        <v>0</v>
      </c>
      <c r="AC34" s="104">
        <v>0</v>
      </c>
      <c r="AD34" s="104">
        <v>0</v>
      </c>
      <c r="AE34" s="104">
        <v>0</v>
      </c>
      <c r="AF34" s="87">
        <v>0</v>
      </c>
      <c r="AG34" s="87">
        <v>0</v>
      </c>
      <c r="AH34" s="87">
        <v>0</v>
      </c>
      <c r="AI34" s="87">
        <v>0</v>
      </c>
      <c r="AK34" s="8" t="s">
        <v>1011</v>
      </c>
      <c r="AL34" s="8" t="s">
        <v>1184</v>
      </c>
      <c r="AM34" s="105" t="s">
        <v>159</v>
      </c>
      <c r="AN34" s="105" t="s">
        <v>1214</v>
      </c>
      <c r="AO34" s="10" t="s">
        <v>1221</v>
      </c>
      <c r="AP34" s="11"/>
      <c r="AQ34" s="11"/>
      <c r="AR34" s="11"/>
      <c r="AS34" s="11"/>
      <c r="AT34" s="11"/>
      <c r="AU34" s="11"/>
      <c r="AV34" s="11"/>
      <c r="AW34" s="11"/>
      <c r="AX34" s="11"/>
      <c r="AY34" s="11"/>
    </row>
    <row r="35" spans="1:51" ht="19.95" customHeight="1">
      <c r="A35" s="8" t="s">
        <v>1229</v>
      </c>
      <c r="B35" s="8" t="s">
        <v>1184</v>
      </c>
      <c r="C35" s="105" t="s">
        <v>176</v>
      </c>
      <c r="D35" s="105" t="s">
        <v>1207</v>
      </c>
      <c r="E35" s="10" t="s">
        <v>1222</v>
      </c>
      <c r="F35" s="84">
        <v>2970191.1851691948</v>
      </c>
      <c r="G35" s="84">
        <v>3045368.981411125</v>
      </c>
      <c r="H35" s="84">
        <v>3122449.5848110663</v>
      </c>
      <c r="I35" s="84">
        <v>3201481.156864319</v>
      </c>
      <c r="J35" s="84">
        <v>3282513.078070234</v>
      </c>
      <c r="K35" s="84">
        <v>3365595.9787861314</v>
      </c>
      <c r="L35" s="84">
        <v>3450781.7708621523</v>
      </c>
      <c r="M35" s="84">
        <v>3538123.6800768184</v>
      </c>
      <c r="N35" s="84">
        <v>3627676.2793935603</v>
      </c>
      <c r="O35" s="84">
        <v>3719495.5230589835</v>
      </c>
      <c r="P35" s="84">
        <v>0</v>
      </c>
      <c r="T35" s="8" t="s">
        <v>1229</v>
      </c>
      <c r="U35" s="8" t="s">
        <v>1184</v>
      </c>
      <c r="V35" s="105" t="s">
        <v>176</v>
      </c>
      <c r="W35" s="105" t="s">
        <v>1207</v>
      </c>
      <c r="X35" s="10" t="s">
        <v>1222</v>
      </c>
      <c r="Y35" s="104">
        <v>1.1297709923664132</v>
      </c>
      <c r="Z35" s="104">
        <v>1.1297709923664132</v>
      </c>
      <c r="AA35" s="104">
        <v>1.1297709923664141</v>
      </c>
      <c r="AB35" s="104">
        <v>1.1297709923664141</v>
      </c>
      <c r="AC35" s="104">
        <v>1.1297709923664141</v>
      </c>
      <c r="AD35" s="104">
        <v>1.1297709923664141</v>
      </c>
      <c r="AE35" s="104">
        <v>1.1297709923664141</v>
      </c>
      <c r="AF35" s="87">
        <v>1.1297709923664141</v>
      </c>
      <c r="AG35" s="87">
        <v>1.1297709923664141</v>
      </c>
      <c r="AH35" s="87">
        <v>1.1297709923664141</v>
      </c>
      <c r="AI35" s="87">
        <v>0</v>
      </c>
      <c r="AK35" s="8" t="s">
        <v>1229</v>
      </c>
      <c r="AL35" s="8" t="s">
        <v>1184</v>
      </c>
      <c r="AM35" s="105" t="s">
        <v>176</v>
      </c>
      <c r="AN35" s="105" t="s">
        <v>1207</v>
      </c>
      <c r="AO35" s="10" t="s">
        <v>1222</v>
      </c>
      <c r="AP35" s="11"/>
      <c r="AQ35" s="11"/>
      <c r="AR35" s="11"/>
      <c r="AS35" s="11"/>
      <c r="AT35" s="11"/>
      <c r="AU35" s="11"/>
      <c r="AV35" s="11"/>
      <c r="AW35" s="11"/>
      <c r="AX35" s="11"/>
      <c r="AY35" s="11"/>
    </row>
    <row r="36" spans="1:51" ht="19.95" customHeight="1">
      <c r="A36" s="8" t="s">
        <v>1230</v>
      </c>
      <c r="B36" s="8" t="s">
        <v>1184</v>
      </c>
      <c r="C36" s="105" t="s">
        <v>176</v>
      </c>
      <c r="D36" s="105" t="s">
        <v>1207</v>
      </c>
      <c r="E36" s="10" t="s">
        <v>1223</v>
      </c>
      <c r="F36" s="84">
        <v>2970191.1851691948</v>
      </c>
      <c r="G36" s="84">
        <v>3045368.981411125</v>
      </c>
      <c r="H36" s="84">
        <v>3122449.5848110663</v>
      </c>
      <c r="I36" s="84">
        <v>3201481.156864319</v>
      </c>
      <c r="J36" s="84">
        <v>3282513.078070234</v>
      </c>
      <c r="K36" s="84">
        <v>3365595.9787861314</v>
      </c>
      <c r="L36" s="84">
        <v>3450781.7708621523</v>
      </c>
      <c r="M36" s="84">
        <v>3538123.6800768184</v>
      </c>
      <c r="N36" s="84">
        <v>3627676.2793935603</v>
      </c>
      <c r="O36" s="84">
        <v>3719495.5230589835</v>
      </c>
      <c r="P36" s="84">
        <v>0</v>
      </c>
      <c r="T36" s="8" t="s">
        <v>1230</v>
      </c>
      <c r="U36" s="8" t="s">
        <v>1184</v>
      </c>
      <c r="V36" s="105" t="s">
        <v>176</v>
      </c>
      <c r="W36" s="105" t="s">
        <v>1207</v>
      </c>
      <c r="X36" s="10" t="s">
        <v>1223</v>
      </c>
      <c r="Y36" s="104">
        <v>1.1297709923664132</v>
      </c>
      <c r="Z36" s="104">
        <v>1.1297709923664132</v>
      </c>
      <c r="AA36" s="104">
        <v>1.1297709923664141</v>
      </c>
      <c r="AB36" s="104">
        <v>1.1297709923664141</v>
      </c>
      <c r="AC36" s="104">
        <v>1.1297709923664141</v>
      </c>
      <c r="AD36" s="104">
        <v>1.1297709923664141</v>
      </c>
      <c r="AE36" s="104">
        <v>1.1297709923664141</v>
      </c>
      <c r="AF36" s="87">
        <v>1.1297709923664141</v>
      </c>
      <c r="AG36" s="87">
        <v>1.1297709923664141</v>
      </c>
      <c r="AH36" s="87">
        <v>1.1297709923664141</v>
      </c>
      <c r="AI36" s="87">
        <v>0</v>
      </c>
      <c r="AK36" s="8" t="s">
        <v>1230</v>
      </c>
      <c r="AL36" s="8" t="s">
        <v>1184</v>
      </c>
      <c r="AM36" s="105" t="s">
        <v>176</v>
      </c>
      <c r="AN36" s="105" t="s">
        <v>1207</v>
      </c>
      <c r="AO36" s="10" t="s">
        <v>1223</v>
      </c>
      <c r="AP36" s="11"/>
      <c r="AQ36" s="11"/>
      <c r="AR36" s="11"/>
      <c r="AS36" s="11"/>
      <c r="AT36" s="11"/>
      <c r="AU36" s="11"/>
      <c r="AV36" s="11"/>
      <c r="AW36" s="11"/>
      <c r="AX36" s="11"/>
      <c r="AY36" s="11"/>
    </row>
    <row r="37" spans="1:51" ht="19.95" customHeight="1">
      <c r="A37" s="8" t="s">
        <v>1231</v>
      </c>
      <c r="B37" s="8" t="s">
        <v>1184</v>
      </c>
      <c r="C37" s="105" t="s">
        <v>176</v>
      </c>
      <c r="D37" s="105" t="s">
        <v>1212</v>
      </c>
      <c r="E37" s="10" t="s">
        <v>1224</v>
      </c>
      <c r="F37" s="84">
        <v>2970191.1851691948</v>
      </c>
      <c r="G37" s="84">
        <v>3045368.981411125</v>
      </c>
      <c r="H37" s="84">
        <v>3122449.5848110663</v>
      </c>
      <c r="I37" s="84">
        <v>3201481.156864319</v>
      </c>
      <c r="J37" s="84">
        <v>3282513.078070234</v>
      </c>
      <c r="K37" s="84">
        <v>3365595.9787861314</v>
      </c>
      <c r="L37" s="84">
        <v>3450781.7708621523</v>
      </c>
      <c r="M37" s="84">
        <v>3538123.6800768184</v>
      </c>
      <c r="N37" s="84">
        <v>3627676.2793935603</v>
      </c>
      <c r="O37" s="84">
        <v>3719495.5230589835</v>
      </c>
      <c r="P37" s="84">
        <v>0</v>
      </c>
      <c r="T37" s="8" t="s">
        <v>1231</v>
      </c>
      <c r="U37" s="8" t="s">
        <v>1184</v>
      </c>
      <c r="V37" s="105" t="s">
        <v>176</v>
      </c>
      <c r="W37" s="105" t="s">
        <v>1212</v>
      </c>
      <c r="X37" s="10" t="s">
        <v>1224</v>
      </c>
      <c r="Y37" s="104">
        <v>2.2595419847328264</v>
      </c>
      <c r="Z37" s="104">
        <v>2.2595419847328264</v>
      </c>
      <c r="AA37" s="104">
        <v>2.2595419847328282</v>
      </c>
      <c r="AB37" s="104">
        <v>2.2595419847328282</v>
      </c>
      <c r="AC37" s="104">
        <v>2.2595419847328282</v>
      </c>
      <c r="AD37" s="104">
        <v>2.2595419847328282</v>
      </c>
      <c r="AE37" s="104">
        <v>2.2595419847328282</v>
      </c>
      <c r="AF37" s="87">
        <v>2.2595419847328282</v>
      </c>
      <c r="AG37" s="87">
        <v>2.2595419847328282</v>
      </c>
      <c r="AH37" s="87">
        <v>2.2595419847328282</v>
      </c>
      <c r="AI37" s="87">
        <v>0</v>
      </c>
      <c r="AK37" s="8" t="s">
        <v>1231</v>
      </c>
      <c r="AL37" s="8" t="s">
        <v>1184</v>
      </c>
      <c r="AM37" s="105" t="s">
        <v>176</v>
      </c>
      <c r="AN37" s="105" t="s">
        <v>1212</v>
      </c>
      <c r="AO37" s="10" t="s">
        <v>1224</v>
      </c>
      <c r="AP37" s="11"/>
      <c r="AQ37" s="11"/>
      <c r="AR37" s="11"/>
      <c r="AS37" s="11"/>
      <c r="AT37" s="11"/>
      <c r="AU37" s="11"/>
      <c r="AV37" s="11"/>
      <c r="AW37" s="11"/>
      <c r="AX37" s="11"/>
      <c r="AY37" s="11"/>
    </row>
    <row r="38" spans="1:51" ht="19.95" customHeight="1">
      <c r="A38" s="8" t="s">
        <v>1232</v>
      </c>
      <c r="B38" s="8" t="s">
        <v>1184</v>
      </c>
      <c r="C38" s="105" t="s">
        <v>176</v>
      </c>
      <c r="D38" s="105" t="s">
        <v>1214</v>
      </c>
      <c r="E38" s="10" t="s">
        <v>1225</v>
      </c>
      <c r="F38" s="84">
        <v>2970191.1851691948</v>
      </c>
      <c r="G38" s="84">
        <v>3045368.981411125</v>
      </c>
      <c r="H38" s="84">
        <v>3122449.5848110663</v>
      </c>
      <c r="I38" s="84">
        <v>3201481.156864319</v>
      </c>
      <c r="J38" s="84">
        <v>3282513.078070234</v>
      </c>
      <c r="K38" s="84">
        <v>3365595.9787861314</v>
      </c>
      <c r="L38" s="84">
        <v>3450781.7708621523</v>
      </c>
      <c r="M38" s="84">
        <v>3538123.6800768184</v>
      </c>
      <c r="N38" s="84">
        <v>3627676.2793935603</v>
      </c>
      <c r="O38" s="84">
        <v>3719495.5230589835</v>
      </c>
      <c r="P38" s="84">
        <v>0</v>
      </c>
      <c r="T38" s="8" t="s">
        <v>1232</v>
      </c>
      <c r="U38" s="8" t="s">
        <v>1184</v>
      </c>
      <c r="V38" s="105" t="s">
        <v>176</v>
      </c>
      <c r="W38" s="105" t="s">
        <v>1214</v>
      </c>
      <c r="X38" s="10" t="s">
        <v>1225</v>
      </c>
      <c r="Y38" s="104">
        <v>3.3893129770992396</v>
      </c>
      <c r="Z38" s="104">
        <v>3.3893129770992396</v>
      </c>
      <c r="AA38" s="104">
        <v>3.3893129770992423</v>
      </c>
      <c r="AB38" s="104">
        <v>3.3893129770992423</v>
      </c>
      <c r="AC38" s="104">
        <v>3.3893129770992423</v>
      </c>
      <c r="AD38" s="104">
        <v>3.3893129770992423</v>
      </c>
      <c r="AE38" s="104">
        <v>3.3893129770992423</v>
      </c>
      <c r="AF38" s="87">
        <v>3.3893129770992423</v>
      </c>
      <c r="AG38" s="87">
        <v>3.3893129770992423</v>
      </c>
      <c r="AH38" s="87">
        <v>3.3893129770992423</v>
      </c>
      <c r="AI38" s="87">
        <v>0</v>
      </c>
      <c r="AK38" s="8" t="s">
        <v>1232</v>
      </c>
      <c r="AL38" s="8" t="s">
        <v>1184</v>
      </c>
      <c r="AM38" s="105" t="s">
        <v>176</v>
      </c>
      <c r="AN38" s="105" t="s">
        <v>1214</v>
      </c>
      <c r="AO38" s="10" t="s">
        <v>1225</v>
      </c>
      <c r="AP38" s="11"/>
      <c r="AQ38" s="11"/>
      <c r="AR38" s="11"/>
      <c r="AS38" s="11"/>
      <c r="AT38" s="11"/>
      <c r="AU38" s="11"/>
      <c r="AV38" s="11"/>
      <c r="AW38" s="11"/>
      <c r="AX38" s="11"/>
      <c r="AY38" s="11"/>
    </row>
    <row r="39" spans="1:51" ht="19.95" customHeight="1">
      <c r="A39" s="8" t="s">
        <v>1233</v>
      </c>
      <c r="B39" s="8" t="s">
        <v>1184</v>
      </c>
      <c r="C39" s="105" t="s">
        <v>176</v>
      </c>
      <c r="D39" s="105" t="s">
        <v>1226</v>
      </c>
      <c r="E39" s="10" t="s">
        <v>1227</v>
      </c>
      <c r="F39" s="84">
        <v>2970191.1851691948</v>
      </c>
      <c r="G39" s="84">
        <v>3045368.981411125</v>
      </c>
      <c r="H39" s="84">
        <v>3122449.5848110663</v>
      </c>
      <c r="I39" s="84">
        <v>3201481.156864319</v>
      </c>
      <c r="J39" s="84">
        <v>3282513.078070234</v>
      </c>
      <c r="K39" s="84">
        <v>3365595.9787861314</v>
      </c>
      <c r="L39" s="84">
        <v>3450781.7708621523</v>
      </c>
      <c r="M39" s="84">
        <v>3538123.6800768184</v>
      </c>
      <c r="N39" s="84">
        <v>3627676.2793935603</v>
      </c>
      <c r="O39" s="84">
        <v>3719495.5230589835</v>
      </c>
      <c r="P39" s="84">
        <v>0</v>
      </c>
      <c r="T39" s="8" t="s">
        <v>1233</v>
      </c>
      <c r="U39" s="8" t="s">
        <v>1184</v>
      </c>
      <c r="V39" s="105" t="s">
        <v>176</v>
      </c>
      <c r="W39" s="105" t="s">
        <v>1226</v>
      </c>
      <c r="X39" s="10" t="s">
        <v>1227</v>
      </c>
      <c r="Y39" s="104">
        <v>0.65903307888040785</v>
      </c>
      <c r="Z39" s="104">
        <v>0.65903307888040785</v>
      </c>
      <c r="AA39" s="104">
        <v>0.65903307888040774</v>
      </c>
      <c r="AB39" s="104">
        <v>0.65903307888040774</v>
      </c>
      <c r="AC39" s="104">
        <v>0.65903307888040774</v>
      </c>
      <c r="AD39" s="104">
        <v>0.65903307888040774</v>
      </c>
      <c r="AE39" s="104">
        <v>0.65903307888040774</v>
      </c>
      <c r="AF39" s="87">
        <v>0.65903307888040774</v>
      </c>
      <c r="AG39" s="87">
        <v>0.65903307888040774</v>
      </c>
      <c r="AH39" s="87">
        <v>0.65903307888040774</v>
      </c>
      <c r="AI39" s="87">
        <v>0</v>
      </c>
      <c r="AK39" s="8" t="s">
        <v>1233</v>
      </c>
      <c r="AL39" s="8" t="s">
        <v>1184</v>
      </c>
      <c r="AM39" s="105" t="s">
        <v>176</v>
      </c>
      <c r="AN39" s="105" t="s">
        <v>1226</v>
      </c>
      <c r="AO39" s="10" t="s">
        <v>1227</v>
      </c>
      <c r="AP39" s="11"/>
      <c r="AQ39" s="11"/>
      <c r="AR39" s="11"/>
      <c r="AS39" s="11"/>
      <c r="AT39" s="11"/>
      <c r="AU39" s="11"/>
      <c r="AV39" s="11"/>
      <c r="AW39" s="11"/>
      <c r="AX39" s="11"/>
      <c r="AY39" s="11"/>
    </row>
    <row r="40" spans="1:51" ht="19.95" customHeight="1">
      <c r="A40" s="8" t="s">
        <v>1234</v>
      </c>
      <c r="B40" s="8" t="s">
        <v>1184</v>
      </c>
      <c r="C40" s="105" t="s">
        <v>159</v>
      </c>
      <c r="D40" s="105" t="s">
        <v>1226</v>
      </c>
      <c r="E40" s="10" t="s">
        <v>1228</v>
      </c>
      <c r="F40" s="84">
        <v>2387498.5637485301</v>
      </c>
      <c r="G40" s="84">
        <v>2447927.9668959118</v>
      </c>
      <c r="H40" s="84">
        <v>2509886.8841633014</v>
      </c>
      <c r="I40" s="84">
        <v>2573414.0287155071</v>
      </c>
      <c r="J40" s="84">
        <v>2638549.093576957</v>
      </c>
      <c r="K40" s="84">
        <v>2705332.7764327019</v>
      </c>
      <c r="L40" s="84">
        <v>2773806.8050571242</v>
      </c>
      <c r="M40" s="84">
        <v>2844013.9633862916</v>
      </c>
      <c r="N40" s="84">
        <v>2915998.1182502108</v>
      </c>
      <c r="O40" s="84">
        <v>2989804.2467816933</v>
      </c>
      <c r="P40" s="84">
        <v>0</v>
      </c>
      <c r="T40" s="8" t="s">
        <v>1234</v>
      </c>
      <c r="U40" s="8" t="s">
        <v>1184</v>
      </c>
      <c r="V40" s="105" t="s">
        <v>159</v>
      </c>
      <c r="W40" s="105" t="s">
        <v>1226</v>
      </c>
      <c r="X40" s="10" t="s">
        <v>1228</v>
      </c>
      <c r="Y40" s="104">
        <v>3.2951653944020385</v>
      </c>
      <c r="Z40" s="104">
        <v>3.2951653944020385</v>
      </c>
      <c r="AA40" s="104">
        <v>3.2951653944020385</v>
      </c>
      <c r="AB40" s="104">
        <v>3.2951653944020385</v>
      </c>
      <c r="AC40" s="104">
        <v>3.2951653944020385</v>
      </c>
      <c r="AD40" s="104">
        <v>3.2951653944020385</v>
      </c>
      <c r="AE40" s="104">
        <v>3.2951653944020385</v>
      </c>
      <c r="AF40" s="87">
        <v>3.2951653944020385</v>
      </c>
      <c r="AG40" s="87">
        <v>3.2951653944020385</v>
      </c>
      <c r="AH40" s="87">
        <v>3.2951653944020385</v>
      </c>
      <c r="AI40" s="87">
        <v>0</v>
      </c>
      <c r="AK40" s="8" t="s">
        <v>1234</v>
      </c>
      <c r="AL40" s="8" t="s">
        <v>1184</v>
      </c>
      <c r="AM40" s="105" t="s">
        <v>159</v>
      </c>
      <c r="AN40" s="105" t="s">
        <v>1226</v>
      </c>
      <c r="AO40" s="10" t="s">
        <v>1228</v>
      </c>
      <c r="AP40" s="11"/>
      <c r="AQ40" s="11"/>
      <c r="AR40" s="11"/>
      <c r="AS40" s="11"/>
      <c r="AT40" s="11"/>
      <c r="AU40" s="11"/>
      <c r="AV40" s="11"/>
      <c r="AW40" s="11"/>
      <c r="AX40" s="11"/>
      <c r="AY40" s="11"/>
    </row>
    <row r="41" spans="1:51" ht="19.95" customHeight="1">
      <c r="A41" s="8" t="s">
        <v>1235</v>
      </c>
      <c r="B41" s="8" t="s">
        <v>1184</v>
      </c>
      <c r="C41" s="105" t="s">
        <v>176</v>
      </c>
      <c r="D41" s="105" t="s">
        <v>1207</v>
      </c>
      <c r="E41" s="10" t="s">
        <v>978</v>
      </c>
      <c r="F41" s="84">
        <v>2970191.1851691948</v>
      </c>
      <c r="G41" s="84">
        <v>3045368.981411125</v>
      </c>
      <c r="H41" s="84">
        <v>3122449.5848110663</v>
      </c>
      <c r="I41" s="84">
        <v>3201481.156864319</v>
      </c>
      <c r="J41" s="84">
        <v>3282513.078070234</v>
      </c>
      <c r="K41" s="84">
        <v>3365595.9787861314</v>
      </c>
      <c r="L41" s="84">
        <v>3450781.7708621523</v>
      </c>
      <c r="M41" s="84">
        <v>3538123.6800768184</v>
      </c>
      <c r="N41" s="84">
        <v>3627676.2793935603</v>
      </c>
      <c r="O41" s="84">
        <v>3719495.5230589835</v>
      </c>
      <c r="P41" s="84">
        <v>0</v>
      </c>
      <c r="T41" s="8" t="s">
        <v>1235</v>
      </c>
      <c r="U41" s="8" t="s">
        <v>1184</v>
      </c>
      <c r="V41" s="105" t="s">
        <v>176</v>
      </c>
      <c r="W41" s="105" t="s">
        <v>1207</v>
      </c>
      <c r="X41" s="10" t="s">
        <v>978</v>
      </c>
      <c r="Y41" s="104">
        <v>1.1297709923664132</v>
      </c>
      <c r="Z41" s="104">
        <v>1.1297709923664132</v>
      </c>
      <c r="AA41" s="104">
        <v>1.1297709923664141</v>
      </c>
      <c r="AB41" s="104">
        <v>1.1297709923664141</v>
      </c>
      <c r="AC41" s="104">
        <v>1.1297709923664141</v>
      </c>
      <c r="AD41" s="104">
        <v>1.1297709923664141</v>
      </c>
      <c r="AE41" s="104">
        <v>1.1297709923664141</v>
      </c>
      <c r="AF41" s="87">
        <v>1.1297709923664141</v>
      </c>
      <c r="AG41" s="87">
        <v>1.1297709923664141</v>
      </c>
      <c r="AH41" s="87">
        <v>1.1297709923664141</v>
      </c>
      <c r="AI41" s="87">
        <v>0</v>
      </c>
      <c r="AK41" s="8" t="s">
        <v>1235</v>
      </c>
      <c r="AL41" s="8" t="s">
        <v>1184</v>
      </c>
      <c r="AM41" s="105" t="s">
        <v>176</v>
      </c>
      <c r="AN41" s="105" t="s">
        <v>1207</v>
      </c>
      <c r="AO41" s="10" t="s">
        <v>978</v>
      </c>
      <c r="AP41" s="11"/>
      <c r="AQ41" s="11"/>
      <c r="AR41" s="11"/>
      <c r="AS41" s="11"/>
      <c r="AT41" s="11"/>
      <c r="AU41" s="11"/>
      <c r="AV41" s="11"/>
      <c r="AW41" s="11"/>
      <c r="AX41" s="11"/>
      <c r="AY41" s="11"/>
    </row>
    <row r="42" spans="1:51" ht="19.95" customHeight="1">
      <c r="A42" s="8" t="s">
        <v>1236</v>
      </c>
      <c r="B42" s="8" t="s">
        <v>1184</v>
      </c>
      <c r="C42" s="105" t="s">
        <v>176</v>
      </c>
      <c r="D42" s="105" t="s">
        <v>1207</v>
      </c>
      <c r="E42" s="10" t="s">
        <v>194</v>
      </c>
      <c r="F42" s="84">
        <v>2970191.1851691948</v>
      </c>
      <c r="G42" s="84">
        <v>3045368.981411125</v>
      </c>
      <c r="H42" s="84">
        <v>3122449.5848110663</v>
      </c>
      <c r="I42" s="84">
        <v>3201481.156864319</v>
      </c>
      <c r="J42" s="84">
        <v>3282513.078070234</v>
      </c>
      <c r="K42" s="84">
        <v>3365595.9787861314</v>
      </c>
      <c r="L42" s="84">
        <v>3450781.7708621523</v>
      </c>
      <c r="M42" s="84">
        <v>3538123.6800768184</v>
      </c>
      <c r="N42" s="84">
        <v>3627676.2793935603</v>
      </c>
      <c r="O42" s="84">
        <v>3719495.5230589835</v>
      </c>
      <c r="P42" s="84">
        <v>0</v>
      </c>
      <c r="T42" s="8" t="s">
        <v>1236</v>
      </c>
      <c r="U42" s="8" t="s">
        <v>1184</v>
      </c>
      <c r="V42" s="105" t="s">
        <v>176</v>
      </c>
      <c r="W42" s="105" t="s">
        <v>1207</v>
      </c>
      <c r="X42" s="10" t="s">
        <v>194</v>
      </c>
      <c r="Y42" s="104">
        <v>1.1297709923664132</v>
      </c>
      <c r="Z42" s="104">
        <v>1.1297709923664132</v>
      </c>
      <c r="AA42" s="104">
        <v>1.1297709923664141</v>
      </c>
      <c r="AB42" s="104">
        <v>1.1297709923664141</v>
      </c>
      <c r="AC42" s="104">
        <v>1.1297709923664141</v>
      </c>
      <c r="AD42" s="104">
        <v>1.1297709923664141</v>
      </c>
      <c r="AE42" s="104">
        <v>1.1297709923664141</v>
      </c>
      <c r="AF42" s="87">
        <v>1.1297709923664141</v>
      </c>
      <c r="AG42" s="87">
        <v>1.1297709923664141</v>
      </c>
      <c r="AH42" s="87">
        <v>1.1297709923664141</v>
      </c>
      <c r="AI42" s="87">
        <v>0</v>
      </c>
      <c r="AK42" s="8" t="s">
        <v>1236</v>
      </c>
      <c r="AL42" s="8" t="s">
        <v>1184</v>
      </c>
      <c r="AM42" s="105" t="s">
        <v>176</v>
      </c>
      <c r="AN42" s="105" t="s">
        <v>1207</v>
      </c>
      <c r="AO42" s="10" t="s">
        <v>194</v>
      </c>
      <c r="AP42" s="11"/>
      <c r="AQ42" s="11"/>
      <c r="AR42" s="11"/>
      <c r="AS42" s="11"/>
      <c r="AT42" s="11"/>
      <c r="AU42" s="11"/>
      <c r="AV42" s="11"/>
      <c r="AW42" s="11"/>
      <c r="AX42" s="11"/>
      <c r="AY42" s="11"/>
    </row>
    <row r="43" spans="1:51">
      <c r="A43" s="8" t="s">
        <v>1503</v>
      </c>
      <c r="B43" s="8" t="s">
        <v>1435</v>
      </c>
      <c r="C43" s="9" t="s">
        <v>1505</v>
      </c>
      <c r="D43" s="9" t="s">
        <v>1506</v>
      </c>
      <c r="E43" s="10"/>
      <c r="F43" s="84">
        <v>9887500</v>
      </c>
      <c r="G43" s="84">
        <v>14350000</v>
      </c>
      <c r="H43" s="84">
        <v>14350000</v>
      </c>
      <c r="I43" s="84">
        <v>14350000</v>
      </c>
      <c r="J43" s="84">
        <v>14350000</v>
      </c>
      <c r="K43" s="84">
        <v>14350000</v>
      </c>
      <c r="L43" s="84">
        <v>14350000</v>
      </c>
      <c r="M43" s="84">
        <v>14350000</v>
      </c>
      <c r="N43" s="84">
        <v>14350000</v>
      </c>
      <c r="O43" s="84">
        <v>14350000</v>
      </c>
      <c r="P43" s="84">
        <v>0</v>
      </c>
      <c r="T43" s="8" t="s">
        <v>1503</v>
      </c>
      <c r="U43" s="8" t="s">
        <v>1435</v>
      </c>
      <c r="V43" s="9" t="s">
        <v>1505</v>
      </c>
      <c r="W43" s="9" t="s">
        <v>1506</v>
      </c>
      <c r="X43" s="10"/>
      <c r="Y43" s="84">
        <v>1</v>
      </c>
      <c r="Z43" s="84">
        <v>1</v>
      </c>
      <c r="AA43" s="84">
        <v>1</v>
      </c>
      <c r="AB43" s="84">
        <v>1</v>
      </c>
      <c r="AC43" s="84">
        <v>1</v>
      </c>
      <c r="AD43" s="84">
        <v>1</v>
      </c>
      <c r="AE43" s="84">
        <v>1</v>
      </c>
      <c r="AF43" s="84">
        <v>1</v>
      </c>
      <c r="AG43" s="84">
        <v>1</v>
      </c>
      <c r="AH43" s="84">
        <v>1</v>
      </c>
      <c r="AI43" s="87">
        <v>0</v>
      </c>
      <c r="AJ43" s="53"/>
      <c r="AM43"/>
      <c r="AN43"/>
    </row>
    <row r="44" spans="1:51">
      <c r="A44" s="8" t="s">
        <v>1504</v>
      </c>
      <c r="B44" s="8" t="s">
        <v>1442</v>
      </c>
      <c r="C44" s="9" t="s">
        <v>1491</v>
      </c>
      <c r="D44" s="9" t="s">
        <v>1500</v>
      </c>
      <c r="E44" s="10"/>
      <c r="F44" s="84">
        <v>17850000</v>
      </c>
      <c r="G44" s="84">
        <v>17850000</v>
      </c>
      <c r="H44" s="84">
        <v>17850000</v>
      </c>
      <c r="I44" s="84">
        <v>17850000</v>
      </c>
      <c r="J44" s="84">
        <v>17850000</v>
      </c>
      <c r="K44" s="84">
        <v>17850000</v>
      </c>
      <c r="L44" s="84">
        <v>17850000</v>
      </c>
      <c r="M44" s="84">
        <v>17850000</v>
      </c>
      <c r="N44" s="84">
        <v>17850000</v>
      </c>
      <c r="O44" s="84">
        <v>17850000</v>
      </c>
      <c r="P44" s="84">
        <v>0</v>
      </c>
      <c r="T44" s="8" t="s">
        <v>1504</v>
      </c>
      <c r="U44" s="8" t="s">
        <v>1442</v>
      </c>
      <c r="V44" s="9" t="s">
        <v>1491</v>
      </c>
      <c r="W44" s="9" t="s">
        <v>1500</v>
      </c>
      <c r="X44" s="10"/>
      <c r="Y44" s="84">
        <v>1</v>
      </c>
      <c r="Z44" s="84">
        <v>1</v>
      </c>
      <c r="AA44" s="84">
        <v>1</v>
      </c>
      <c r="AB44" s="84">
        <v>1</v>
      </c>
      <c r="AC44" s="84">
        <v>1</v>
      </c>
      <c r="AD44" s="84">
        <v>1</v>
      </c>
      <c r="AE44" s="84">
        <v>1</v>
      </c>
      <c r="AF44" s="84">
        <v>1</v>
      </c>
      <c r="AG44" s="84">
        <v>1</v>
      </c>
      <c r="AH44" s="84">
        <v>1</v>
      </c>
      <c r="AI44" s="87">
        <v>0</v>
      </c>
      <c r="AJ44" s="53"/>
      <c r="AM44"/>
      <c r="AN44"/>
    </row>
    <row r="46" spans="1:51">
      <c r="F46">
        <v>1.3105426011070254</v>
      </c>
      <c r="G46">
        <v>0.98290695083026802</v>
      </c>
      <c r="H46">
        <v>0.98290695083026802</v>
      </c>
      <c r="I46">
        <v>0.98290695083026802</v>
      </c>
      <c r="J46">
        <v>0.98290695083026802</v>
      </c>
      <c r="K46">
        <v>0.98290695083026802</v>
      </c>
      <c r="L46">
        <v>0.98290695083026802</v>
      </c>
      <c r="M46">
        <v>0.98290695083026802</v>
      </c>
      <c r="N46">
        <v>0.98290695083026802</v>
      </c>
      <c r="O46">
        <v>0.98290695083026802</v>
      </c>
    </row>
    <row r="47" spans="1:51">
      <c r="F47">
        <v>1.3105426011070254</v>
      </c>
      <c r="G47">
        <v>0.98290695083026802</v>
      </c>
      <c r="H47">
        <v>0.98290695083026802</v>
      </c>
      <c r="I47">
        <v>0.98290695083026802</v>
      </c>
      <c r="J47">
        <v>0.98290695083026802</v>
      </c>
      <c r="K47">
        <v>0.98290695083026802</v>
      </c>
      <c r="L47">
        <v>0.98290695083026802</v>
      </c>
      <c r="M47">
        <v>0.98290695083026802</v>
      </c>
      <c r="N47">
        <v>0.98290695083026802</v>
      </c>
      <c r="O47">
        <v>0.98290695083026802</v>
      </c>
    </row>
    <row r="50" spans="6:15">
      <c r="F50">
        <f>F28*F$47</f>
        <v>3892562.081596795</v>
      </c>
      <c r="G50">
        <f t="shared" ref="G50:O50" si="2">G28*G$47</f>
        <v>2993314.3396718879</v>
      </c>
      <c r="H50">
        <f t="shared" si="2"/>
        <v>3069077.4005278815</v>
      </c>
      <c r="I50">
        <f t="shared" si="2"/>
        <v>3146758.0820340668</v>
      </c>
      <c r="J50">
        <f t="shared" si="2"/>
        <v>3226404.9206264913</v>
      </c>
      <c r="K50">
        <f t="shared" si="2"/>
        <v>3308067.6812352878</v>
      </c>
      <c r="L50">
        <f t="shared" si="2"/>
        <v>3391797.3883787906</v>
      </c>
      <c r="M50">
        <f t="shared" si="2"/>
        <v>3477646.3580446723</v>
      </c>
      <c r="N50">
        <f t="shared" si="2"/>
        <v>3565668.2303780159</v>
      </c>
      <c r="O50">
        <f t="shared" si="2"/>
        <v>3655918.0031967382</v>
      </c>
    </row>
    <row r="51" spans="6:15">
      <c r="F51">
        <f t="shared" ref="F51:O66" si="3">F29*F$47</f>
        <v>3128918.5778742856</v>
      </c>
      <c r="G51">
        <f t="shared" si="3"/>
        <v>2406085.4137937981</v>
      </c>
      <c r="H51">
        <f t="shared" si="3"/>
        <v>2466985.2642418328</v>
      </c>
      <c r="I51">
        <f t="shared" si="3"/>
        <v>2529426.536188595</v>
      </c>
      <c r="J51">
        <f t="shared" si="3"/>
        <v>2593448.2441836945</v>
      </c>
      <c r="K51">
        <f t="shared" si="3"/>
        <v>2659090.3902646503</v>
      </c>
      <c r="L51">
        <f t="shared" si="3"/>
        <v>2726393.9889509454</v>
      </c>
      <c r="M51">
        <f t="shared" si="3"/>
        <v>2795401.0928707253</v>
      </c>
      <c r="N51">
        <f t="shared" si="3"/>
        <v>2866154.819036114</v>
      </c>
      <c r="O51">
        <f t="shared" si="3"/>
        <v>2938699.3757835804</v>
      </c>
    </row>
    <row r="52" spans="6:15">
      <c r="F52">
        <f t="shared" si="3"/>
        <v>3128918.5778742856</v>
      </c>
      <c r="G52">
        <f t="shared" si="3"/>
        <v>2406085.4137937981</v>
      </c>
      <c r="H52">
        <f t="shared" si="3"/>
        <v>2466985.2642418328</v>
      </c>
      <c r="I52">
        <f t="shared" si="3"/>
        <v>2529426.536188595</v>
      </c>
      <c r="J52">
        <f t="shared" si="3"/>
        <v>2593448.2441836945</v>
      </c>
      <c r="K52">
        <f t="shared" si="3"/>
        <v>2659090.3902646503</v>
      </c>
      <c r="L52">
        <f t="shared" si="3"/>
        <v>2726393.9889509454</v>
      </c>
      <c r="M52">
        <f t="shared" si="3"/>
        <v>2795401.0928707253</v>
      </c>
      <c r="N52">
        <f t="shared" si="3"/>
        <v>2866154.819036114</v>
      </c>
      <c r="O52">
        <f t="shared" si="3"/>
        <v>2938699.3757835804</v>
      </c>
    </row>
    <row r="53" spans="6:15">
      <c r="F53">
        <f t="shared" si="3"/>
        <v>3128918.5778742856</v>
      </c>
      <c r="G53">
        <f t="shared" si="3"/>
        <v>2406085.4137937981</v>
      </c>
      <c r="H53">
        <f t="shared" si="3"/>
        <v>2466985.2642418328</v>
      </c>
      <c r="I53">
        <f t="shared" si="3"/>
        <v>2529426.536188595</v>
      </c>
      <c r="J53">
        <f t="shared" si="3"/>
        <v>2593448.2441836945</v>
      </c>
      <c r="K53">
        <f t="shared" si="3"/>
        <v>2659090.3902646503</v>
      </c>
      <c r="L53">
        <f t="shared" si="3"/>
        <v>2726393.9889509454</v>
      </c>
      <c r="M53">
        <f t="shared" si="3"/>
        <v>2795401.0928707253</v>
      </c>
      <c r="N53">
        <f t="shared" si="3"/>
        <v>2866154.819036114</v>
      </c>
      <c r="O53">
        <f t="shared" si="3"/>
        <v>2938699.3757835804</v>
      </c>
    </row>
    <row r="54" spans="6:15">
      <c r="F54">
        <f t="shared" si="3"/>
        <v>3128918.5778742856</v>
      </c>
      <c r="G54">
        <f t="shared" si="3"/>
        <v>2406085.4137937981</v>
      </c>
      <c r="H54">
        <f t="shared" si="3"/>
        <v>2466985.2642418328</v>
      </c>
      <c r="I54">
        <f t="shared" si="3"/>
        <v>2529426.536188595</v>
      </c>
      <c r="J54">
        <f t="shared" si="3"/>
        <v>2593448.2441836945</v>
      </c>
      <c r="K54">
        <f t="shared" si="3"/>
        <v>2659090.3902646503</v>
      </c>
      <c r="L54">
        <f t="shared" si="3"/>
        <v>2726393.9889509454</v>
      </c>
      <c r="M54">
        <f t="shared" si="3"/>
        <v>2795401.0928707253</v>
      </c>
      <c r="N54">
        <f t="shared" si="3"/>
        <v>2866154.819036114</v>
      </c>
      <c r="O54">
        <f t="shared" si="3"/>
        <v>2938699.3757835804</v>
      </c>
    </row>
    <row r="55" spans="6:15">
      <c r="F55">
        <f t="shared" si="3"/>
        <v>3128918.5778742856</v>
      </c>
      <c r="G55">
        <f t="shared" si="3"/>
        <v>2406085.4137937981</v>
      </c>
      <c r="H55">
        <f t="shared" si="3"/>
        <v>2466985.2642418328</v>
      </c>
      <c r="I55">
        <f t="shared" si="3"/>
        <v>2529426.536188595</v>
      </c>
      <c r="J55">
        <f t="shared" si="3"/>
        <v>2593448.2441836945</v>
      </c>
      <c r="K55">
        <f t="shared" si="3"/>
        <v>2659090.3902646503</v>
      </c>
      <c r="L55">
        <f t="shared" si="3"/>
        <v>2726393.9889509454</v>
      </c>
      <c r="M55">
        <f t="shared" si="3"/>
        <v>2795401.0928707253</v>
      </c>
      <c r="N55">
        <f t="shared" si="3"/>
        <v>2866154.819036114</v>
      </c>
      <c r="O55">
        <f t="shared" si="3"/>
        <v>2938699.3757835804</v>
      </c>
    </row>
    <row r="56" spans="6:15">
      <c r="F56">
        <f t="shared" si="3"/>
        <v>3128918.5778742856</v>
      </c>
      <c r="G56">
        <f t="shared" si="3"/>
        <v>2406085.4137937981</v>
      </c>
      <c r="H56">
        <f t="shared" si="3"/>
        <v>2466985.2642418328</v>
      </c>
      <c r="I56">
        <f t="shared" si="3"/>
        <v>2529426.536188595</v>
      </c>
      <c r="J56">
        <f t="shared" si="3"/>
        <v>2593448.2441836945</v>
      </c>
      <c r="K56">
        <f t="shared" si="3"/>
        <v>2659090.3902646503</v>
      </c>
      <c r="L56">
        <f t="shared" si="3"/>
        <v>2726393.9889509454</v>
      </c>
      <c r="M56">
        <f t="shared" si="3"/>
        <v>2795401.0928707253</v>
      </c>
      <c r="N56">
        <f t="shared" si="3"/>
        <v>2866154.819036114</v>
      </c>
      <c r="O56">
        <f t="shared" si="3"/>
        <v>2938699.3757835804</v>
      </c>
    </row>
    <row r="57" spans="6:15">
      <c r="F57">
        <f t="shared" si="3"/>
        <v>3892562.081596795</v>
      </c>
      <c r="G57">
        <f t="shared" si="3"/>
        <v>2993314.3396718879</v>
      </c>
      <c r="H57">
        <f t="shared" si="3"/>
        <v>3069077.4005278815</v>
      </c>
      <c r="I57">
        <f t="shared" si="3"/>
        <v>3146758.0820340668</v>
      </c>
      <c r="J57">
        <f t="shared" si="3"/>
        <v>3226404.9206264913</v>
      </c>
      <c r="K57">
        <f t="shared" si="3"/>
        <v>3308067.6812352878</v>
      </c>
      <c r="L57">
        <f t="shared" si="3"/>
        <v>3391797.3883787906</v>
      </c>
      <c r="M57">
        <f t="shared" si="3"/>
        <v>3477646.3580446723</v>
      </c>
      <c r="N57">
        <f t="shared" si="3"/>
        <v>3565668.2303780159</v>
      </c>
      <c r="O57">
        <f t="shared" si="3"/>
        <v>3655918.0031967382</v>
      </c>
    </row>
    <row r="58" spans="6:15">
      <c r="F58">
        <f t="shared" si="3"/>
        <v>3892562.081596795</v>
      </c>
      <c r="G58">
        <f t="shared" si="3"/>
        <v>2993314.3396718879</v>
      </c>
      <c r="H58">
        <f t="shared" si="3"/>
        <v>3069077.4005278815</v>
      </c>
      <c r="I58">
        <f t="shared" si="3"/>
        <v>3146758.0820340668</v>
      </c>
      <c r="J58">
        <f t="shared" si="3"/>
        <v>3226404.9206264913</v>
      </c>
      <c r="K58">
        <f t="shared" si="3"/>
        <v>3308067.6812352878</v>
      </c>
      <c r="L58">
        <f t="shared" si="3"/>
        <v>3391797.3883787906</v>
      </c>
      <c r="M58">
        <f t="shared" si="3"/>
        <v>3477646.3580446723</v>
      </c>
      <c r="N58">
        <f t="shared" si="3"/>
        <v>3565668.2303780159</v>
      </c>
      <c r="O58">
        <f t="shared" si="3"/>
        <v>3655918.0031967382</v>
      </c>
    </row>
    <row r="59" spans="6:15">
      <c r="F59">
        <f t="shared" si="3"/>
        <v>3892562.081596795</v>
      </c>
      <c r="G59">
        <f t="shared" si="3"/>
        <v>2993314.3396718879</v>
      </c>
      <c r="H59">
        <f t="shared" si="3"/>
        <v>3069077.4005278815</v>
      </c>
      <c r="I59">
        <f t="shared" si="3"/>
        <v>3146758.0820340668</v>
      </c>
      <c r="J59">
        <f t="shared" si="3"/>
        <v>3226404.9206264913</v>
      </c>
      <c r="K59">
        <f t="shared" si="3"/>
        <v>3308067.6812352878</v>
      </c>
      <c r="L59">
        <f t="shared" si="3"/>
        <v>3391797.3883787906</v>
      </c>
      <c r="M59">
        <f t="shared" si="3"/>
        <v>3477646.3580446723</v>
      </c>
      <c r="N59">
        <f t="shared" si="3"/>
        <v>3565668.2303780159</v>
      </c>
      <c r="O59">
        <f t="shared" si="3"/>
        <v>3655918.0031967382</v>
      </c>
    </row>
    <row r="60" spans="6:15">
      <c r="F60">
        <f t="shared" si="3"/>
        <v>3892562.081596795</v>
      </c>
      <c r="G60">
        <f t="shared" si="3"/>
        <v>2993314.3396718879</v>
      </c>
      <c r="H60">
        <f t="shared" si="3"/>
        <v>3069077.4005278815</v>
      </c>
      <c r="I60">
        <f t="shared" si="3"/>
        <v>3146758.0820340668</v>
      </c>
      <c r="J60">
        <f t="shared" si="3"/>
        <v>3226404.9206264913</v>
      </c>
      <c r="K60">
        <f t="shared" si="3"/>
        <v>3308067.6812352878</v>
      </c>
      <c r="L60">
        <f t="shared" si="3"/>
        <v>3391797.3883787906</v>
      </c>
      <c r="M60">
        <f t="shared" si="3"/>
        <v>3477646.3580446723</v>
      </c>
      <c r="N60">
        <f t="shared" si="3"/>
        <v>3565668.2303780159</v>
      </c>
      <c r="O60">
        <f t="shared" si="3"/>
        <v>3655918.0031967382</v>
      </c>
    </row>
    <row r="61" spans="6:15">
      <c r="F61">
        <f t="shared" si="3"/>
        <v>3892562.081596795</v>
      </c>
      <c r="G61">
        <f t="shared" si="3"/>
        <v>2993314.3396718879</v>
      </c>
      <c r="H61">
        <f t="shared" si="3"/>
        <v>3069077.4005278815</v>
      </c>
      <c r="I61">
        <f t="shared" si="3"/>
        <v>3146758.0820340668</v>
      </c>
      <c r="J61">
        <f t="shared" si="3"/>
        <v>3226404.9206264913</v>
      </c>
      <c r="K61">
        <f t="shared" si="3"/>
        <v>3308067.6812352878</v>
      </c>
      <c r="L61">
        <f t="shared" si="3"/>
        <v>3391797.3883787906</v>
      </c>
      <c r="M61">
        <f t="shared" si="3"/>
        <v>3477646.3580446723</v>
      </c>
      <c r="N61">
        <f t="shared" si="3"/>
        <v>3565668.2303780159</v>
      </c>
      <c r="O61">
        <f t="shared" si="3"/>
        <v>3655918.0031967382</v>
      </c>
    </row>
    <row r="62" spans="6:15">
      <c r="F62">
        <f t="shared" si="3"/>
        <v>3128918.5778742856</v>
      </c>
      <c r="G62">
        <f t="shared" si="3"/>
        <v>2406085.4137937981</v>
      </c>
      <c r="H62">
        <f t="shared" si="3"/>
        <v>2466985.2642418328</v>
      </c>
      <c r="I62">
        <f t="shared" si="3"/>
        <v>2529426.536188595</v>
      </c>
      <c r="J62">
        <f t="shared" si="3"/>
        <v>2593448.2441836945</v>
      </c>
      <c r="K62">
        <f t="shared" si="3"/>
        <v>2659090.3902646503</v>
      </c>
      <c r="L62">
        <f t="shared" si="3"/>
        <v>2726393.9889509454</v>
      </c>
      <c r="M62">
        <f t="shared" si="3"/>
        <v>2795401.0928707253</v>
      </c>
      <c r="N62">
        <f t="shared" si="3"/>
        <v>2866154.819036114</v>
      </c>
      <c r="O62">
        <f t="shared" si="3"/>
        <v>2938699.3757835804</v>
      </c>
    </row>
    <row r="63" spans="6:15">
      <c r="F63">
        <f t="shared" si="3"/>
        <v>3892562.081596795</v>
      </c>
      <c r="G63">
        <f t="shared" si="3"/>
        <v>2993314.3396718879</v>
      </c>
      <c r="H63">
        <f t="shared" si="3"/>
        <v>3069077.4005278815</v>
      </c>
      <c r="I63">
        <f t="shared" si="3"/>
        <v>3146758.0820340668</v>
      </c>
      <c r="J63">
        <f t="shared" si="3"/>
        <v>3226404.9206264913</v>
      </c>
      <c r="K63">
        <f t="shared" si="3"/>
        <v>3308067.6812352878</v>
      </c>
      <c r="L63">
        <f t="shared" si="3"/>
        <v>3391797.3883787906</v>
      </c>
      <c r="M63">
        <f t="shared" si="3"/>
        <v>3477646.3580446723</v>
      </c>
      <c r="N63">
        <f t="shared" si="3"/>
        <v>3565668.2303780159</v>
      </c>
      <c r="O63">
        <f t="shared" si="3"/>
        <v>3655918.0031967382</v>
      </c>
    </row>
    <row r="64" spans="6:15">
      <c r="F64">
        <f t="shared" si="3"/>
        <v>3892562.081596795</v>
      </c>
      <c r="G64">
        <f t="shared" si="3"/>
        <v>2993314.3396718879</v>
      </c>
      <c r="H64">
        <f t="shared" si="3"/>
        <v>3069077.4005278815</v>
      </c>
      <c r="I64">
        <f t="shared" si="3"/>
        <v>3146758.0820340668</v>
      </c>
      <c r="J64">
        <f t="shared" si="3"/>
        <v>3226404.9206264913</v>
      </c>
      <c r="K64">
        <f t="shared" si="3"/>
        <v>3308067.6812352878</v>
      </c>
      <c r="L64">
        <f t="shared" si="3"/>
        <v>3391797.3883787906</v>
      </c>
      <c r="M64">
        <f t="shared" si="3"/>
        <v>3477646.3580446723</v>
      </c>
      <c r="N64">
        <f t="shared" si="3"/>
        <v>3565668.2303780159</v>
      </c>
      <c r="O64">
        <f t="shared" si="3"/>
        <v>3655918.0031967382</v>
      </c>
    </row>
    <row r="65" spans="6:15">
      <c r="F65">
        <f t="shared" si="3"/>
        <v>12957989.968445713</v>
      </c>
      <c r="G65">
        <f t="shared" si="3"/>
        <v>14104714.744414346</v>
      </c>
      <c r="H65">
        <f t="shared" si="3"/>
        <v>14104714.744414346</v>
      </c>
      <c r="I65">
        <f t="shared" si="3"/>
        <v>14104714.744414346</v>
      </c>
      <c r="J65">
        <f t="shared" si="3"/>
        <v>14104714.744414346</v>
      </c>
      <c r="K65">
        <f t="shared" si="3"/>
        <v>14104714.744414346</v>
      </c>
      <c r="L65">
        <f t="shared" si="3"/>
        <v>14104714.744414346</v>
      </c>
      <c r="M65">
        <f t="shared" si="3"/>
        <v>14104714.744414346</v>
      </c>
      <c r="N65">
        <f t="shared" si="3"/>
        <v>14104714.744414346</v>
      </c>
      <c r="O65">
        <f t="shared" si="3"/>
        <v>14104714.744414346</v>
      </c>
    </row>
    <row r="66" spans="6:15">
      <c r="F66">
        <f t="shared" si="3"/>
        <v>23393185.429760404</v>
      </c>
      <c r="G66">
        <f t="shared" si="3"/>
        <v>17544889.072320282</v>
      </c>
      <c r="H66">
        <f t="shared" si="3"/>
        <v>17544889.072320282</v>
      </c>
      <c r="I66">
        <f t="shared" si="3"/>
        <v>17544889.072320282</v>
      </c>
      <c r="J66">
        <f t="shared" si="3"/>
        <v>17544889.072320282</v>
      </c>
      <c r="K66">
        <f t="shared" si="3"/>
        <v>17544889.072320282</v>
      </c>
      <c r="L66">
        <f t="shared" si="3"/>
        <v>17544889.072320282</v>
      </c>
      <c r="M66">
        <f t="shared" si="3"/>
        <v>17544889.072320282</v>
      </c>
      <c r="N66">
        <f t="shared" si="3"/>
        <v>17544889.072320282</v>
      </c>
      <c r="O66">
        <f t="shared" si="3"/>
        <v>17544889.072320282</v>
      </c>
    </row>
    <row r="67" spans="6:15">
      <c r="F67">
        <f t="shared" ref="F67:F68" si="4">F45*$F$47</f>
        <v>0</v>
      </c>
    </row>
    <row r="68" spans="6:15">
      <c r="F68">
        <f t="shared" si="4"/>
        <v>1.7175219093163678</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5_Sheet">
    <tabColor theme="7" tint="-0.249977111117893"/>
  </sheetPr>
  <dimension ref="A1:R40"/>
  <sheetViews>
    <sheetView showGridLines="0" workbookViewId="0">
      <selection activeCell="N14" sqref="N14"/>
    </sheetView>
  </sheetViews>
  <sheetFormatPr defaultColWidth="14.8984375" defaultRowHeight="13.2"/>
  <cols>
    <col min="1" max="1" width="4.5" style="2" customWidth="1"/>
    <col min="2" max="2" width="8.796875" style="72" customWidth="1"/>
    <col min="3" max="13" width="8.796875" style="2" customWidth="1"/>
    <col min="14" max="16384" width="14.8984375" style="2"/>
  </cols>
  <sheetData>
    <row r="1" spans="2:13" ht="30" customHeight="1">
      <c r="B1" s="72" t="s">
        <v>281</v>
      </c>
    </row>
    <row r="2" spans="2:13">
      <c r="B2" s="73" t="s">
        <v>197</v>
      </c>
      <c r="C2" s="30" t="s">
        <v>41</v>
      </c>
      <c r="D2" s="30" t="s">
        <v>232</v>
      </c>
      <c r="E2" s="30" t="s">
        <v>233</v>
      </c>
      <c r="F2" s="30" t="s">
        <v>234</v>
      </c>
      <c r="G2" s="30" t="s">
        <v>235</v>
      </c>
      <c r="H2" s="30" t="s">
        <v>236</v>
      </c>
      <c r="I2" s="30" t="s">
        <v>237</v>
      </c>
      <c r="J2" s="30" t="s">
        <v>238</v>
      </c>
      <c r="K2" s="30" t="s">
        <v>239</v>
      </c>
      <c r="L2" s="30" t="s">
        <v>240</v>
      </c>
      <c r="M2" s="30" t="s">
        <v>172</v>
      </c>
    </row>
    <row r="3" spans="2:13">
      <c r="B3" s="15" t="s">
        <v>295</v>
      </c>
      <c r="C3" s="18">
        <v>0</v>
      </c>
      <c r="D3" s="18">
        <v>4.9000000000000002E-2</v>
      </c>
      <c r="E3" s="18">
        <v>0.06</v>
      </c>
      <c r="F3" s="18">
        <v>0.06</v>
      </c>
      <c r="G3" s="18">
        <v>0.06</v>
      </c>
      <c r="H3" s="18">
        <v>0.06</v>
      </c>
      <c r="I3" s="18">
        <v>0.06</v>
      </c>
      <c r="J3" s="38"/>
      <c r="K3" s="38"/>
      <c r="L3" s="38"/>
      <c r="M3" s="38"/>
    </row>
    <row r="4" spans="2:13">
      <c r="B4" s="15" t="s">
        <v>294</v>
      </c>
      <c r="C4" s="18">
        <v>0</v>
      </c>
      <c r="D4" s="18">
        <v>0.1</v>
      </c>
      <c r="E4" s="18">
        <v>0.12000000000000001</v>
      </c>
      <c r="F4" s="18">
        <v>0.14000000000000001</v>
      </c>
      <c r="G4" s="18">
        <v>0.16</v>
      </c>
      <c r="H4" s="18">
        <v>0.18</v>
      </c>
      <c r="I4" s="18">
        <v>0.19999999999999998</v>
      </c>
      <c r="J4" s="38"/>
      <c r="K4" s="38"/>
      <c r="L4" s="38"/>
      <c r="M4" s="38"/>
    </row>
    <row r="5" spans="2:13">
      <c r="B5" s="74"/>
      <c r="C5" s="38"/>
      <c r="D5" s="38"/>
      <c r="E5" s="38"/>
      <c r="F5" s="38"/>
      <c r="G5" s="38"/>
      <c r="H5" s="38"/>
      <c r="I5" s="38"/>
      <c r="J5" s="38"/>
      <c r="K5" s="38"/>
      <c r="L5" s="38"/>
      <c r="M5" s="38"/>
    </row>
    <row r="6" spans="2:13">
      <c r="B6" s="74"/>
      <c r="C6" s="39"/>
      <c r="D6" s="39"/>
      <c r="E6" s="39"/>
      <c r="F6" s="39"/>
      <c r="G6" s="39"/>
      <c r="H6" s="39"/>
      <c r="I6" s="39"/>
      <c r="J6" s="39"/>
      <c r="K6" s="39"/>
      <c r="L6" s="39"/>
      <c r="M6" s="39"/>
    </row>
    <row r="8" spans="2:13" ht="30" customHeight="1">
      <c r="B8" s="72" t="s">
        <v>839</v>
      </c>
    </row>
    <row r="9" spans="2:13">
      <c r="B9" s="73" t="s">
        <v>1</v>
      </c>
      <c r="C9" s="30" t="s">
        <v>41</v>
      </c>
      <c r="D9" s="30" t="s">
        <v>232</v>
      </c>
      <c r="E9" s="30" t="s">
        <v>233</v>
      </c>
      <c r="F9" s="30" t="s">
        <v>234</v>
      </c>
      <c r="G9" s="30" t="s">
        <v>235</v>
      </c>
      <c r="H9" s="30" t="s">
        <v>236</v>
      </c>
      <c r="I9" s="30" t="s">
        <v>237</v>
      </c>
      <c r="J9" s="30" t="s">
        <v>238</v>
      </c>
      <c r="K9" s="30" t="s">
        <v>239</v>
      </c>
      <c r="L9" s="30" t="s">
        <v>240</v>
      </c>
      <c r="M9" s="30" t="s">
        <v>172</v>
      </c>
    </row>
    <row r="10" spans="2:13">
      <c r="B10" s="15" t="s">
        <v>295</v>
      </c>
      <c r="C10" s="18">
        <v>0</v>
      </c>
      <c r="D10" s="18">
        <v>0</v>
      </c>
      <c r="E10" s="18">
        <v>0</v>
      </c>
      <c r="F10" s="18">
        <v>0</v>
      </c>
      <c r="G10" s="18">
        <v>0</v>
      </c>
      <c r="H10" s="18">
        <v>0</v>
      </c>
      <c r="I10" s="18">
        <v>0</v>
      </c>
      <c r="J10" s="12"/>
      <c r="K10" s="12"/>
      <c r="L10" s="12"/>
      <c r="M10" s="12"/>
    </row>
    <row r="11" spans="2:13">
      <c r="B11" s="15" t="s">
        <v>294</v>
      </c>
      <c r="C11" s="18">
        <v>0</v>
      </c>
      <c r="D11" s="18">
        <v>0.16999999999999996</v>
      </c>
      <c r="E11" s="18">
        <v>0.16999999999999996</v>
      </c>
      <c r="F11" s="18">
        <v>0.16999999999999996</v>
      </c>
      <c r="G11" s="18">
        <v>0.16999999999999996</v>
      </c>
      <c r="H11" s="18">
        <v>0.16999999999999996</v>
      </c>
      <c r="I11" s="18">
        <v>0.16999999999999996</v>
      </c>
      <c r="J11" s="12"/>
      <c r="K11" s="12"/>
      <c r="L11" s="12"/>
      <c r="M11" s="12"/>
    </row>
    <row r="12" spans="2:13">
      <c r="B12" s="74"/>
      <c r="C12" s="12"/>
      <c r="D12" s="12"/>
      <c r="E12" s="12"/>
      <c r="F12" s="12"/>
      <c r="G12" s="12"/>
      <c r="H12" s="12"/>
      <c r="I12" s="12"/>
      <c r="J12" s="12"/>
      <c r="K12" s="12"/>
      <c r="L12" s="12"/>
      <c r="M12" s="12"/>
    </row>
    <row r="14" spans="2:13" ht="30" customHeight="1">
      <c r="B14" s="72" t="s">
        <v>282</v>
      </c>
    </row>
    <row r="15" spans="2:13">
      <c r="B15" s="73" t="s">
        <v>1</v>
      </c>
      <c r="C15" s="30" t="s">
        <v>41</v>
      </c>
      <c r="D15" s="30" t="s">
        <v>232</v>
      </c>
      <c r="E15" s="30" t="s">
        <v>233</v>
      </c>
      <c r="F15" s="30" t="s">
        <v>234</v>
      </c>
      <c r="G15" s="30" t="s">
        <v>235</v>
      </c>
      <c r="H15" s="30" t="s">
        <v>236</v>
      </c>
      <c r="I15" s="30" t="s">
        <v>237</v>
      </c>
      <c r="J15" s="30" t="s">
        <v>238</v>
      </c>
      <c r="K15" s="30" t="s">
        <v>239</v>
      </c>
      <c r="L15" s="30" t="s">
        <v>240</v>
      </c>
      <c r="M15" s="30" t="s">
        <v>172</v>
      </c>
    </row>
    <row r="16" spans="2:13">
      <c r="B16" s="74"/>
      <c r="C16" s="12"/>
      <c r="D16" s="12"/>
      <c r="E16" s="12"/>
      <c r="F16" s="12"/>
      <c r="G16" s="12"/>
      <c r="H16" s="12"/>
      <c r="I16" s="12"/>
      <c r="J16" s="12"/>
      <c r="K16" s="12"/>
      <c r="L16" s="12"/>
      <c r="M16" s="12"/>
    </row>
    <row r="17" spans="1:18">
      <c r="B17" s="74"/>
      <c r="C17" s="12"/>
      <c r="D17" s="12"/>
      <c r="E17" s="12"/>
      <c r="F17" s="12"/>
      <c r="G17" s="12"/>
      <c r="H17" s="12"/>
      <c r="I17" s="12"/>
      <c r="J17" s="12"/>
      <c r="K17" s="12"/>
      <c r="L17" s="12"/>
      <c r="M17" s="12"/>
    </row>
    <row r="18" spans="1:18">
      <c r="B18" s="74"/>
      <c r="C18" s="12"/>
      <c r="D18" s="12"/>
      <c r="E18" s="12"/>
      <c r="F18" s="12"/>
      <c r="G18" s="12"/>
      <c r="H18" s="12"/>
      <c r="I18" s="12"/>
      <c r="J18" s="12"/>
      <c r="K18" s="12"/>
      <c r="L18" s="12"/>
      <c r="M18" s="12"/>
    </row>
    <row r="22" spans="1:18" s="3" customFormat="1">
      <c r="B22" s="72"/>
      <c r="E22" s="3" t="s">
        <v>206</v>
      </c>
      <c r="F22" s="3" t="s">
        <v>207</v>
      </c>
      <c r="I22" s="3" t="s">
        <v>208</v>
      </c>
      <c r="K22" s="3" t="s">
        <v>216</v>
      </c>
      <c r="N22" s="3" t="s">
        <v>217</v>
      </c>
      <c r="O22" s="3" t="s">
        <v>218</v>
      </c>
      <c r="P22" s="3" t="s">
        <v>220</v>
      </c>
      <c r="Q22" s="17" t="s">
        <v>221</v>
      </c>
      <c r="R22" s="3" t="s">
        <v>222</v>
      </c>
    </row>
    <row r="24" spans="1:18" s="3" customFormat="1">
      <c r="A24" s="3" t="s">
        <v>1</v>
      </c>
      <c r="B24" s="75" t="s">
        <v>197</v>
      </c>
      <c r="C24" s="16" t="s">
        <v>198</v>
      </c>
      <c r="D24" s="16" t="s">
        <v>199</v>
      </c>
      <c r="E24" s="16" t="s">
        <v>200</v>
      </c>
      <c r="F24" s="16" t="s">
        <v>201</v>
      </c>
      <c r="G24" s="16" t="s">
        <v>202</v>
      </c>
      <c r="H24" s="16" t="s">
        <v>203</v>
      </c>
      <c r="I24" s="16" t="s">
        <v>204</v>
      </c>
      <c r="J24" s="16" t="s">
        <v>205</v>
      </c>
      <c r="K24" s="16" t="s">
        <v>209</v>
      </c>
      <c r="L24" s="16" t="s">
        <v>210</v>
      </c>
      <c r="M24" s="16" t="s">
        <v>211</v>
      </c>
      <c r="N24" s="16" t="s">
        <v>212</v>
      </c>
      <c r="O24" s="16" t="s">
        <v>219</v>
      </c>
      <c r="P24" s="16" t="s">
        <v>213</v>
      </c>
      <c r="Q24" s="16" t="s">
        <v>214</v>
      </c>
      <c r="R24" s="16" t="s">
        <v>215</v>
      </c>
    </row>
    <row r="25" spans="1:18">
      <c r="A25" s="3" t="s">
        <v>157</v>
      </c>
      <c r="B25" s="74" t="s">
        <v>196</v>
      </c>
      <c r="C25" s="12">
        <v>938846</v>
      </c>
      <c r="D25" s="13">
        <v>0.9</v>
      </c>
      <c r="E25" s="12">
        <f>C25*G25</f>
        <v>224384194</v>
      </c>
      <c r="F25" s="12">
        <f>E25/12/21</f>
        <v>890413.46825396817</v>
      </c>
      <c r="G25" s="12">
        <v>239</v>
      </c>
      <c r="H25" s="12">
        <v>31</v>
      </c>
      <c r="I25" s="12">
        <f>J25*0.8/50</f>
        <v>30460864</v>
      </c>
      <c r="J25" s="12">
        <v>1903804000</v>
      </c>
      <c r="K25" s="14">
        <f>F25*L25*M25</f>
        <v>26712.404047619046</v>
      </c>
      <c r="L25" s="25">
        <v>0.06</v>
      </c>
      <c r="M25" s="25">
        <v>0.5</v>
      </c>
      <c r="N25" s="15">
        <f>K25/G25</f>
        <v>111.76738095238095</v>
      </c>
      <c r="O25" s="14">
        <f>N25/H25</f>
        <v>3.6053993855606756</v>
      </c>
      <c r="P25" s="12">
        <f>O25*I25</f>
        <v>109823580.34924731</v>
      </c>
      <c r="Q25" s="18">
        <f>P25/J25</f>
        <v>5.7686390168970814E-2</v>
      </c>
      <c r="R25" s="12">
        <f>P25*10</f>
        <v>1098235803.4924731</v>
      </c>
    </row>
    <row r="26" spans="1:18">
      <c r="A26" s="3" t="s">
        <v>193</v>
      </c>
      <c r="B26" s="74" t="s">
        <v>196</v>
      </c>
      <c r="C26" s="12">
        <v>680036</v>
      </c>
      <c r="D26" s="13"/>
      <c r="E26" s="12">
        <f>C26*G26</f>
        <v>144847668</v>
      </c>
      <c r="F26" s="12">
        <f>E26/12/30</f>
        <v>402354.63333333336</v>
      </c>
      <c r="G26" s="12">
        <v>213</v>
      </c>
      <c r="H26" s="12">
        <v>33</v>
      </c>
      <c r="I26" s="12">
        <f>J26*0.77/(0.77*54)</f>
        <v>44303398.833333336</v>
      </c>
      <c r="J26" s="12">
        <v>2392383537</v>
      </c>
      <c r="K26" s="14">
        <f>F26*L26*M26</f>
        <v>12070.639000000001</v>
      </c>
      <c r="L26" s="25">
        <v>0.06</v>
      </c>
      <c r="M26" s="25">
        <v>0.5</v>
      </c>
      <c r="N26" s="15">
        <f>K26/G26</f>
        <v>56.669666666666672</v>
      </c>
      <c r="O26" s="14">
        <f>N26/H26</f>
        <v>1.7172626262626265</v>
      </c>
      <c r="P26" s="12">
        <f>O26*I26</f>
        <v>76080571.032890588</v>
      </c>
      <c r="Q26" s="18">
        <f>P26/J26</f>
        <v>3.1801159745604199E-2</v>
      </c>
      <c r="R26" s="12">
        <f>P26*10</f>
        <v>760805710.32890582</v>
      </c>
    </row>
    <row r="27" spans="1:18">
      <c r="A27" s="3"/>
      <c r="B27" s="76"/>
      <c r="C27" s="20"/>
      <c r="D27" s="21"/>
      <c r="E27" s="20"/>
      <c r="F27" s="3" t="s">
        <v>230</v>
      </c>
      <c r="G27" s="20"/>
      <c r="H27" s="20"/>
      <c r="I27" s="20"/>
      <c r="J27" s="20"/>
      <c r="K27" s="22"/>
      <c r="L27" s="23"/>
      <c r="M27" s="23"/>
      <c r="N27" s="24"/>
      <c r="O27" s="22"/>
      <c r="P27" s="20"/>
      <c r="Q27" s="23"/>
      <c r="R27" s="20"/>
    </row>
    <row r="28" spans="1:18">
      <c r="A28" s="3"/>
      <c r="B28" s="76"/>
      <c r="C28" s="20"/>
      <c r="D28" s="21"/>
      <c r="E28" s="20"/>
      <c r="F28" s="20"/>
      <c r="G28" s="20"/>
      <c r="H28" s="20"/>
      <c r="I28" s="20"/>
      <c r="J28" s="20"/>
      <c r="K28" s="22"/>
      <c r="L28" s="23"/>
      <c r="M28" s="23"/>
      <c r="N28" s="24"/>
      <c r="O28" s="22"/>
      <c r="P28" s="20"/>
      <c r="Q28" s="23"/>
      <c r="R28" s="20"/>
    </row>
    <row r="29" spans="1:18">
      <c r="K29" s="2" t="s">
        <v>224</v>
      </c>
      <c r="O29" s="2" t="s">
        <v>228</v>
      </c>
      <c r="P29" s="2" t="s">
        <v>220</v>
      </c>
      <c r="Q29" s="17" t="s">
        <v>221</v>
      </c>
      <c r="R29" s="3" t="s">
        <v>222</v>
      </c>
    </row>
    <row r="30" spans="1:18" s="3" customFormat="1">
      <c r="A30" s="3" t="s">
        <v>1</v>
      </c>
      <c r="B30" s="75" t="s">
        <v>197</v>
      </c>
      <c r="C30" s="16" t="s">
        <v>198</v>
      </c>
      <c r="D30" s="16" t="s">
        <v>199</v>
      </c>
      <c r="E30" s="16" t="s">
        <v>200</v>
      </c>
      <c r="F30" s="16" t="s">
        <v>201</v>
      </c>
      <c r="G30" s="16" t="s">
        <v>202</v>
      </c>
      <c r="H30" s="16" t="s">
        <v>203</v>
      </c>
      <c r="I30" s="16" t="s">
        <v>204</v>
      </c>
      <c r="J30" s="16" t="s">
        <v>205</v>
      </c>
      <c r="K30" s="16" t="s">
        <v>225</v>
      </c>
      <c r="L30" s="16" t="s">
        <v>227</v>
      </c>
      <c r="M30" s="16" t="s">
        <v>226</v>
      </c>
      <c r="N30" s="16" t="s">
        <v>212</v>
      </c>
      <c r="O30" s="16" t="s">
        <v>219</v>
      </c>
      <c r="P30" s="16" t="s">
        <v>213</v>
      </c>
      <c r="Q30" s="16" t="s">
        <v>214</v>
      </c>
      <c r="R30" s="16" t="s">
        <v>215</v>
      </c>
    </row>
    <row r="31" spans="1:18">
      <c r="A31" s="3" t="s">
        <v>157</v>
      </c>
      <c r="B31" s="74" t="s">
        <v>223</v>
      </c>
      <c r="C31" s="12">
        <v>794409</v>
      </c>
      <c r="D31" s="13"/>
      <c r="E31" s="12"/>
      <c r="F31" s="12"/>
      <c r="G31" s="12"/>
      <c r="H31" s="12">
        <f>H25</f>
        <v>31</v>
      </c>
      <c r="I31" s="12">
        <f>I25</f>
        <v>30460864</v>
      </c>
      <c r="J31" s="12">
        <f>J25</f>
        <v>1903804000</v>
      </c>
      <c r="K31" s="14">
        <f>(C31/12/21)*L31*M31</f>
        <v>104.97547499999999</v>
      </c>
      <c r="L31" s="25">
        <v>0.15</v>
      </c>
      <c r="M31" s="26">
        <v>0.222</v>
      </c>
      <c r="N31" s="15"/>
      <c r="O31" s="14">
        <f>K31/H31</f>
        <v>3.3863056451612898</v>
      </c>
      <c r="P31" s="12">
        <f>O31*I31</f>
        <v>103149795.71969031</v>
      </c>
      <c r="Q31" s="18">
        <f>P31/J31</f>
        <v>5.4180890322580638E-2</v>
      </c>
      <c r="R31" s="19">
        <f>P31*10</f>
        <v>1031497957.1969031</v>
      </c>
    </row>
    <row r="32" spans="1:18">
      <c r="A32" s="3" t="s">
        <v>193</v>
      </c>
      <c r="B32" s="74" t="s">
        <v>223</v>
      </c>
      <c r="C32" s="12">
        <v>533901</v>
      </c>
      <c r="D32" s="15"/>
      <c r="E32" s="15"/>
      <c r="F32" s="15"/>
      <c r="G32" s="15"/>
      <c r="H32" s="12">
        <v>31</v>
      </c>
      <c r="I32" s="12">
        <f>I26</f>
        <v>44303398.833333336</v>
      </c>
      <c r="J32" s="12">
        <f>J26</f>
        <v>2392383537</v>
      </c>
      <c r="K32" s="14">
        <f>(C32/12/30)*L32*M32</f>
        <v>49.385842500000003</v>
      </c>
      <c r="L32" s="25">
        <v>0.15</v>
      </c>
      <c r="M32" s="26">
        <v>0.222</v>
      </c>
      <c r="N32" s="15"/>
      <c r="O32" s="14">
        <f>K32/H32</f>
        <v>1.5930916935483872</v>
      </c>
      <c r="P32" s="12">
        <f>O32*I32</f>
        <v>70579376.67734465</v>
      </c>
      <c r="Q32" s="18">
        <f>P32/J32</f>
        <v>2.9501698028673841E-2</v>
      </c>
      <c r="R32" s="19">
        <f>P32*10</f>
        <v>705793766.77344656</v>
      </c>
    </row>
    <row r="33" spans="1:18">
      <c r="K33" s="2" t="s">
        <v>229</v>
      </c>
    </row>
    <row r="34" spans="1:18" s="3" customFormat="1">
      <c r="A34" s="3" t="s">
        <v>1</v>
      </c>
      <c r="B34" s="75" t="s">
        <v>197</v>
      </c>
      <c r="C34" s="16" t="s">
        <v>198</v>
      </c>
      <c r="D34" s="16" t="s">
        <v>199</v>
      </c>
      <c r="E34" s="16" t="s">
        <v>200</v>
      </c>
      <c r="F34" s="16" t="s">
        <v>201</v>
      </c>
      <c r="G34" s="16" t="s">
        <v>202</v>
      </c>
      <c r="H34" s="16" t="s">
        <v>203</v>
      </c>
      <c r="I34" s="16" t="s">
        <v>204</v>
      </c>
      <c r="J34" s="16" t="s">
        <v>205</v>
      </c>
      <c r="K34" s="16" t="s">
        <v>209</v>
      </c>
      <c r="L34" s="16" t="s">
        <v>227</v>
      </c>
      <c r="M34" s="16" t="s">
        <v>226</v>
      </c>
      <c r="N34" s="16" t="s">
        <v>212</v>
      </c>
      <c r="O34" s="16" t="s">
        <v>219</v>
      </c>
      <c r="P34" s="16" t="s">
        <v>213</v>
      </c>
      <c r="Q34" s="16" t="s">
        <v>214</v>
      </c>
      <c r="R34" s="16" t="s">
        <v>215</v>
      </c>
    </row>
    <row r="35" spans="1:18">
      <c r="A35" s="3" t="s">
        <v>195</v>
      </c>
      <c r="B35" s="74" t="s">
        <v>223</v>
      </c>
      <c r="C35" s="12">
        <v>808037</v>
      </c>
      <c r="D35" s="13"/>
      <c r="E35" s="12">
        <f>C35*G35</f>
        <v>143022549</v>
      </c>
      <c r="F35" s="12">
        <f>E35/12/30</f>
        <v>397284.85833333334</v>
      </c>
      <c r="G35" s="12">
        <v>177</v>
      </c>
      <c r="H35" s="12">
        <v>32</v>
      </c>
      <c r="I35" s="12">
        <f>J35*0.81/(68*0.81)</f>
        <v>26666359.338235293</v>
      </c>
      <c r="J35" s="12">
        <v>1813312435</v>
      </c>
      <c r="K35" s="14">
        <f>F35*L35*M35</f>
        <v>11918.545749999999</v>
      </c>
      <c r="L35" s="25">
        <v>0.06</v>
      </c>
      <c r="M35" s="25">
        <v>0.5</v>
      </c>
      <c r="N35" s="12">
        <f>K35/G35</f>
        <v>67.336416666666665</v>
      </c>
      <c r="O35" s="14">
        <f>N35/H35</f>
        <v>2.1042630208333333</v>
      </c>
      <c r="P35" s="12">
        <f>O35*I35</f>
        <v>56113033.855702162</v>
      </c>
      <c r="Q35" s="18">
        <f>K35/F35</f>
        <v>0.03</v>
      </c>
      <c r="R35" s="19">
        <f>P35*10</f>
        <v>561130338.55702162</v>
      </c>
    </row>
    <row r="39" spans="1:18">
      <c r="B39" s="72" t="s">
        <v>223</v>
      </c>
      <c r="C39" s="28">
        <f>L31*M31</f>
        <v>3.3299999999999996E-2</v>
      </c>
    </row>
    <row r="40" spans="1:18">
      <c r="B40" s="72" t="s">
        <v>242</v>
      </c>
      <c r="C40" s="28">
        <v>3.5000000000000003E-2</v>
      </c>
    </row>
  </sheetData>
  <phoneticPr fontId="1" type="noConversion"/>
  <pageMargins left="0.7" right="0.7" top="0.75" bottom="0.75" header="0.3" footer="0.3"/>
  <ignoredErrors>
    <ignoredError sqref="P25" formula="1"/>
  </ignoredError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2_Sheet">
    <tabColor theme="4" tint="0.59999389629810485"/>
  </sheetPr>
  <dimension ref="A1:S32"/>
  <sheetViews>
    <sheetView topLeftCell="A4" zoomScale="70" zoomScaleNormal="70" workbookViewId="0">
      <selection activeCell="A4" sqref="A4"/>
    </sheetView>
  </sheetViews>
  <sheetFormatPr defaultRowHeight="17.399999999999999"/>
  <cols>
    <col min="6" max="6" width="16.59765625" bestFit="1" customWidth="1"/>
    <col min="7" max="7" width="17.8984375" bestFit="1" customWidth="1"/>
    <col min="8" max="13" width="16.59765625" bestFit="1" customWidth="1"/>
    <col min="14" max="15" width="3.5" bestFit="1" customWidth="1"/>
  </cols>
  <sheetData>
    <row r="1" spans="1:19" ht="18.600000000000001" thickTop="1" thickBot="1">
      <c r="A1" s="163" t="s">
        <v>368</v>
      </c>
      <c r="B1" s="164"/>
      <c r="C1" s="164"/>
      <c r="D1" s="165"/>
      <c r="E1" s="165"/>
      <c r="F1" s="164"/>
      <c r="G1" s="164"/>
      <c r="H1" s="166"/>
      <c r="I1" s="164"/>
      <c r="J1" s="164"/>
      <c r="K1" s="164"/>
      <c r="L1" s="164"/>
      <c r="M1" s="164"/>
      <c r="N1" s="164"/>
      <c r="O1" s="164"/>
      <c r="P1" s="164"/>
      <c r="Q1" s="164"/>
      <c r="R1" s="167"/>
      <c r="S1" s="164"/>
    </row>
    <row r="2" spans="1:19" ht="28.2" thickTop="1">
      <c r="A2" s="168">
        <v>4</v>
      </c>
      <c r="B2" s="168" t="s">
        <v>369</v>
      </c>
      <c r="C2" s="169"/>
      <c r="D2" s="169"/>
      <c r="E2" s="169"/>
      <c r="F2" s="170"/>
      <c r="G2" s="169"/>
      <c r="H2" s="171"/>
      <c r="I2" s="164"/>
      <c r="J2" s="164"/>
      <c r="K2" s="164"/>
      <c r="L2" s="164"/>
      <c r="M2" s="166"/>
      <c r="N2" s="164"/>
      <c r="O2" s="164"/>
      <c r="P2" s="164"/>
      <c r="Q2" s="164"/>
      <c r="R2" s="164"/>
      <c r="S2" s="164"/>
    </row>
    <row r="3" spans="1:19" ht="27.6">
      <c r="A3" s="165"/>
      <c r="B3" s="172" t="s">
        <v>370</v>
      </c>
      <c r="C3" s="169"/>
      <c r="D3" s="169"/>
      <c r="E3" s="169"/>
      <c r="F3" s="169"/>
      <c r="G3" s="169"/>
      <c r="H3" s="173"/>
      <c r="I3" s="173"/>
      <c r="J3" s="173"/>
      <c r="K3" s="173"/>
      <c r="L3" s="173"/>
      <c r="M3" s="173"/>
      <c r="N3" s="174"/>
      <c r="O3" s="164"/>
      <c r="P3" s="164"/>
      <c r="Q3" s="164"/>
      <c r="R3" s="164"/>
      <c r="S3" s="164"/>
    </row>
    <row r="4" spans="1:19" ht="27.6">
      <c r="A4" s="70" t="s">
        <v>279</v>
      </c>
      <c r="B4" s="175"/>
      <c r="C4" s="169"/>
      <c r="D4" s="169"/>
      <c r="E4" s="169"/>
      <c r="F4" s="169"/>
      <c r="G4" s="169"/>
      <c r="H4" s="169"/>
      <c r="I4" s="164"/>
      <c r="J4" s="164"/>
      <c r="K4" s="164"/>
      <c r="L4" s="164"/>
      <c r="M4" s="164"/>
      <c r="N4" s="164"/>
      <c r="O4" s="164"/>
      <c r="P4" s="164"/>
      <c r="Q4" s="164"/>
      <c r="R4" s="164"/>
      <c r="S4" s="164"/>
    </row>
    <row r="5" spans="1:19" ht="19.8" thickBot="1">
      <c r="A5" s="176"/>
      <c r="B5" s="177"/>
      <c r="C5" s="164"/>
      <c r="D5" s="165"/>
      <c r="E5" s="165"/>
      <c r="F5" s="164"/>
      <c r="G5" s="164"/>
      <c r="H5" s="164"/>
      <c r="I5" s="164"/>
      <c r="J5" s="164"/>
      <c r="K5" s="178"/>
      <c r="L5" s="178"/>
      <c r="M5" s="178"/>
      <c r="N5" s="178"/>
      <c r="O5" s="178"/>
      <c r="P5" s="164"/>
      <c r="Q5" s="178" t="s">
        <v>371</v>
      </c>
      <c r="R5" s="164"/>
      <c r="S5" s="164"/>
    </row>
    <row r="6" spans="1:19">
      <c r="A6" s="164"/>
      <c r="B6" s="677" t="s">
        <v>372</v>
      </c>
      <c r="C6" s="678"/>
      <c r="D6" s="679" t="s">
        <v>373</v>
      </c>
      <c r="E6" s="680"/>
      <c r="F6" s="179" t="s">
        <v>374</v>
      </c>
      <c r="G6" s="179" t="s">
        <v>333</v>
      </c>
      <c r="H6" s="179" t="s">
        <v>232</v>
      </c>
      <c r="I6" s="179" t="s">
        <v>233</v>
      </c>
      <c r="J6" s="179" t="s">
        <v>234</v>
      </c>
      <c r="K6" s="179" t="s">
        <v>235</v>
      </c>
      <c r="L6" s="179" t="s">
        <v>236</v>
      </c>
      <c r="M6" s="179" t="s">
        <v>237</v>
      </c>
      <c r="N6" s="179" t="s">
        <v>238</v>
      </c>
      <c r="O6" s="179" t="s">
        <v>239</v>
      </c>
      <c r="P6" s="681" t="s">
        <v>375</v>
      </c>
      <c r="Q6" s="681"/>
      <c r="R6" s="682"/>
      <c r="S6" s="180"/>
    </row>
    <row r="7" spans="1:19">
      <c r="A7" s="164"/>
      <c r="B7" s="683" t="s">
        <v>343</v>
      </c>
      <c r="C7" s="687" t="s">
        <v>376</v>
      </c>
      <c r="D7" s="690" t="s">
        <v>377</v>
      </c>
      <c r="E7" s="691"/>
      <c r="F7" s="181">
        <v>15600000</v>
      </c>
      <c r="G7" s="181">
        <v>178780500</v>
      </c>
      <c r="H7" s="181">
        <v>178780500</v>
      </c>
      <c r="I7" s="181">
        <v>178780500</v>
      </c>
      <c r="J7" s="181">
        <v>178780500</v>
      </c>
      <c r="K7" s="181">
        <v>178780500</v>
      </c>
      <c r="L7" s="181">
        <v>178780500</v>
      </c>
      <c r="M7" s="181">
        <v>0</v>
      </c>
      <c r="N7" s="182"/>
      <c r="O7" s="182"/>
      <c r="P7" s="692" t="s">
        <v>378</v>
      </c>
      <c r="Q7" s="693"/>
      <c r="R7" s="694"/>
      <c r="S7" s="180"/>
    </row>
    <row r="8" spans="1:19">
      <c r="A8" s="164"/>
      <c r="B8" s="684"/>
      <c r="C8" s="688"/>
      <c r="D8" s="690" t="s">
        <v>379</v>
      </c>
      <c r="E8" s="691"/>
      <c r="F8" s="183">
        <v>4806607788.4835911</v>
      </c>
      <c r="G8" s="183">
        <v>4581290726.8450003</v>
      </c>
      <c r="H8" s="183">
        <v>4280458483.9063249</v>
      </c>
      <c r="I8" s="183">
        <v>4123718006.4876471</v>
      </c>
      <c r="J8" s="183">
        <v>3953416288.7299218</v>
      </c>
      <c r="K8" s="183">
        <v>3848050785.1491747</v>
      </c>
      <c r="L8" s="183">
        <v>3903596760.5510283</v>
      </c>
      <c r="M8" s="181">
        <v>0</v>
      </c>
      <c r="N8" s="182"/>
      <c r="O8" s="182"/>
      <c r="P8" s="695"/>
      <c r="Q8" s="696"/>
      <c r="R8" s="697"/>
      <c r="S8" s="180"/>
    </row>
    <row r="9" spans="1:19">
      <c r="A9" s="164"/>
      <c r="B9" s="684"/>
      <c r="C9" s="688"/>
      <c r="D9" s="701" t="s">
        <v>380</v>
      </c>
      <c r="E9" s="702"/>
      <c r="F9" s="183">
        <v>4122148935.9110465</v>
      </c>
      <c r="G9" s="183">
        <v>3172068923.5528708</v>
      </c>
      <c r="H9" s="183">
        <v>2874453292.4590735</v>
      </c>
      <c r="I9" s="183">
        <v>2869770795.6518164</v>
      </c>
      <c r="J9" s="183">
        <v>2831583342.2522488</v>
      </c>
      <c r="K9" s="183">
        <v>2767715616.581336</v>
      </c>
      <c r="L9" s="183">
        <v>2733012285.39399</v>
      </c>
      <c r="M9" s="181">
        <v>0</v>
      </c>
      <c r="N9" s="182"/>
      <c r="O9" s="182"/>
      <c r="P9" s="695"/>
      <c r="Q9" s="696"/>
      <c r="R9" s="697"/>
      <c r="S9" s="180"/>
    </row>
    <row r="10" spans="1:19">
      <c r="A10" s="164"/>
      <c r="B10" s="684"/>
      <c r="C10" s="688"/>
      <c r="D10" s="703" t="s">
        <v>381</v>
      </c>
      <c r="E10" s="704"/>
      <c r="F10" s="181">
        <v>579903446.40602899</v>
      </c>
      <c r="G10" s="181">
        <v>336542577.19735622</v>
      </c>
      <c r="H10" s="181">
        <v>227040489.31509945</v>
      </c>
      <c r="I10" s="181">
        <v>228471022.18720093</v>
      </c>
      <c r="J10" s="181">
        <v>229923013.05238396</v>
      </c>
      <c r="K10" s="181">
        <v>231396783.7805447</v>
      </c>
      <c r="L10" s="181">
        <v>232892661.06962782</v>
      </c>
      <c r="M10" s="181">
        <v>0</v>
      </c>
      <c r="N10" s="182"/>
      <c r="O10" s="182"/>
      <c r="P10" s="695"/>
      <c r="Q10" s="696"/>
      <c r="R10" s="697"/>
      <c r="S10" s="180"/>
    </row>
    <row r="11" spans="1:19">
      <c r="A11" s="164"/>
      <c r="B11" s="684"/>
      <c r="C11" s="688"/>
      <c r="D11" s="703" t="s">
        <v>382</v>
      </c>
      <c r="E11" s="704"/>
      <c r="F11" s="184">
        <v>5148000</v>
      </c>
      <c r="G11" s="184">
        <v>10296000</v>
      </c>
      <c r="H11" s="184">
        <v>82434534</v>
      </c>
      <c r="I11" s="184">
        <v>82434534</v>
      </c>
      <c r="J11" s="184">
        <v>101163495.19999999</v>
      </c>
      <c r="K11" s="184">
        <v>101163495.19999999</v>
      </c>
      <c r="L11" s="184">
        <v>101163495.19999999</v>
      </c>
      <c r="M11" s="184">
        <v>0</v>
      </c>
      <c r="N11" s="185"/>
      <c r="O11" s="185"/>
      <c r="P11" s="695"/>
      <c r="Q11" s="696"/>
      <c r="R11" s="697"/>
      <c r="S11" s="180"/>
    </row>
    <row r="12" spans="1:19" ht="18" thickBot="1">
      <c r="A12" s="164"/>
      <c r="B12" s="684"/>
      <c r="C12" s="689"/>
      <c r="D12" s="652" t="s">
        <v>383</v>
      </c>
      <c r="E12" s="652"/>
      <c r="F12" s="186">
        <v>9529408170.8006668</v>
      </c>
      <c r="G12" s="186">
        <v>8278978727.5952272</v>
      </c>
      <c r="H12" s="186">
        <v>7643167299.6804981</v>
      </c>
      <c r="I12" s="186">
        <v>7483174858.326664</v>
      </c>
      <c r="J12" s="186">
        <v>7294866639.2345543</v>
      </c>
      <c r="K12" s="186">
        <v>7127107180.7110548</v>
      </c>
      <c r="L12" s="186">
        <v>7149445702.2146463</v>
      </c>
      <c r="M12" s="186">
        <v>0</v>
      </c>
      <c r="N12" s="186">
        <v>0</v>
      </c>
      <c r="O12" s="186">
        <v>0</v>
      </c>
      <c r="P12" s="698"/>
      <c r="Q12" s="699"/>
      <c r="R12" s="700"/>
      <c r="S12" s="180"/>
    </row>
    <row r="13" spans="1:19" ht="18.600000000000001" thickTop="1" thickBot="1">
      <c r="A13" s="187">
        <v>4.9000000000000002E-2</v>
      </c>
      <c r="B13" s="685"/>
      <c r="C13" s="666" t="s">
        <v>384</v>
      </c>
      <c r="D13" s="673" t="s">
        <v>385</v>
      </c>
      <c r="E13" s="662"/>
      <c r="F13" s="183">
        <v>441936224.59533721</v>
      </c>
      <c r="G13" s="183">
        <v>442174291.67529821</v>
      </c>
      <c r="H13" s="183">
        <v>460643698.90380377</v>
      </c>
      <c r="I13" s="183">
        <v>479888278.14002889</v>
      </c>
      <c r="J13" s="183">
        <v>499939582.75001472</v>
      </c>
      <c r="K13" s="183">
        <v>520830387.86009699</v>
      </c>
      <c r="L13" s="183">
        <v>542796333.65522313</v>
      </c>
      <c r="M13" s="181">
        <v>0</v>
      </c>
      <c r="N13" s="182"/>
      <c r="O13" s="182"/>
      <c r="P13" s="705" t="s">
        <v>386</v>
      </c>
      <c r="Q13" s="706"/>
      <c r="R13" s="707"/>
      <c r="S13" s="180"/>
    </row>
    <row r="14" spans="1:19" ht="18" thickTop="1">
      <c r="A14" s="164"/>
      <c r="B14" s="684"/>
      <c r="C14" s="666"/>
      <c r="D14" s="673" t="s">
        <v>387</v>
      </c>
      <c r="E14" s="662"/>
      <c r="F14" s="181">
        <v>225000000</v>
      </c>
      <c r="G14" s="181">
        <v>0</v>
      </c>
      <c r="H14" s="181">
        <v>0</v>
      </c>
      <c r="I14" s="181">
        <v>0</v>
      </c>
      <c r="J14" s="181">
        <v>0</v>
      </c>
      <c r="K14" s="181">
        <v>0</v>
      </c>
      <c r="L14" s="181">
        <v>0</v>
      </c>
      <c r="M14" s="181">
        <v>0</v>
      </c>
      <c r="N14" s="182"/>
      <c r="O14" s="182"/>
      <c r="P14" s="706"/>
      <c r="Q14" s="706"/>
      <c r="R14" s="707"/>
      <c r="S14" s="180"/>
    </row>
    <row r="15" spans="1:19">
      <c r="A15" s="164"/>
      <c r="B15" s="684"/>
      <c r="C15" s="666"/>
      <c r="D15" s="660" t="s">
        <v>410</v>
      </c>
      <c r="E15" s="661"/>
      <c r="F15" s="188"/>
      <c r="G15" s="188">
        <v>0</v>
      </c>
      <c r="H15" s="188">
        <v>0</v>
      </c>
      <c r="I15" s="188">
        <v>0</v>
      </c>
      <c r="J15" s="188">
        <v>0</v>
      </c>
      <c r="K15" s="188">
        <v>0</v>
      </c>
      <c r="L15" s="188">
        <v>0</v>
      </c>
      <c r="M15" s="188">
        <v>0</v>
      </c>
      <c r="N15" s="182"/>
      <c r="O15" s="182"/>
      <c r="P15" s="706"/>
      <c r="Q15" s="706"/>
      <c r="R15" s="707"/>
      <c r="S15" s="180"/>
    </row>
    <row r="16" spans="1:19">
      <c r="A16" s="164"/>
      <c r="B16" s="684"/>
      <c r="C16" s="666"/>
      <c r="D16" s="662" t="s">
        <v>388</v>
      </c>
      <c r="E16" s="662"/>
      <c r="F16" s="182"/>
      <c r="G16" s="182"/>
      <c r="H16" s="182"/>
      <c r="I16" s="182"/>
      <c r="J16" s="182"/>
      <c r="K16" s="182"/>
      <c r="L16" s="182"/>
      <c r="M16" s="182"/>
      <c r="N16" s="182"/>
      <c r="O16" s="182"/>
      <c r="P16" s="706"/>
      <c r="Q16" s="706"/>
      <c r="R16" s="707"/>
      <c r="S16" s="180"/>
    </row>
    <row r="17" spans="1:19">
      <c r="A17" s="164"/>
      <c r="B17" s="684"/>
      <c r="C17" s="666"/>
      <c r="D17" s="652" t="s">
        <v>383</v>
      </c>
      <c r="E17" s="652"/>
      <c r="F17" s="186">
        <v>666936224.59533715</v>
      </c>
      <c r="G17" s="186">
        <v>442174291.67529821</v>
      </c>
      <c r="H17" s="186">
        <v>460643698.90380377</v>
      </c>
      <c r="I17" s="186">
        <v>479888278.14002889</v>
      </c>
      <c r="J17" s="186">
        <v>499939582.75001472</v>
      </c>
      <c r="K17" s="186">
        <v>520830387.86009699</v>
      </c>
      <c r="L17" s="186">
        <v>542796333.65522313</v>
      </c>
      <c r="M17" s="186">
        <v>0</v>
      </c>
      <c r="N17" s="186">
        <v>0</v>
      </c>
      <c r="O17" s="186">
        <v>0</v>
      </c>
      <c r="P17" s="706"/>
      <c r="Q17" s="706"/>
      <c r="R17" s="707"/>
      <c r="S17" s="180"/>
    </row>
    <row r="18" spans="1:19">
      <c r="A18" s="164"/>
      <c r="B18" s="684"/>
      <c r="C18" s="666" t="s">
        <v>389</v>
      </c>
      <c r="D18" s="662" t="s">
        <v>390</v>
      </c>
      <c r="E18" s="662"/>
      <c r="F18" s="182"/>
      <c r="G18" s="182"/>
      <c r="H18" s="182"/>
      <c r="I18" s="182"/>
      <c r="J18" s="182"/>
      <c r="K18" s="182"/>
      <c r="L18" s="182"/>
      <c r="M18" s="182"/>
      <c r="N18" s="182"/>
      <c r="O18" s="182"/>
      <c r="P18" s="667" t="s">
        <v>391</v>
      </c>
      <c r="Q18" s="668"/>
      <c r="R18" s="669"/>
      <c r="S18" s="165"/>
    </row>
    <row r="19" spans="1:19">
      <c r="A19" s="164"/>
      <c r="B19" s="684"/>
      <c r="C19" s="666"/>
      <c r="D19" s="662" t="s">
        <v>392</v>
      </c>
      <c r="E19" s="662"/>
      <c r="F19" s="182"/>
      <c r="G19" s="182"/>
      <c r="H19" s="182"/>
      <c r="I19" s="182"/>
      <c r="J19" s="182"/>
      <c r="K19" s="182"/>
      <c r="L19" s="182"/>
      <c r="M19" s="182"/>
      <c r="N19" s="182"/>
      <c r="O19" s="182"/>
      <c r="P19" s="668"/>
      <c r="Q19" s="668"/>
      <c r="R19" s="669"/>
      <c r="S19" s="165"/>
    </row>
    <row r="20" spans="1:19">
      <c r="A20" s="164"/>
      <c r="B20" s="684"/>
      <c r="C20" s="666"/>
      <c r="D20" s="652" t="s">
        <v>393</v>
      </c>
      <c r="E20" s="652"/>
      <c r="F20" s="189">
        <v>0</v>
      </c>
      <c r="G20" s="189">
        <v>0</v>
      </c>
      <c r="H20" s="189">
        <v>0</v>
      </c>
      <c r="I20" s="189">
        <v>0</v>
      </c>
      <c r="J20" s="189">
        <v>0</v>
      </c>
      <c r="K20" s="189">
        <v>0</v>
      </c>
      <c r="L20" s="189">
        <v>0</v>
      </c>
      <c r="M20" s="189">
        <v>0</v>
      </c>
      <c r="N20" s="189">
        <v>0</v>
      </c>
      <c r="O20" s="189">
        <v>0</v>
      </c>
      <c r="P20" s="668"/>
      <c r="Q20" s="668"/>
      <c r="R20" s="669"/>
      <c r="S20" s="165"/>
    </row>
    <row r="21" spans="1:19">
      <c r="A21" s="164"/>
      <c r="B21" s="684"/>
      <c r="C21" s="670" t="s">
        <v>394</v>
      </c>
      <c r="D21" s="673" t="s">
        <v>395</v>
      </c>
      <c r="E21" s="662"/>
      <c r="F21" s="182"/>
      <c r="G21" s="182"/>
      <c r="H21" s="182"/>
      <c r="I21" s="182"/>
      <c r="J21" s="182"/>
      <c r="K21" s="182"/>
      <c r="L21" s="182"/>
      <c r="M21" s="182"/>
      <c r="N21" s="182"/>
      <c r="O21" s="182"/>
      <c r="P21" s="674" t="s">
        <v>396</v>
      </c>
      <c r="Q21" s="675"/>
      <c r="R21" s="676"/>
      <c r="S21" s="165"/>
    </row>
    <row r="22" spans="1:19">
      <c r="A22" s="164"/>
      <c r="B22" s="684"/>
      <c r="C22" s="671"/>
      <c r="D22" s="673" t="s">
        <v>397</v>
      </c>
      <c r="E22" s="662"/>
      <c r="F22" s="182">
        <v>167142885.71428573</v>
      </c>
      <c r="G22" s="182">
        <v>77726605.714285716</v>
      </c>
      <c r="H22" s="182">
        <v>83076661.714285731</v>
      </c>
      <c r="I22" s="182">
        <v>83076661.714285731</v>
      </c>
      <c r="J22" s="182">
        <v>83076661.714285731</v>
      </c>
      <c r="K22" s="182">
        <v>83076661.714285731</v>
      </c>
      <c r="L22" s="182">
        <v>84076661.714285731</v>
      </c>
      <c r="M22" s="182">
        <v>0</v>
      </c>
      <c r="N22" s="182"/>
      <c r="O22" s="182"/>
      <c r="P22" s="675"/>
      <c r="Q22" s="675"/>
      <c r="R22" s="676"/>
      <c r="S22" s="165"/>
    </row>
    <row r="23" spans="1:19">
      <c r="A23" s="164"/>
      <c r="B23" s="684"/>
      <c r="C23" s="671"/>
      <c r="D23" s="673" t="s">
        <v>398</v>
      </c>
      <c r="E23" s="662"/>
      <c r="F23" s="182">
        <v>0</v>
      </c>
      <c r="G23" s="182">
        <v>145786732.74443725</v>
      </c>
      <c r="H23" s="182">
        <v>187734262.010986</v>
      </c>
      <c r="I23" s="182">
        <v>233002541.05131567</v>
      </c>
      <c r="J23" s="182">
        <v>281792816.86228812</v>
      </c>
      <c r="K23" s="182">
        <v>334316856.95083588</v>
      </c>
      <c r="L23" s="182">
        <v>391419019.13441128</v>
      </c>
      <c r="M23" s="182">
        <v>0</v>
      </c>
      <c r="N23" s="182"/>
      <c r="O23" s="182"/>
      <c r="P23" s="675"/>
      <c r="Q23" s="675"/>
      <c r="R23" s="676"/>
      <c r="S23" s="164"/>
    </row>
    <row r="24" spans="1:19">
      <c r="A24" s="164"/>
      <c r="B24" s="684"/>
      <c r="C24" s="671"/>
      <c r="D24" s="662" t="s">
        <v>399</v>
      </c>
      <c r="E24" s="662"/>
      <c r="F24" s="182">
        <v>300000000</v>
      </c>
      <c r="G24" s="182">
        <v>0</v>
      </c>
      <c r="H24" s="182">
        <v>0</v>
      </c>
      <c r="I24" s="182">
        <v>0</v>
      </c>
      <c r="J24" s="182">
        <v>0</v>
      </c>
      <c r="K24" s="182">
        <v>0</v>
      </c>
      <c r="L24" s="182">
        <v>0</v>
      </c>
      <c r="M24" s="182">
        <v>0</v>
      </c>
      <c r="N24" s="182"/>
      <c r="O24" s="182"/>
      <c r="P24" s="675"/>
      <c r="Q24" s="675"/>
      <c r="R24" s="676"/>
      <c r="S24" s="164"/>
    </row>
    <row r="25" spans="1:19">
      <c r="A25" s="164"/>
      <c r="B25" s="684"/>
      <c r="C25" s="672"/>
      <c r="D25" s="652" t="s">
        <v>393</v>
      </c>
      <c r="E25" s="652"/>
      <c r="F25" s="189">
        <v>467142885.71428573</v>
      </c>
      <c r="G25" s="189">
        <v>223513338.45872295</v>
      </c>
      <c r="H25" s="189">
        <v>270810923.7252717</v>
      </c>
      <c r="I25" s="189">
        <v>316079202.7656014</v>
      </c>
      <c r="J25" s="189">
        <v>364869478.57657385</v>
      </c>
      <c r="K25" s="189">
        <v>417393518.66512161</v>
      </c>
      <c r="L25" s="189">
        <v>475495680.84869701</v>
      </c>
      <c r="M25" s="189">
        <v>0</v>
      </c>
      <c r="N25" s="189">
        <v>0</v>
      </c>
      <c r="O25" s="189">
        <v>0</v>
      </c>
      <c r="P25" s="653"/>
      <c r="Q25" s="654"/>
      <c r="R25" s="655"/>
      <c r="S25" s="164"/>
    </row>
    <row r="26" spans="1:19">
      <c r="A26" s="164"/>
      <c r="B26" s="686"/>
      <c r="C26" s="190" t="s">
        <v>400</v>
      </c>
      <c r="D26" s="656" t="s">
        <v>401</v>
      </c>
      <c r="E26" s="656"/>
      <c r="F26" s="191">
        <v>43331116.055555567</v>
      </c>
      <c r="G26" s="191">
        <v>519973392.66666681</v>
      </c>
      <c r="H26" s="191">
        <v>519973392.66666681</v>
      </c>
      <c r="I26" s="191">
        <v>519973392.66666681</v>
      </c>
      <c r="J26" s="191">
        <v>519973392.66666681</v>
      </c>
      <c r="K26" s="191">
        <v>519973392.66666681</v>
      </c>
      <c r="L26" s="191">
        <v>476642276.61111122</v>
      </c>
      <c r="M26" s="191">
        <v>0</v>
      </c>
      <c r="N26" s="191">
        <v>0</v>
      </c>
      <c r="O26" s="191">
        <v>0</v>
      </c>
      <c r="P26" s="650" t="s">
        <v>402</v>
      </c>
      <c r="Q26" s="650"/>
      <c r="R26" s="651"/>
      <c r="S26" s="165"/>
    </row>
    <row r="27" spans="1:19">
      <c r="A27" s="164"/>
      <c r="B27" s="657" t="s">
        <v>403</v>
      </c>
      <c r="C27" s="658"/>
      <c r="D27" s="658"/>
      <c r="E27" s="659"/>
      <c r="F27" s="192">
        <v>10706818397.165844</v>
      </c>
      <c r="G27" s="192">
        <v>9464639750.3959141</v>
      </c>
      <c r="H27" s="192">
        <v>8894595314.9762402</v>
      </c>
      <c r="I27" s="192">
        <v>8799115731.8989601</v>
      </c>
      <c r="J27" s="192">
        <v>8679649093.227808</v>
      </c>
      <c r="K27" s="192">
        <v>8585304479.9029408</v>
      </c>
      <c r="L27" s="192">
        <v>8644379993.3296776</v>
      </c>
      <c r="M27" s="192">
        <v>0</v>
      </c>
      <c r="N27" s="192">
        <v>0</v>
      </c>
      <c r="O27" s="192">
        <v>0</v>
      </c>
      <c r="P27" s="663"/>
      <c r="Q27" s="664"/>
      <c r="R27" s="665"/>
      <c r="S27" s="165"/>
    </row>
    <row r="28" spans="1:19">
      <c r="A28" s="164"/>
      <c r="B28" s="639" t="s">
        <v>404</v>
      </c>
      <c r="C28" s="641" t="s">
        <v>405</v>
      </c>
      <c r="D28" s="642"/>
      <c r="E28" s="643"/>
      <c r="F28" s="193"/>
      <c r="G28" s="193"/>
      <c r="H28" s="193"/>
      <c r="I28" s="193"/>
      <c r="J28" s="193"/>
      <c r="K28" s="193"/>
      <c r="L28" s="193"/>
      <c r="M28" s="193"/>
      <c r="N28" s="193"/>
      <c r="O28" s="193"/>
      <c r="P28" s="644"/>
      <c r="Q28" s="645"/>
      <c r="R28" s="646"/>
      <c r="S28" s="165"/>
    </row>
    <row r="29" spans="1:19">
      <c r="A29" s="164"/>
      <c r="B29" s="640"/>
      <c r="C29" s="641" t="s">
        <v>406</v>
      </c>
      <c r="D29" s="642"/>
      <c r="E29" s="643"/>
      <c r="F29" s="193"/>
      <c r="G29" s="193"/>
      <c r="H29" s="193"/>
      <c r="I29" s="193"/>
      <c r="J29" s="193"/>
      <c r="K29" s="193"/>
      <c r="L29" s="193"/>
      <c r="M29" s="193"/>
      <c r="N29" s="193"/>
      <c r="O29" s="193"/>
      <c r="P29" s="644"/>
      <c r="Q29" s="645"/>
      <c r="R29" s="646"/>
      <c r="S29" s="165"/>
    </row>
    <row r="30" spans="1:19">
      <c r="A30" s="164"/>
      <c r="B30" s="640"/>
      <c r="C30" s="647" t="s">
        <v>407</v>
      </c>
      <c r="D30" s="648"/>
      <c r="E30" s="649"/>
      <c r="F30" s="191">
        <v>0</v>
      </c>
      <c r="G30" s="191">
        <v>0</v>
      </c>
      <c r="H30" s="191">
        <v>0</v>
      </c>
      <c r="I30" s="191">
        <v>0</v>
      </c>
      <c r="J30" s="191">
        <v>0</v>
      </c>
      <c r="K30" s="191">
        <v>0</v>
      </c>
      <c r="L30" s="191">
        <v>0</v>
      </c>
      <c r="M30" s="191">
        <v>0</v>
      </c>
      <c r="N30" s="191">
        <v>0</v>
      </c>
      <c r="O30" s="191">
        <v>0</v>
      </c>
      <c r="P30" s="650" t="s">
        <v>402</v>
      </c>
      <c r="Q30" s="650"/>
      <c r="R30" s="651"/>
      <c r="S30" s="165"/>
    </row>
    <row r="31" spans="1:19">
      <c r="A31" s="164"/>
      <c r="B31" s="657" t="s">
        <v>408</v>
      </c>
      <c r="C31" s="658"/>
      <c r="D31" s="658"/>
      <c r="E31" s="659"/>
      <c r="F31" s="192">
        <v>0</v>
      </c>
      <c r="G31" s="192">
        <v>0</v>
      </c>
      <c r="H31" s="192">
        <v>0</v>
      </c>
      <c r="I31" s="192">
        <v>0</v>
      </c>
      <c r="J31" s="192">
        <v>0</v>
      </c>
      <c r="K31" s="192">
        <v>0</v>
      </c>
      <c r="L31" s="192">
        <v>0</v>
      </c>
      <c r="M31" s="192">
        <v>0</v>
      </c>
      <c r="N31" s="192">
        <v>0</v>
      </c>
      <c r="O31" s="192">
        <v>0</v>
      </c>
      <c r="P31" s="644"/>
      <c r="Q31" s="645"/>
      <c r="R31" s="646"/>
      <c r="S31" s="165"/>
    </row>
    <row r="32" spans="1:19" ht="18" thickBot="1">
      <c r="A32" s="164"/>
      <c r="B32" s="633" t="s">
        <v>409</v>
      </c>
      <c r="C32" s="634"/>
      <c r="D32" s="634"/>
      <c r="E32" s="635"/>
      <c r="F32" s="194">
        <v>10706818397.165844</v>
      </c>
      <c r="G32" s="194">
        <v>9464639750.3959141</v>
      </c>
      <c r="H32" s="194">
        <v>8894595314.9762402</v>
      </c>
      <c r="I32" s="194">
        <v>8799115731.8989601</v>
      </c>
      <c r="J32" s="194">
        <v>8679649093.227808</v>
      </c>
      <c r="K32" s="194">
        <v>8585304479.9029408</v>
      </c>
      <c r="L32" s="194">
        <v>8644379993.3296776</v>
      </c>
      <c r="M32" s="194">
        <v>0</v>
      </c>
      <c r="N32" s="194">
        <v>0</v>
      </c>
      <c r="O32" s="194">
        <v>0</v>
      </c>
      <c r="P32" s="636"/>
      <c r="Q32" s="637"/>
      <c r="R32" s="638"/>
      <c r="S32" s="165"/>
    </row>
  </sheetData>
  <mergeCells count="47">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D25:E25"/>
    <mergeCell ref="P25:R25"/>
    <mergeCell ref="D26:E26"/>
    <mergeCell ref="P26:R26"/>
    <mergeCell ref="B31:E31"/>
    <mergeCell ref="P31:R31"/>
    <mergeCell ref="B32:E32"/>
    <mergeCell ref="P32:R32"/>
    <mergeCell ref="B28:B30"/>
    <mergeCell ref="C28:E28"/>
    <mergeCell ref="P28:R28"/>
    <mergeCell ref="C29:E29"/>
    <mergeCell ref="P29:R29"/>
    <mergeCell ref="C30:E30"/>
    <mergeCell ref="P30:R30"/>
  </mergeCells>
  <phoneticPr fontId="1" type="noConversion"/>
  <hyperlinks>
    <hyperlink ref="A1" location="목차!A1" display="H"/>
    <hyperlink ref="A4" location="HOME!A1" display="HOME"/>
  </hyperlink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3_Sheet">
    <tabColor theme="4" tint="0.59999389629810485"/>
  </sheetPr>
  <dimension ref="A1:M11"/>
  <sheetViews>
    <sheetView zoomScale="70" zoomScaleNormal="70" workbookViewId="0"/>
  </sheetViews>
  <sheetFormatPr defaultRowHeight="17.399999999999999"/>
  <cols>
    <col min="1" max="1" width="9.09765625" customWidth="1"/>
    <col min="2" max="2" width="19.09765625" bestFit="1" customWidth="1"/>
    <col min="4" max="7" width="16.59765625" bestFit="1" customWidth="1"/>
    <col min="8" max="10" width="17.8984375" bestFit="1" customWidth="1"/>
    <col min="11" max="12" width="4" bestFit="1" customWidth="1"/>
    <col min="13" max="13" width="13.5" bestFit="1" customWidth="1"/>
  </cols>
  <sheetData>
    <row r="1" spans="1:13" ht="27.6">
      <c r="A1" s="70" t="s">
        <v>279</v>
      </c>
      <c r="B1" s="169"/>
      <c r="C1" s="169"/>
      <c r="D1" s="169"/>
      <c r="E1" s="169"/>
      <c r="F1" s="169"/>
      <c r="G1" s="169"/>
      <c r="H1" s="169"/>
      <c r="I1" s="164"/>
      <c r="J1" s="164"/>
      <c r="K1" s="164"/>
      <c r="L1" s="164"/>
      <c r="M1" s="1"/>
    </row>
    <row r="2" spans="1:13" ht="27.6">
      <c r="A2" s="168"/>
      <c r="B2" s="168" t="s">
        <v>971</v>
      </c>
      <c r="C2" s="169"/>
      <c r="D2" s="195" t="s">
        <v>411</v>
      </c>
      <c r="E2" s="196"/>
      <c r="F2" s="197"/>
      <c r="G2" s="1"/>
      <c r="H2" s="169"/>
      <c r="I2" s="164"/>
      <c r="J2" s="164"/>
      <c r="K2" s="164"/>
      <c r="L2" s="164"/>
      <c r="M2" s="1"/>
    </row>
    <row r="3" spans="1:13" ht="27.6">
      <c r="A3" s="164"/>
      <c r="B3" s="164" t="s">
        <v>412</v>
      </c>
      <c r="C3" s="169"/>
      <c r="D3" s="198">
        <f>'[1]1. 사업성분석'!O22</f>
        <v>498234354.72102785</v>
      </c>
      <c r="E3" s="199"/>
      <c r="F3" s="199"/>
      <c r="G3" s="1"/>
      <c r="H3" s="169"/>
      <c r="I3" s="164"/>
      <c r="J3" s="164"/>
      <c r="K3" s="164"/>
      <c r="L3" s="164"/>
      <c r="M3" s="1"/>
    </row>
    <row r="4" spans="1:13" ht="28.2" thickBot="1">
      <c r="A4" s="164"/>
      <c r="B4" s="169"/>
      <c r="C4" s="164"/>
      <c r="D4" s="166"/>
      <c r="E4" s="166"/>
      <c r="F4" s="166"/>
      <c r="G4" s="166"/>
      <c r="H4" s="166"/>
      <c r="I4" s="166"/>
      <c r="J4" s="166"/>
      <c r="K4" s="166"/>
      <c r="L4" s="164"/>
      <c r="M4" s="164" t="s">
        <v>371</v>
      </c>
    </row>
    <row r="5" spans="1:13">
      <c r="A5" s="164"/>
      <c r="B5" s="712" t="s">
        <v>413</v>
      </c>
      <c r="C5" s="713"/>
      <c r="D5" s="200" t="s">
        <v>374</v>
      </c>
      <c r="E5" s="200" t="s">
        <v>414</v>
      </c>
      <c r="F5" s="200" t="s">
        <v>232</v>
      </c>
      <c r="G5" s="200" t="s">
        <v>233</v>
      </c>
      <c r="H5" s="200" t="s">
        <v>234</v>
      </c>
      <c r="I5" s="200" t="s">
        <v>235</v>
      </c>
      <c r="J5" s="200" t="s">
        <v>236</v>
      </c>
      <c r="K5" s="200" t="s">
        <v>237</v>
      </c>
      <c r="L5" s="200" t="s">
        <v>238</v>
      </c>
      <c r="M5" s="200" t="s">
        <v>239</v>
      </c>
    </row>
    <row r="6" spans="1:13">
      <c r="A6" s="164"/>
      <c r="B6" s="710" t="s">
        <v>415</v>
      </c>
      <c r="C6" s="711"/>
      <c r="D6" s="201">
        <v>9019106624.3946362</v>
      </c>
      <c r="E6" s="201">
        <v>9023965136.2305756</v>
      </c>
      <c r="F6" s="201">
        <v>9400891814.3633423</v>
      </c>
      <c r="G6" s="201">
        <v>9793638329.3883438</v>
      </c>
      <c r="H6" s="201">
        <v>10202848627.551321</v>
      </c>
      <c r="I6" s="201">
        <v>10629191588.981571</v>
      </c>
      <c r="J6" s="201">
        <v>11077476197.04537</v>
      </c>
      <c r="K6" s="202">
        <v>0</v>
      </c>
      <c r="L6" s="203"/>
      <c r="M6" s="203"/>
    </row>
    <row r="7" spans="1:13">
      <c r="A7" s="164"/>
      <c r="B7" s="714" t="s">
        <v>410</v>
      </c>
      <c r="C7" s="715"/>
      <c r="D7" s="204"/>
      <c r="E7" s="204">
        <v>0</v>
      </c>
      <c r="F7" s="204">
        <v>0</v>
      </c>
      <c r="G7" s="204">
        <v>0</v>
      </c>
      <c r="H7" s="204">
        <v>0</v>
      </c>
      <c r="I7" s="204">
        <v>0</v>
      </c>
      <c r="J7" s="204">
        <v>0</v>
      </c>
      <c r="K7" s="204">
        <v>0</v>
      </c>
      <c r="L7" s="203"/>
      <c r="M7" s="203"/>
    </row>
    <row r="8" spans="1:13">
      <c r="A8" s="164"/>
      <c r="B8" s="710" t="s">
        <v>416</v>
      </c>
      <c r="C8" s="711"/>
      <c r="D8" s="202"/>
      <c r="E8" s="203"/>
      <c r="F8" s="203"/>
      <c r="G8" s="203"/>
      <c r="H8" s="203"/>
      <c r="I8" s="203"/>
      <c r="J8" s="203"/>
      <c r="K8" s="203"/>
      <c r="L8" s="203"/>
      <c r="M8" s="203"/>
    </row>
    <row r="9" spans="1:13">
      <c r="A9" s="164"/>
      <c r="B9" s="710" t="s">
        <v>417</v>
      </c>
      <c r="C9" s="711"/>
      <c r="D9" s="202"/>
      <c r="E9" s="203"/>
      <c r="F9" s="203"/>
      <c r="G9" s="203"/>
      <c r="H9" s="203"/>
      <c r="I9" s="203"/>
      <c r="J9" s="203"/>
      <c r="K9" s="203"/>
      <c r="L9" s="203"/>
      <c r="M9" s="203"/>
    </row>
    <row r="10" spans="1:13">
      <c r="A10" s="164"/>
      <c r="B10" s="710" t="s">
        <v>418</v>
      </c>
      <c r="C10" s="711"/>
      <c r="D10" s="202"/>
      <c r="E10" s="203"/>
      <c r="F10" s="203"/>
      <c r="G10" s="203"/>
      <c r="H10" s="203"/>
      <c r="I10" s="203"/>
      <c r="J10" s="203"/>
      <c r="K10" s="203"/>
      <c r="L10" s="203"/>
      <c r="M10" s="203"/>
    </row>
    <row r="11" spans="1:13" ht="18" thickBot="1">
      <c r="A11" s="164"/>
      <c r="B11" s="708" t="s">
        <v>419</v>
      </c>
      <c r="C11" s="709"/>
      <c r="D11" s="205">
        <v>9019106624.3946362</v>
      </c>
      <c r="E11" s="205">
        <v>9023965136.2305756</v>
      </c>
      <c r="F11" s="205">
        <v>9400891814.3633423</v>
      </c>
      <c r="G11" s="205">
        <v>9793638329.3883438</v>
      </c>
      <c r="H11" s="205">
        <v>10202848627.551321</v>
      </c>
      <c r="I11" s="205">
        <v>10629191588.981571</v>
      </c>
      <c r="J11" s="205">
        <v>11077476197.04537</v>
      </c>
      <c r="K11" s="205">
        <v>0</v>
      </c>
      <c r="L11" s="205">
        <v>0</v>
      </c>
      <c r="M11" s="205">
        <v>0</v>
      </c>
    </row>
  </sheetData>
  <mergeCells count="7">
    <mergeCell ref="B11:C11"/>
    <mergeCell ref="B6:C6"/>
    <mergeCell ref="B5:C5"/>
    <mergeCell ref="B7:C7"/>
    <mergeCell ref="B8:C8"/>
    <mergeCell ref="B9:C9"/>
    <mergeCell ref="B10:C10"/>
  </mergeCells>
  <phoneticPr fontId="1" type="noConversion"/>
  <dataValidations count="1">
    <dataValidation type="list" allowBlank="1" showInputMessage="1" showErrorMessage="1" sqref="B7:C7">
      <formula1>"Case 0, Case 1, Case 2, Case 3"</formula1>
    </dataValidation>
  </dataValidations>
  <hyperlinks>
    <hyperlink ref="A1" location="HOME!A1" display="HOME"/>
  </hyperlink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4_Sheet">
    <tabColor theme="4" tint="0.59999389629810485"/>
  </sheetPr>
  <dimension ref="A1:W114"/>
  <sheetViews>
    <sheetView zoomScale="70" zoomScaleNormal="70" workbookViewId="0"/>
  </sheetViews>
  <sheetFormatPr defaultColWidth="8.8984375" defaultRowHeight="17.399999999999999"/>
  <cols>
    <col min="1" max="1" width="10.09765625" style="164" customWidth="1"/>
    <col min="2" max="2" width="13.3984375" style="1" customWidth="1"/>
    <col min="3" max="3" width="31.3984375" style="1" customWidth="1"/>
    <col min="4" max="5" width="15.59765625" style="1" bestFit="1" customWidth="1"/>
    <col min="6" max="7" width="13.19921875" style="1" customWidth="1"/>
    <col min="8" max="8" width="13.09765625" style="1" customWidth="1"/>
    <col min="9" max="9" width="13.3984375" style="1" customWidth="1"/>
    <col min="10" max="10" width="13.8984375" style="1" customWidth="1"/>
    <col min="11" max="11" width="13.69921875" style="1" customWidth="1"/>
    <col min="12" max="12" width="11.59765625" style="1" customWidth="1"/>
    <col min="13" max="13" width="13.3984375" style="1" customWidth="1"/>
    <col min="14" max="14" width="13.19921875" style="1" customWidth="1"/>
    <col min="15" max="16" width="10.19921875" style="1" customWidth="1"/>
    <col min="17" max="17" width="8.8984375" style="1"/>
    <col min="18" max="20" width="10.3984375" style="1" bestFit="1" customWidth="1"/>
    <col min="21" max="21" width="9.3984375" style="1" bestFit="1" customWidth="1"/>
    <col min="22" max="256" width="8.8984375" style="1"/>
    <col min="257" max="257" width="5" style="1" bestFit="1" customWidth="1"/>
    <col min="258" max="258" width="13.3984375" style="1" customWidth="1"/>
    <col min="259" max="259" width="31.3984375" style="1" customWidth="1"/>
    <col min="260" max="261" width="13.69921875" style="1" bestFit="1" customWidth="1"/>
    <col min="262" max="263" width="13.19921875" style="1" customWidth="1"/>
    <col min="264" max="264" width="13.09765625" style="1" customWidth="1"/>
    <col min="265" max="265" width="13.3984375" style="1" customWidth="1"/>
    <col min="266" max="266" width="13.8984375" style="1" customWidth="1"/>
    <col min="267" max="267" width="13.69921875" style="1" customWidth="1"/>
    <col min="268" max="268" width="11.59765625" style="1" customWidth="1"/>
    <col min="269" max="269" width="13.3984375" style="1" customWidth="1"/>
    <col min="270" max="270" width="13.19921875" style="1" customWidth="1"/>
    <col min="271" max="272" width="10.19921875" style="1" customWidth="1"/>
    <col min="273" max="273" width="8.8984375" style="1"/>
    <col min="274" max="276" width="10.3984375" style="1" bestFit="1" customWidth="1"/>
    <col min="277" max="277" width="9.3984375" style="1" bestFit="1" customWidth="1"/>
    <col min="278" max="512" width="8.8984375" style="1"/>
    <col min="513" max="513" width="5" style="1" bestFit="1" customWidth="1"/>
    <col min="514" max="514" width="13.3984375" style="1" customWidth="1"/>
    <col min="515" max="515" width="31.3984375" style="1" customWidth="1"/>
    <col min="516" max="517" width="13.69921875" style="1" bestFit="1" customWidth="1"/>
    <col min="518" max="519" width="13.19921875" style="1" customWidth="1"/>
    <col min="520" max="520" width="13.09765625" style="1" customWidth="1"/>
    <col min="521" max="521" width="13.3984375" style="1" customWidth="1"/>
    <col min="522" max="522" width="13.8984375" style="1" customWidth="1"/>
    <col min="523" max="523" width="13.69921875" style="1" customWidth="1"/>
    <col min="524" max="524" width="11.59765625" style="1" customWidth="1"/>
    <col min="525" max="525" width="13.3984375" style="1" customWidth="1"/>
    <col min="526" max="526" width="13.19921875" style="1" customWidth="1"/>
    <col min="527" max="528" width="10.19921875" style="1" customWidth="1"/>
    <col min="529" max="529" width="8.8984375" style="1"/>
    <col min="530" max="532" width="10.3984375" style="1" bestFit="1" customWidth="1"/>
    <col min="533" max="533" width="9.3984375" style="1" bestFit="1" customWidth="1"/>
    <col min="534" max="768" width="8.8984375" style="1"/>
    <col min="769" max="769" width="5" style="1" bestFit="1" customWidth="1"/>
    <col min="770" max="770" width="13.3984375" style="1" customWidth="1"/>
    <col min="771" max="771" width="31.3984375" style="1" customWidth="1"/>
    <col min="772" max="773" width="13.69921875" style="1" bestFit="1" customWidth="1"/>
    <col min="774" max="775" width="13.19921875" style="1" customWidth="1"/>
    <col min="776" max="776" width="13.09765625" style="1" customWidth="1"/>
    <col min="777" max="777" width="13.3984375" style="1" customWidth="1"/>
    <col min="778" max="778" width="13.8984375" style="1" customWidth="1"/>
    <col min="779" max="779" width="13.69921875" style="1" customWidth="1"/>
    <col min="780" max="780" width="11.59765625" style="1" customWidth="1"/>
    <col min="781" max="781" width="13.3984375" style="1" customWidth="1"/>
    <col min="782" max="782" width="13.19921875" style="1" customWidth="1"/>
    <col min="783" max="784" width="10.19921875" style="1" customWidth="1"/>
    <col min="785" max="785" width="8.8984375" style="1"/>
    <col min="786" max="788" width="10.3984375" style="1" bestFit="1" customWidth="1"/>
    <col min="789" max="789" width="9.3984375" style="1" bestFit="1" customWidth="1"/>
    <col min="790" max="1024" width="8.8984375" style="1"/>
    <col min="1025" max="1025" width="5" style="1" bestFit="1" customWidth="1"/>
    <col min="1026" max="1026" width="13.3984375" style="1" customWidth="1"/>
    <col min="1027" max="1027" width="31.3984375" style="1" customWidth="1"/>
    <col min="1028" max="1029" width="13.69921875" style="1" bestFit="1" customWidth="1"/>
    <col min="1030" max="1031" width="13.19921875" style="1" customWidth="1"/>
    <col min="1032" max="1032" width="13.09765625" style="1" customWidth="1"/>
    <col min="1033" max="1033" width="13.3984375" style="1" customWidth="1"/>
    <col min="1034" max="1034" width="13.8984375" style="1" customWidth="1"/>
    <col min="1035" max="1035" width="13.69921875" style="1" customWidth="1"/>
    <col min="1036" max="1036" width="11.59765625" style="1" customWidth="1"/>
    <col min="1037" max="1037" width="13.3984375" style="1" customWidth="1"/>
    <col min="1038" max="1038" width="13.19921875" style="1" customWidth="1"/>
    <col min="1039" max="1040" width="10.19921875" style="1" customWidth="1"/>
    <col min="1041" max="1041" width="8.8984375" style="1"/>
    <col min="1042" max="1044" width="10.3984375" style="1" bestFit="1" customWidth="1"/>
    <col min="1045" max="1045" width="9.3984375" style="1" bestFit="1" customWidth="1"/>
    <col min="1046" max="1280" width="8.8984375" style="1"/>
    <col min="1281" max="1281" width="5" style="1" bestFit="1" customWidth="1"/>
    <col min="1282" max="1282" width="13.3984375" style="1" customWidth="1"/>
    <col min="1283" max="1283" width="31.3984375" style="1" customWidth="1"/>
    <col min="1284" max="1285" width="13.69921875" style="1" bestFit="1" customWidth="1"/>
    <col min="1286" max="1287" width="13.19921875" style="1" customWidth="1"/>
    <col min="1288" max="1288" width="13.09765625" style="1" customWidth="1"/>
    <col min="1289" max="1289" width="13.3984375" style="1" customWidth="1"/>
    <col min="1290" max="1290" width="13.8984375" style="1" customWidth="1"/>
    <col min="1291" max="1291" width="13.69921875" style="1" customWidth="1"/>
    <col min="1292" max="1292" width="11.59765625" style="1" customWidth="1"/>
    <col min="1293" max="1293" width="13.3984375" style="1" customWidth="1"/>
    <col min="1294" max="1294" width="13.19921875" style="1" customWidth="1"/>
    <col min="1295" max="1296" width="10.19921875" style="1" customWidth="1"/>
    <col min="1297" max="1297" width="8.8984375" style="1"/>
    <col min="1298" max="1300" width="10.3984375" style="1" bestFit="1" customWidth="1"/>
    <col min="1301" max="1301" width="9.3984375" style="1" bestFit="1" customWidth="1"/>
    <col min="1302" max="1536" width="8.8984375" style="1"/>
    <col min="1537" max="1537" width="5" style="1" bestFit="1" customWidth="1"/>
    <col min="1538" max="1538" width="13.3984375" style="1" customWidth="1"/>
    <col min="1539" max="1539" width="31.3984375" style="1" customWidth="1"/>
    <col min="1540" max="1541" width="13.69921875" style="1" bestFit="1" customWidth="1"/>
    <col min="1542" max="1543" width="13.19921875" style="1" customWidth="1"/>
    <col min="1544" max="1544" width="13.09765625" style="1" customWidth="1"/>
    <col min="1545" max="1545" width="13.3984375" style="1" customWidth="1"/>
    <col min="1546" max="1546" width="13.8984375" style="1" customWidth="1"/>
    <col min="1547" max="1547" width="13.69921875" style="1" customWidth="1"/>
    <col min="1548" max="1548" width="11.59765625" style="1" customWidth="1"/>
    <col min="1549" max="1549" width="13.3984375" style="1" customWidth="1"/>
    <col min="1550" max="1550" width="13.19921875" style="1" customWidth="1"/>
    <col min="1551" max="1552" width="10.19921875" style="1" customWidth="1"/>
    <col min="1553" max="1553" width="8.8984375" style="1"/>
    <col min="1554" max="1556" width="10.3984375" style="1" bestFit="1" customWidth="1"/>
    <col min="1557" max="1557" width="9.3984375" style="1" bestFit="1" customWidth="1"/>
    <col min="1558" max="1792" width="8.8984375" style="1"/>
    <col min="1793" max="1793" width="5" style="1" bestFit="1" customWidth="1"/>
    <col min="1794" max="1794" width="13.3984375" style="1" customWidth="1"/>
    <col min="1795" max="1795" width="31.3984375" style="1" customWidth="1"/>
    <col min="1796" max="1797" width="13.69921875" style="1" bestFit="1" customWidth="1"/>
    <col min="1798" max="1799" width="13.19921875" style="1" customWidth="1"/>
    <col min="1800" max="1800" width="13.09765625" style="1" customWidth="1"/>
    <col min="1801" max="1801" width="13.3984375" style="1" customWidth="1"/>
    <col min="1802" max="1802" width="13.8984375" style="1" customWidth="1"/>
    <col min="1803" max="1803" width="13.69921875" style="1" customWidth="1"/>
    <col min="1804" max="1804" width="11.59765625" style="1" customWidth="1"/>
    <col min="1805" max="1805" width="13.3984375" style="1" customWidth="1"/>
    <col min="1806" max="1806" width="13.19921875" style="1" customWidth="1"/>
    <col min="1807" max="1808" width="10.19921875" style="1" customWidth="1"/>
    <col min="1809" max="1809" width="8.8984375" style="1"/>
    <col min="1810" max="1812" width="10.3984375" style="1" bestFit="1" customWidth="1"/>
    <col min="1813" max="1813" width="9.3984375" style="1" bestFit="1" customWidth="1"/>
    <col min="1814" max="2048" width="8.8984375" style="1"/>
    <col min="2049" max="2049" width="5" style="1" bestFit="1" customWidth="1"/>
    <col min="2050" max="2050" width="13.3984375" style="1" customWidth="1"/>
    <col min="2051" max="2051" width="31.3984375" style="1" customWidth="1"/>
    <col min="2052" max="2053" width="13.69921875" style="1" bestFit="1" customWidth="1"/>
    <col min="2054" max="2055" width="13.19921875" style="1" customWidth="1"/>
    <col min="2056" max="2056" width="13.09765625" style="1" customWidth="1"/>
    <col min="2057" max="2057" width="13.3984375" style="1" customWidth="1"/>
    <col min="2058" max="2058" width="13.8984375" style="1" customWidth="1"/>
    <col min="2059" max="2059" width="13.69921875" style="1" customWidth="1"/>
    <col min="2060" max="2060" width="11.59765625" style="1" customWidth="1"/>
    <col min="2061" max="2061" width="13.3984375" style="1" customWidth="1"/>
    <col min="2062" max="2062" width="13.19921875" style="1" customWidth="1"/>
    <col min="2063" max="2064" width="10.19921875" style="1" customWidth="1"/>
    <col min="2065" max="2065" width="8.8984375" style="1"/>
    <col min="2066" max="2068" width="10.3984375" style="1" bestFit="1" customWidth="1"/>
    <col min="2069" max="2069" width="9.3984375" style="1" bestFit="1" customWidth="1"/>
    <col min="2070" max="2304" width="8.8984375" style="1"/>
    <col min="2305" max="2305" width="5" style="1" bestFit="1" customWidth="1"/>
    <col min="2306" max="2306" width="13.3984375" style="1" customWidth="1"/>
    <col min="2307" max="2307" width="31.3984375" style="1" customWidth="1"/>
    <col min="2308" max="2309" width="13.69921875" style="1" bestFit="1" customWidth="1"/>
    <col min="2310" max="2311" width="13.19921875" style="1" customWidth="1"/>
    <col min="2312" max="2312" width="13.09765625" style="1" customWidth="1"/>
    <col min="2313" max="2313" width="13.3984375" style="1" customWidth="1"/>
    <col min="2314" max="2314" width="13.8984375" style="1" customWidth="1"/>
    <col min="2315" max="2315" width="13.69921875" style="1" customWidth="1"/>
    <col min="2316" max="2316" width="11.59765625" style="1" customWidth="1"/>
    <col min="2317" max="2317" width="13.3984375" style="1" customWidth="1"/>
    <col min="2318" max="2318" width="13.19921875" style="1" customWidth="1"/>
    <col min="2319" max="2320" width="10.19921875" style="1" customWidth="1"/>
    <col min="2321" max="2321" width="8.8984375" style="1"/>
    <col min="2322" max="2324" width="10.3984375" style="1" bestFit="1" customWidth="1"/>
    <col min="2325" max="2325" width="9.3984375" style="1" bestFit="1" customWidth="1"/>
    <col min="2326" max="2560" width="8.8984375" style="1"/>
    <col min="2561" max="2561" width="5" style="1" bestFit="1" customWidth="1"/>
    <col min="2562" max="2562" width="13.3984375" style="1" customWidth="1"/>
    <col min="2563" max="2563" width="31.3984375" style="1" customWidth="1"/>
    <col min="2564" max="2565" width="13.69921875" style="1" bestFit="1" customWidth="1"/>
    <col min="2566" max="2567" width="13.19921875" style="1" customWidth="1"/>
    <col min="2568" max="2568" width="13.09765625" style="1" customWidth="1"/>
    <col min="2569" max="2569" width="13.3984375" style="1" customWidth="1"/>
    <col min="2570" max="2570" width="13.8984375" style="1" customWidth="1"/>
    <col min="2571" max="2571" width="13.69921875" style="1" customWidth="1"/>
    <col min="2572" max="2572" width="11.59765625" style="1" customWidth="1"/>
    <col min="2573" max="2573" width="13.3984375" style="1" customWidth="1"/>
    <col min="2574" max="2574" width="13.19921875" style="1" customWidth="1"/>
    <col min="2575" max="2576" width="10.19921875" style="1" customWidth="1"/>
    <col min="2577" max="2577" width="8.8984375" style="1"/>
    <col min="2578" max="2580" width="10.3984375" style="1" bestFit="1" customWidth="1"/>
    <col min="2581" max="2581" width="9.3984375" style="1" bestFit="1" customWidth="1"/>
    <col min="2582" max="2816" width="8.8984375" style="1"/>
    <col min="2817" max="2817" width="5" style="1" bestFit="1" customWidth="1"/>
    <col min="2818" max="2818" width="13.3984375" style="1" customWidth="1"/>
    <col min="2819" max="2819" width="31.3984375" style="1" customWidth="1"/>
    <col min="2820" max="2821" width="13.69921875" style="1" bestFit="1" customWidth="1"/>
    <col min="2822" max="2823" width="13.19921875" style="1" customWidth="1"/>
    <col min="2824" max="2824" width="13.09765625" style="1" customWidth="1"/>
    <col min="2825" max="2825" width="13.3984375" style="1" customWidth="1"/>
    <col min="2826" max="2826" width="13.8984375" style="1" customWidth="1"/>
    <col min="2827" max="2827" width="13.69921875" style="1" customWidth="1"/>
    <col min="2828" max="2828" width="11.59765625" style="1" customWidth="1"/>
    <col min="2829" max="2829" width="13.3984375" style="1" customWidth="1"/>
    <col min="2830" max="2830" width="13.19921875" style="1" customWidth="1"/>
    <col min="2831" max="2832" width="10.19921875" style="1" customWidth="1"/>
    <col min="2833" max="2833" width="8.8984375" style="1"/>
    <col min="2834" max="2836" width="10.3984375" style="1" bestFit="1" customWidth="1"/>
    <col min="2837" max="2837" width="9.3984375" style="1" bestFit="1" customWidth="1"/>
    <col min="2838" max="3072" width="8.8984375" style="1"/>
    <col min="3073" max="3073" width="5" style="1" bestFit="1" customWidth="1"/>
    <col min="3074" max="3074" width="13.3984375" style="1" customWidth="1"/>
    <col min="3075" max="3075" width="31.3984375" style="1" customWidth="1"/>
    <col min="3076" max="3077" width="13.69921875" style="1" bestFit="1" customWidth="1"/>
    <col min="3078" max="3079" width="13.19921875" style="1" customWidth="1"/>
    <col min="3080" max="3080" width="13.09765625" style="1" customWidth="1"/>
    <col min="3081" max="3081" width="13.3984375" style="1" customWidth="1"/>
    <col min="3082" max="3082" width="13.8984375" style="1" customWidth="1"/>
    <col min="3083" max="3083" width="13.69921875" style="1" customWidth="1"/>
    <col min="3084" max="3084" width="11.59765625" style="1" customWidth="1"/>
    <col min="3085" max="3085" width="13.3984375" style="1" customWidth="1"/>
    <col min="3086" max="3086" width="13.19921875" style="1" customWidth="1"/>
    <col min="3087" max="3088" width="10.19921875" style="1" customWidth="1"/>
    <col min="3089" max="3089" width="8.8984375" style="1"/>
    <col min="3090" max="3092" width="10.3984375" style="1" bestFit="1" customWidth="1"/>
    <col min="3093" max="3093" width="9.3984375" style="1" bestFit="1" customWidth="1"/>
    <col min="3094" max="3328" width="8.8984375" style="1"/>
    <col min="3329" max="3329" width="5" style="1" bestFit="1" customWidth="1"/>
    <col min="3330" max="3330" width="13.3984375" style="1" customWidth="1"/>
    <col min="3331" max="3331" width="31.3984375" style="1" customWidth="1"/>
    <col min="3332" max="3333" width="13.69921875" style="1" bestFit="1" customWidth="1"/>
    <col min="3334" max="3335" width="13.19921875" style="1" customWidth="1"/>
    <col min="3336" max="3336" width="13.09765625" style="1" customWidth="1"/>
    <col min="3337" max="3337" width="13.3984375" style="1" customWidth="1"/>
    <col min="3338" max="3338" width="13.8984375" style="1" customWidth="1"/>
    <col min="3339" max="3339" width="13.69921875" style="1" customWidth="1"/>
    <col min="3340" max="3340" width="11.59765625" style="1" customWidth="1"/>
    <col min="3341" max="3341" width="13.3984375" style="1" customWidth="1"/>
    <col min="3342" max="3342" width="13.19921875" style="1" customWidth="1"/>
    <col min="3343" max="3344" width="10.19921875" style="1" customWidth="1"/>
    <col min="3345" max="3345" width="8.8984375" style="1"/>
    <col min="3346" max="3348" width="10.3984375" style="1" bestFit="1" customWidth="1"/>
    <col min="3349" max="3349" width="9.3984375" style="1" bestFit="1" customWidth="1"/>
    <col min="3350" max="3584" width="8.8984375" style="1"/>
    <col min="3585" max="3585" width="5" style="1" bestFit="1" customWidth="1"/>
    <col min="3586" max="3586" width="13.3984375" style="1" customWidth="1"/>
    <col min="3587" max="3587" width="31.3984375" style="1" customWidth="1"/>
    <col min="3588" max="3589" width="13.69921875" style="1" bestFit="1" customWidth="1"/>
    <col min="3590" max="3591" width="13.19921875" style="1" customWidth="1"/>
    <col min="3592" max="3592" width="13.09765625" style="1" customWidth="1"/>
    <col min="3593" max="3593" width="13.3984375" style="1" customWidth="1"/>
    <col min="3594" max="3594" width="13.8984375" style="1" customWidth="1"/>
    <col min="3595" max="3595" width="13.69921875" style="1" customWidth="1"/>
    <col min="3596" max="3596" width="11.59765625" style="1" customWidth="1"/>
    <col min="3597" max="3597" width="13.3984375" style="1" customWidth="1"/>
    <col min="3598" max="3598" width="13.19921875" style="1" customWidth="1"/>
    <col min="3599" max="3600" width="10.19921875" style="1" customWidth="1"/>
    <col min="3601" max="3601" width="8.8984375" style="1"/>
    <col min="3602" max="3604" width="10.3984375" style="1" bestFit="1" customWidth="1"/>
    <col min="3605" max="3605" width="9.3984375" style="1" bestFit="1" customWidth="1"/>
    <col min="3606" max="3840" width="8.8984375" style="1"/>
    <col min="3841" max="3841" width="5" style="1" bestFit="1" customWidth="1"/>
    <col min="3842" max="3842" width="13.3984375" style="1" customWidth="1"/>
    <col min="3843" max="3843" width="31.3984375" style="1" customWidth="1"/>
    <col min="3844" max="3845" width="13.69921875" style="1" bestFit="1" customWidth="1"/>
    <col min="3846" max="3847" width="13.19921875" style="1" customWidth="1"/>
    <col min="3848" max="3848" width="13.09765625" style="1" customWidth="1"/>
    <col min="3849" max="3849" width="13.3984375" style="1" customWidth="1"/>
    <col min="3850" max="3850" width="13.8984375" style="1" customWidth="1"/>
    <col min="3851" max="3851" width="13.69921875" style="1" customWidth="1"/>
    <col min="3852" max="3852" width="11.59765625" style="1" customWidth="1"/>
    <col min="3853" max="3853" width="13.3984375" style="1" customWidth="1"/>
    <col min="3854" max="3854" width="13.19921875" style="1" customWidth="1"/>
    <col min="3855" max="3856" width="10.19921875" style="1" customWidth="1"/>
    <col min="3857" max="3857" width="8.8984375" style="1"/>
    <col min="3858" max="3860" width="10.3984375" style="1" bestFit="1" customWidth="1"/>
    <col min="3861" max="3861" width="9.3984375" style="1" bestFit="1" customWidth="1"/>
    <col min="3862" max="4096" width="8.8984375" style="1"/>
    <col min="4097" max="4097" width="5" style="1" bestFit="1" customWidth="1"/>
    <col min="4098" max="4098" width="13.3984375" style="1" customWidth="1"/>
    <col min="4099" max="4099" width="31.3984375" style="1" customWidth="1"/>
    <col min="4100" max="4101" width="13.69921875" style="1" bestFit="1" customWidth="1"/>
    <col min="4102" max="4103" width="13.19921875" style="1" customWidth="1"/>
    <col min="4104" max="4104" width="13.09765625" style="1" customWidth="1"/>
    <col min="4105" max="4105" width="13.3984375" style="1" customWidth="1"/>
    <col min="4106" max="4106" width="13.8984375" style="1" customWidth="1"/>
    <col min="4107" max="4107" width="13.69921875" style="1" customWidth="1"/>
    <col min="4108" max="4108" width="11.59765625" style="1" customWidth="1"/>
    <col min="4109" max="4109" width="13.3984375" style="1" customWidth="1"/>
    <col min="4110" max="4110" width="13.19921875" style="1" customWidth="1"/>
    <col min="4111" max="4112" width="10.19921875" style="1" customWidth="1"/>
    <col min="4113" max="4113" width="8.8984375" style="1"/>
    <col min="4114" max="4116" width="10.3984375" style="1" bestFit="1" customWidth="1"/>
    <col min="4117" max="4117" width="9.3984375" style="1" bestFit="1" customWidth="1"/>
    <col min="4118" max="4352" width="8.8984375" style="1"/>
    <col min="4353" max="4353" width="5" style="1" bestFit="1" customWidth="1"/>
    <col min="4354" max="4354" width="13.3984375" style="1" customWidth="1"/>
    <col min="4355" max="4355" width="31.3984375" style="1" customWidth="1"/>
    <col min="4356" max="4357" width="13.69921875" style="1" bestFit="1" customWidth="1"/>
    <col min="4358" max="4359" width="13.19921875" style="1" customWidth="1"/>
    <col min="4360" max="4360" width="13.09765625" style="1" customWidth="1"/>
    <col min="4361" max="4361" width="13.3984375" style="1" customWidth="1"/>
    <col min="4362" max="4362" width="13.8984375" style="1" customWidth="1"/>
    <col min="4363" max="4363" width="13.69921875" style="1" customWidth="1"/>
    <col min="4364" max="4364" width="11.59765625" style="1" customWidth="1"/>
    <col min="4365" max="4365" width="13.3984375" style="1" customWidth="1"/>
    <col min="4366" max="4366" width="13.19921875" style="1" customWidth="1"/>
    <col min="4367" max="4368" width="10.19921875" style="1" customWidth="1"/>
    <col min="4369" max="4369" width="8.8984375" style="1"/>
    <col min="4370" max="4372" width="10.3984375" style="1" bestFit="1" customWidth="1"/>
    <col min="4373" max="4373" width="9.3984375" style="1" bestFit="1" customWidth="1"/>
    <col min="4374" max="4608" width="8.8984375" style="1"/>
    <col min="4609" max="4609" width="5" style="1" bestFit="1" customWidth="1"/>
    <col min="4610" max="4610" width="13.3984375" style="1" customWidth="1"/>
    <col min="4611" max="4611" width="31.3984375" style="1" customWidth="1"/>
    <col min="4612" max="4613" width="13.69921875" style="1" bestFit="1" customWidth="1"/>
    <col min="4614" max="4615" width="13.19921875" style="1" customWidth="1"/>
    <col min="4616" max="4616" width="13.09765625" style="1" customWidth="1"/>
    <col min="4617" max="4617" width="13.3984375" style="1" customWidth="1"/>
    <col min="4618" max="4618" width="13.8984375" style="1" customWidth="1"/>
    <col min="4619" max="4619" width="13.69921875" style="1" customWidth="1"/>
    <col min="4620" max="4620" width="11.59765625" style="1" customWidth="1"/>
    <col min="4621" max="4621" width="13.3984375" style="1" customWidth="1"/>
    <col min="4622" max="4622" width="13.19921875" style="1" customWidth="1"/>
    <col min="4623" max="4624" width="10.19921875" style="1" customWidth="1"/>
    <col min="4625" max="4625" width="8.8984375" style="1"/>
    <col min="4626" max="4628" width="10.3984375" style="1" bestFit="1" customWidth="1"/>
    <col min="4629" max="4629" width="9.3984375" style="1" bestFit="1" customWidth="1"/>
    <col min="4630" max="4864" width="8.8984375" style="1"/>
    <col min="4865" max="4865" width="5" style="1" bestFit="1" customWidth="1"/>
    <col min="4866" max="4866" width="13.3984375" style="1" customWidth="1"/>
    <col min="4867" max="4867" width="31.3984375" style="1" customWidth="1"/>
    <col min="4868" max="4869" width="13.69921875" style="1" bestFit="1" customWidth="1"/>
    <col min="4870" max="4871" width="13.19921875" style="1" customWidth="1"/>
    <col min="4872" max="4872" width="13.09765625" style="1" customWidth="1"/>
    <col min="4873" max="4873" width="13.3984375" style="1" customWidth="1"/>
    <col min="4874" max="4874" width="13.8984375" style="1" customWidth="1"/>
    <col min="4875" max="4875" width="13.69921875" style="1" customWidth="1"/>
    <col min="4876" max="4876" width="11.59765625" style="1" customWidth="1"/>
    <col min="4877" max="4877" width="13.3984375" style="1" customWidth="1"/>
    <col min="4878" max="4878" width="13.19921875" style="1" customWidth="1"/>
    <col min="4879" max="4880" width="10.19921875" style="1" customWidth="1"/>
    <col min="4881" max="4881" width="8.8984375" style="1"/>
    <col min="4882" max="4884" width="10.3984375" style="1" bestFit="1" customWidth="1"/>
    <col min="4885" max="4885" width="9.3984375" style="1" bestFit="1" customWidth="1"/>
    <col min="4886" max="5120" width="8.8984375" style="1"/>
    <col min="5121" max="5121" width="5" style="1" bestFit="1" customWidth="1"/>
    <col min="5122" max="5122" width="13.3984375" style="1" customWidth="1"/>
    <col min="5123" max="5123" width="31.3984375" style="1" customWidth="1"/>
    <col min="5124" max="5125" width="13.69921875" style="1" bestFit="1" customWidth="1"/>
    <col min="5126" max="5127" width="13.19921875" style="1" customWidth="1"/>
    <col min="5128" max="5128" width="13.09765625" style="1" customWidth="1"/>
    <col min="5129" max="5129" width="13.3984375" style="1" customWidth="1"/>
    <col min="5130" max="5130" width="13.8984375" style="1" customWidth="1"/>
    <col min="5131" max="5131" width="13.69921875" style="1" customWidth="1"/>
    <col min="5132" max="5132" width="11.59765625" style="1" customWidth="1"/>
    <col min="5133" max="5133" width="13.3984375" style="1" customWidth="1"/>
    <col min="5134" max="5134" width="13.19921875" style="1" customWidth="1"/>
    <col min="5135" max="5136" width="10.19921875" style="1" customWidth="1"/>
    <col min="5137" max="5137" width="8.8984375" style="1"/>
    <col min="5138" max="5140" width="10.3984375" style="1" bestFit="1" customWidth="1"/>
    <col min="5141" max="5141" width="9.3984375" style="1" bestFit="1" customWidth="1"/>
    <col min="5142" max="5376" width="8.8984375" style="1"/>
    <col min="5377" max="5377" width="5" style="1" bestFit="1" customWidth="1"/>
    <col min="5378" max="5378" width="13.3984375" style="1" customWidth="1"/>
    <col min="5379" max="5379" width="31.3984375" style="1" customWidth="1"/>
    <col min="5380" max="5381" width="13.69921875" style="1" bestFit="1" customWidth="1"/>
    <col min="5382" max="5383" width="13.19921875" style="1" customWidth="1"/>
    <col min="5384" max="5384" width="13.09765625" style="1" customWidth="1"/>
    <col min="5385" max="5385" width="13.3984375" style="1" customWidth="1"/>
    <col min="5386" max="5386" width="13.8984375" style="1" customWidth="1"/>
    <col min="5387" max="5387" width="13.69921875" style="1" customWidth="1"/>
    <col min="5388" max="5388" width="11.59765625" style="1" customWidth="1"/>
    <col min="5389" max="5389" width="13.3984375" style="1" customWidth="1"/>
    <col min="5390" max="5390" width="13.19921875" style="1" customWidth="1"/>
    <col min="5391" max="5392" width="10.19921875" style="1" customWidth="1"/>
    <col min="5393" max="5393" width="8.8984375" style="1"/>
    <col min="5394" max="5396" width="10.3984375" style="1" bestFit="1" customWidth="1"/>
    <col min="5397" max="5397" width="9.3984375" style="1" bestFit="1" customWidth="1"/>
    <col min="5398" max="5632" width="8.8984375" style="1"/>
    <col min="5633" max="5633" width="5" style="1" bestFit="1" customWidth="1"/>
    <col min="5634" max="5634" width="13.3984375" style="1" customWidth="1"/>
    <col min="5635" max="5635" width="31.3984375" style="1" customWidth="1"/>
    <col min="5636" max="5637" width="13.69921875" style="1" bestFit="1" customWidth="1"/>
    <col min="5638" max="5639" width="13.19921875" style="1" customWidth="1"/>
    <col min="5640" max="5640" width="13.09765625" style="1" customWidth="1"/>
    <col min="5641" max="5641" width="13.3984375" style="1" customWidth="1"/>
    <col min="5642" max="5642" width="13.8984375" style="1" customWidth="1"/>
    <col min="5643" max="5643" width="13.69921875" style="1" customWidth="1"/>
    <col min="5644" max="5644" width="11.59765625" style="1" customWidth="1"/>
    <col min="5645" max="5645" width="13.3984375" style="1" customWidth="1"/>
    <col min="5646" max="5646" width="13.19921875" style="1" customWidth="1"/>
    <col min="5647" max="5648" width="10.19921875" style="1" customWidth="1"/>
    <col min="5649" max="5649" width="8.8984375" style="1"/>
    <col min="5650" max="5652" width="10.3984375" style="1" bestFit="1" customWidth="1"/>
    <col min="5653" max="5653" width="9.3984375" style="1" bestFit="1" customWidth="1"/>
    <col min="5654" max="5888" width="8.8984375" style="1"/>
    <col min="5889" max="5889" width="5" style="1" bestFit="1" customWidth="1"/>
    <col min="5890" max="5890" width="13.3984375" style="1" customWidth="1"/>
    <col min="5891" max="5891" width="31.3984375" style="1" customWidth="1"/>
    <col min="5892" max="5893" width="13.69921875" style="1" bestFit="1" customWidth="1"/>
    <col min="5894" max="5895" width="13.19921875" style="1" customWidth="1"/>
    <col min="5896" max="5896" width="13.09765625" style="1" customWidth="1"/>
    <col min="5897" max="5897" width="13.3984375" style="1" customWidth="1"/>
    <col min="5898" max="5898" width="13.8984375" style="1" customWidth="1"/>
    <col min="5899" max="5899" width="13.69921875" style="1" customWidth="1"/>
    <col min="5900" max="5900" width="11.59765625" style="1" customWidth="1"/>
    <col min="5901" max="5901" width="13.3984375" style="1" customWidth="1"/>
    <col min="5902" max="5902" width="13.19921875" style="1" customWidth="1"/>
    <col min="5903" max="5904" width="10.19921875" style="1" customWidth="1"/>
    <col min="5905" max="5905" width="8.8984375" style="1"/>
    <col min="5906" max="5908" width="10.3984375" style="1" bestFit="1" customWidth="1"/>
    <col min="5909" max="5909" width="9.3984375" style="1" bestFit="1" customWidth="1"/>
    <col min="5910" max="6144" width="8.8984375" style="1"/>
    <col min="6145" max="6145" width="5" style="1" bestFit="1" customWidth="1"/>
    <col min="6146" max="6146" width="13.3984375" style="1" customWidth="1"/>
    <col min="6147" max="6147" width="31.3984375" style="1" customWidth="1"/>
    <col min="6148" max="6149" width="13.69921875" style="1" bestFit="1" customWidth="1"/>
    <col min="6150" max="6151" width="13.19921875" style="1" customWidth="1"/>
    <col min="6152" max="6152" width="13.09765625" style="1" customWidth="1"/>
    <col min="6153" max="6153" width="13.3984375" style="1" customWidth="1"/>
    <col min="6154" max="6154" width="13.8984375" style="1" customWidth="1"/>
    <col min="6155" max="6155" width="13.69921875" style="1" customWidth="1"/>
    <col min="6156" max="6156" width="11.59765625" style="1" customWidth="1"/>
    <col min="6157" max="6157" width="13.3984375" style="1" customWidth="1"/>
    <col min="6158" max="6158" width="13.19921875" style="1" customWidth="1"/>
    <col min="6159" max="6160" width="10.19921875" style="1" customWidth="1"/>
    <col min="6161" max="6161" width="8.8984375" style="1"/>
    <col min="6162" max="6164" width="10.3984375" style="1" bestFit="1" customWidth="1"/>
    <col min="6165" max="6165" width="9.3984375" style="1" bestFit="1" customWidth="1"/>
    <col min="6166" max="6400" width="8.8984375" style="1"/>
    <col min="6401" max="6401" width="5" style="1" bestFit="1" customWidth="1"/>
    <col min="6402" max="6402" width="13.3984375" style="1" customWidth="1"/>
    <col min="6403" max="6403" width="31.3984375" style="1" customWidth="1"/>
    <col min="6404" max="6405" width="13.69921875" style="1" bestFit="1" customWidth="1"/>
    <col min="6406" max="6407" width="13.19921875" style="1" customWidth="1"/>
    <col min="6408" max="6408" width="13.09765625" style="1" customWidth="1"/>
    <col min="6409" max="6409" width="13.3984375" style="1" customWidth="1"/>
    <col min="6410" max="6410" width="13.8984375" style="1" customWidth="1"/>
    <col min="6411" max="6411" width="13.69921875" style="1" customWidth="1"/>
    <col min="6412" max="6412" width="11.59765625" style="1" customWidth="1"/>
    <col min="6413" max="6413" width="13.3984375" style="1" customWidth="1"/>
    <col min="6414" max="6414" width="13.19921875" style="1" customWidth="1"/>
    <col min="6415" max="6416" width="10.19921875" style="1" customWidth="1"/>
    <col min="6417" max="6417" width="8.8984375" style="1"/>
    <col min="6418" max="6420" width="10.3984375" style="1" bestFit="1" customWidth="1"/>
    <col min="6421" max="6421" width="9.3984375" style="1" bestFit="1" customWidth="1"/>
    <col min="6422" max="6656" width="8.8984375" style="1"/>
    <col min="6657" max="6657" width="5" style="1" bestFit="1" customWidth="1"/>
    <col min="6658" max="6658" width="13.3984375" style="1" customWidth="1"/>
    <col min="6659" max="6659" width="31.3984375" style="1" customWidth="1"/>
    <col min="6660" max="6661" width="13.69921875" style="1" bestFit="1" customWidth="1"/>
    <col min="6662" max="6663" width="13.19921875" style="1" customWidth="1"/>
    <col min="6664" max="6664" width="13.09765625" style="1" customWidth="1"/>
    <col min="6665" max="6665" width="13.3984375" style="1" customWidth="1"/>
    <col min="6666" max="6666" width="13.8984375" style="1" customWidth="1"/>
    <col min="6667" max="6667" width="13.69921875" style="1" customWidth="1"/>
    <col min="6668" max="6668" width="11.59765625" style="1" customWidth="1"/>
    <col min="6669" max="6669" width="13.3984375" style="1" customWidth="1"/>
    <col min="6670" max="6670" width="13.19921875" style="1" customWidth="1"/>
    <col min="6671" max="6672" width="10.19921875" style="1" customWidth="1"/>
    <col min="6673" max="6673" width="8.8984375" style="1"/>
    <col min="6674" max="6676" width="10.3984375" style="1" bestFit="1" customWidth="1"/>
    <col min="6677" max="6677" width="9.3984375" style="1" bestFit="1" customWidth="1"/>
    <col min="6678" max="6912" width="8.8984375" style="1"/>
    <col min="6913" max="6913" width="5" style="1" bestFit="1" customWidth="1"/>
    <col min="6914" max="6914" width="13.3984375" style="1" customWidth="1"/>
    <col min="6915" max="6915" width="31.3984375" style="1" customWidth="1"/>
    <col min="6916" max="6917" width="13.69921875" style="1" bestFit="1" customWidth="1"/>
    <col min="6918" max="6919" width="13.19921875" style="1" customWidth="1"/>
    <col min="6920" max="6920" width="13.09765625" style="1" customWidth="1"/>
    <col min="6921" max="6921" width="13.3984375" style="1" customWidth="1"/>
    <col min="6922" max="6922" width="13.8984375" style="1" customWidth="1"/>
    <col min="6923" max="6923" width="13.69921875" style="1" customWidth="1"/>
    <col min="6924" max="6924" width="11.59765625" style="1" customWidth="1"/>
    <col min="6925" max="6925" width="13.3984375" style="1" customWidth="1"/>
    <col min="6926" max="6926" width="13.19921875" style="1" customWidth="1"/>
    <col min="6927" max="6928" width="10.19921875" style="1" customWidth="1"/>
    <col min="6929" max="6929" width="8.8984375" style="1"/>
    <col min="6930" max="6932" width="10.3984375" style="1" bestFit="1" customWidth="1"/>
    <col min="6933" max="6933" width="9.3984375" style="1" bestFit="1" customWidth="1"/>
    <col min="6934" max="7168" width="8.8984375" style="1"/>
    <col min="7169" max="7169" width="5" style="1" bestFit="1" customWidth="1"/>
    <col min="7170" max="7170" width="13.3984375" style="1" customWidth="1"/>
    <col min="7171" max="7171" width="31.3984375" style="1" customWidth="1"/>
    <col min="7172" max="7173" width="13.69921875" style="1" bestFit="1" customWidth="1"/>
    <col min="7174" max="7175" width="13.19921875" style="1" customWidth="1"/>
    <col min="7176" max="7176" width="13.09765625" style="1" customWidth="1"/>
    <col min="7177" max="7177" width="13.3984375" style="1" customWidth="1"/>
    <col min="7178" max="7178" width="13.8984375" style="1" customWidth="1"/>
    <col min="7179" max="7179" width="13.69921875" style="1" customWidth="1"/>
    <col min="7180" max="7180" width="11.59765625" style="1" customWidth="1"/>
    <col min="7181" max="7181" width="13.3984375" style="1" customWidth="1"/>
    <col min="7182" max="7182" width="13.19921875" style="1" customWidth="1"/>
    <col min="7183" max="7184" width="10.19921875" style="1" customWidth="1"/>
    <col min="7185" max="7185" width="8.8984375" style="1"/>
    <col min="7186" max="7188" width="10.3984375" style="1" bestFit="1" customWidth="1"/>
    <col min="7189" max="7189" width="9.3984375" style="1" bestFit="1" customWidth="1"/>
    <col min="7190" max="7424" width="8.8984375" style="1"/>
    <col min="7425" max="7425" width="5" style="1" bestFit="1" customWidth="1"/>
    <col min="7426" max="7426" width="13.3984375" style="1" customWidth="1"/>
    <col min="7427" max="7427" width="31.3984375" style="1" customWidth="1"/>
    <col min="7428" max="7429" width="13.69921875" style="1" bestFit="1" customWidth="1"/>
    <col min="7430" max="7431" width="13.19921875" style="1" customWidth="1"/>
    <col min="7432" max="7432" width="13.09765625" style="1" customWidth="1"/>
    <col min="7433" max="7433" width="13.3984375" style="1" customWidth="1"/>
    <col min="7434" max="7434" width="13.8984375" style="1" customWidth="1"/>
    <col min="7435" max="7435" width="13.69921875" style="1" customWidth="1"/>
    <col min="7436" max="7436" width="11.59765625" style="1" customWidth="1"/>
    <col min="7437" max="7437" width="13.3984375" style="1" customWidth="1"/>
    <col min="7438" max="7438" width="13.19921875" style="1" customWidth="1"/>
    <col min="7439" max="7440" width="10.19921875" style="1" customWidth="1"/>
    <col min="7441" max="7441" width="8.8984375" style="1"/>
    <col min="7442" max="7444" width="10.3984375" style="1" bestFit="1" customWidth="1"/>
    <col min="7445" max="7445" width="9.3984375" style="1" bestFit="1" customWidth="1"/>
    <col min="7446" max="7680" width="8.8984375" style="1"/>
    <col min="7681" max="7681" width="5" style="1" bestFit="1" customWidth="1"/>
    <col min="7682" max="7682" width="13.3984375" style="1" customWidth="1"/>
    <col min="7683" max="7683" width="31.3984375" style="1" customWidth="1"/>
    <col min="7684" max="7685" width="13.69921875" style="1" bestFit="1" customWidth="1"/>
    <col min="7686" max="7687" width="13.19921875" style="1" customWidth="1"/>
    <col min="7688" max="7688" width="13.09765625" style="1" customWidth="1"/>
    <col min="7689" max="7689" width="13.3984375" style="1" customWidth="1"/>
    <col min="7690" max="7690" width="13.8984375" style="1" customWidth="1"/>
    <col min="7691" max="7691" width="13.69921875" style="1" customWidth="1"/>
    <col min="7692" max="7692" width="11.59765625" style="1" customWidth="1"/>
    <col min="7693" max="7693" width="13.3984375" style="1" customWidth="1"/>
    <col min="7694" max="7694" width="13.19921875" style="1" customWidth="1"/>
    <col min="7695" max="7696" width="10.19921875" style="1" customWidth="1"/>
    <col min="7697" max="7697" width="8.8984375" style="1"/>
    <col min="7698" max="7700" width="10.3984375" style="1" bestFit="1" customWidth="1"/>
    <col min="7701" max="7701" width="9.3984375" style="1" bestFit="1" customWidth="1"/>
    <col min="7702" max="7936" width="8.8984375" style="1"/>
    <col min="7937" max="7937" width="5" style="1" bestFit="1" customWidth="1"/>
    <col min="7938" max="7938" width="13.3984375" style="1" customWidth="1"/>
    <col min="7939" max="7939" width="31.3984375" style="1" customWidth="1"/>
    <col min="7940" max="7941" width="13.69921875" style="1" bestFit="1" customWidth="1"/>
    <col min="7942" max="7943" width="13.19921875" style="1" customWidth="1"/>
    <col min="7944" max="7944" width="13.09765625" style="1" customWidth="1"/>
    <col min="7945" max="7945" width="13.3984375" style="1" customWidth="1"/>
    <col min="7946" max="7946" width="13.8984375" style="1" customWidth="1"/>
    <col min="7947" max="7947" width="13.69921875" style="1" customWidth="1"/>
    <col min="7948" max="7948" width="11.59765625" style="1" customWidth="1"/>
    <col min="7949" max="7949" width="13.3984375" style="1" customWidth="1"/>
    <col min="7950" max="7950" width="13.19921875" style="1" customWidth="1"/>
    <col min="7951" max="7952" width="10.19921875" style="1" customWidth="1"/>
    <col min="7953" max="7953" width="8.8984375" style="1"/>
    <col min="7954" max="7956" width="10.3984375" style="1" bestFit="1" customWidth="1"/>
    <col min="7957" max="7957" width="9.3984375" style="1" bestFit="1" customWidth="1"/>
    <col min="7958" max="8192" width="8.8984375" style="1"/>
    <col min="8193" max="8193" width="5" style="1" bestFit="1" customWidth="1"/>
    <col min="8194" max="8194" width="13.3984375" style="1" customWidth="1"/>
    <col min="8195" max="8195" width="31.3984375" style="1" customWidth="1"/>
    <col min="8196" max="8197" width="13.69921875" style="1" bestFit="1" customWidth="1"/>
    <col min="8198" max="8199" width="13.19921875" style="1" customWidth="1"/>
    <col min="8200" max="8200" width="13.09765625" style="1" customWidth="1"/>
    <col min="8201" max="8201" width="13.3984375" style="1" customWidth="1"/>
    <col min="8202" max="8202" width="13.8984375" style="1" customWidth="1"/>
    <col min="8203" max="8203" width="13.69921875" style="1" customWidth="1"/>
    <col min="8204" max="8204" width="11.59765625" style="1" customWidth="1"/>
    <col min="8205" max="8205" width="13.3984375" style="1" customWidth="1"/>
    <col min="8206" max="8206" width="13.19921875" style="1" customWidth="1"/>
    <col min="8207" max="8208" width="10.19921875" style="1" customWidth="1"/>
    <col min="8209" max="8209" width="8.8984375" style="1"/>
    <col min="8210" max="8212" width="10.3984375" style="1" bestFit="1" customWidth="1"/>
    <col min="8213" max="8213" width="9.3984375" style="1" bestFit="1" customWidth="1"/>
    <col min="8214" max="8448" width="8.8984375" style="1"/>
    <col min="8449" max="8449" width="5" style="1" bestFit="1" customWidth="1"/>
    <col min="8450" max="8450" width="13.3984375" style="1" customWidth="1"/>
    <col min="8451" max="8451" width="31.3984375" style="1" customWidth="1"/>
    <col min="8452" max="8453" width="13.69921875" style="1" bestFit="1" customWidth="1"/>
    <col min="8454" max="8455" width="13.19921875" style="1" customWidth="1"/>
    <col min="8456" max="8456" width="13.09765625" style="1" customWidth="1"/>
    <col min="8457" max="8457" width="13.3984375" style="1" customWidth="1"/>
    <col min="8458" max="8458" width="13.8984375" style="1" customWidth="1"/>
    <col min="8459" max="8459" width="13.69921875" style="1" customWidth="1"/>
    <col min="8460" max="8460" width="11.59765625" style="1" customWidth="1"/>
    <col min="8461" max="8461" width="13.3984375" style="1" customWidth="1"/>
    <col min="8462" max="8462" width="13.19921875" style="1" customWidth="1"/>
    <col min="8463" max="8464" width="10.19921875" style="1" customWidth="1"/>
    <col min="8465" max="8465" width="8.8984375" style="1"/>
    <col min="8466" max="8468" width="10.3984375" style="1" bestFit="1" customWidth="1"/>
    <col min="8469" max="8469" width="9.3984375" style="1" bestFit="1" customWidth="1"/>
    <col min="8470" max="8704" width="8.8984375" style="1"/>
    <col min="8705" max="8705" width="5" style="1" bestFit="1" customWidth="1"/>
    <col min="8706" max="8706" width="13.3984375" style="1" customWidth="1"/>
    <col min="8707" max="8707" width="31.3984375" style="1" customWidth="1"/>
    <col min="8708" max="8709" width="13.69921875" style="1" bestFit="1" customWidth="1"/>
    <col min="8710" max="8711" width="13.19921875" style="1" customWidth="1"/>
    <col min="8712" max="8712" width="13.09765625" style="1" customWidth="1"/>
    <col min="8713" max="8713" width="13.3984375" style="1" customWidth="1"/>
    <col min="8714" max="8714" width="13.8984375" style="1" customWidth="1"/>
    <col min="8715" max="8715" width="13.69921875" style="1" customWidth="1"/>
    <col min="8716" max="8716" width="11.59765625" style="1" customWidth="1"/>
    <col min="8717" max="8717" width="13.3984375" style="1" customWidth="1"/>
    <col min="8718" max="8718" width="13.19921875" style="1" customWidth="1"/>
    <col min="8719" max="8720" width="10.19921875" style="1" customWidth="1"/>
    <col min="8721" max="8721" width="8.8984375" style="1"/>
    <col min="8722" max="8724" width="10.3984375" style="1" bestFit="1" customWidth="1"/>
    <col min="8725" max="8725" width="9.3984375" style="1" bestFit="1" customWidth="1"/>
    <col min="8726" max="8960" width="8.8984375" style="1"/>
    <col min="8961" max="8961" width="5" style="1" bestFit="1" customWidth="1"/>
    <col min="8962" max="8962" width="13.3984375" style="1" customWidth="1"/>
    <col min="8963" max="8963" width="31.3984375" style="1" customWidth="1"/>
    <col min="8964" max="8965" width="13.69921875" style="1" bestFit="1" customWidth="1"/>
    <col min="8966" max="8967" width="13.19921875" style="1" customWidth="1"/>
    <col min="8968" max="8968" width="13.09765625" style="1" customWidth="1"/>
    <col min="8969" max="8969" width="13.3984375" style="1" customWidth="1"/>
    <col min="8970" max="8970" width="13.8984375" style="1" customWidth="1"/>
    <col min="8971" max="8971" width="13.69921875" style="1" customWidth="1"/>
    <col min="8972" max="8972" width="11.59765625" style="1" customWidth="1"/>
    <col min="8973" max="8973" width="13.3984375" style="1" customWidth="1"/>
    <col min="8974" max="8974" width="13.19921875" style="1" customWidth="1"/>
    <col min="8975" max="8976" width="10.19921875" style="1" customWidth="1"/>
    <col min="8977" max="8977" width="8.8984375" style="1"/>
    <col min="8978" max="8980" width="10.3984375" style="1" bestFit="1" customWidth="1"/>
    <col min="8981" max="8981" width="9.3984375" style="1" bestFit="1" customWidth="1"/>
    <col min="8982" max="9216" width="8.8984375" style="1"/>
    <col min="9217" max="9217" width="5" style="1" bestFit="1" customWidth="1"/>
    <col min="9218" max="9218" width="13.3984375" style="1" customWidth="1"/>
    <col min="9219" max="9219" width="31.3984375" style="1" customWidth="1"/>
    <col min="9220" max="9221" width="13.69921875" style="1" bestFit="1" customWidth="1"/>
    <col min="9222" max="9223" width="13.19921875" style="1" customWidth="1"/>
    <col min="9224" max="9224" width="13.09765625" style="1" customWidth="1"/>
    <col min="9225" max="9225" width="13.3984375" style="1" customWidth="1"/>
    <col min="9226" max="9226" width="13.8984375" style="1" customWidth="1"/>
    <col min="9227" max="9227" width="13.69921875" style="1" customWidth="1"/>
    <col min="9228" max="9228" width="11.59765625" style="1" customWidth="1"/>
    <col min="9229" max="9229" width="13.3984375" style="1" customWidth="1"/>
    <col min="9230" max="9230" width="13.19921875" style="1" customWidth="1"/>
    <col min="9231" max="9232" width="10.19921875" style="1" customWidth="1"/>
    <col min="9233" max="9233" width="8.8984375" style="1"/>
    <col min="9234" max="9236" width="10.3984375" style="1" bestFit="1" customWidth="1"/>
    <col min="9237" max="9237" width="9.3984375" style="1" bestFit="1" customWidth="1"/>
    <col min="9238" max="9472" width="8.8984375" style="1"/>
    <col min="9473" max="9473" width="5" style="1" bestFit="1" customWidth="1"/>
    <col min="9474" max="9474" width="13.3984375" style="1" customWidth="1"/>
    <col min="9475" max="9475" width="31.3984375" style="1" customWidth="1"/>
    <col min="9476" max="9477" width="13.69921875" style="1" bestFit="1" customWidth="1"/>
    <col min="9478" max="9479" width="13.19921875" style="1" customWidth="1"/>
    <col min="9480" max="9480" width="13.09765625" style="1" customWidth="1"/>
    <col min="9481" max="9481" width="13.3984375" style="1" customWidth="1"/>
    <col min="9482" max="9482" width="13.8984375" style="1" customWidth="1"/>
    <col min="9483" max="9483" width="13.69921875" style="1" customWidth="1"/>
    <col min="9484" max="9484" width="11.59765625" style="1" customWidth="1"/>
    <col min="9485" max="9485" width="13.3984375" style="1" customWidth="1"/>
    <col min="9486" max="9486" width="13.19921875" style="1" customWidth="1"/>
    <col min="9487" max="9488" width="10.19921875" style="1" customWidth="1"/>
    <col min="9489" max="9489" width="8.8984375" style="1"/>
    <col min="9490" max="9492" width="10.3984375" style="1" bestFit="1" customWidth="1"/>
    <col min="9493" max="9493" width="9.3984375" style="1" bestFit="1" customWidth="1"/>
    <col min="9494" max="9728" width="8.8984375" style="1"/>
    <col min="9729" max="9729" width="5" style="1" bestFit="1" customWidth="1"/>
    <col min="9730" max="9730" width="13.3984375" style="1" customWidth="1"/>
    <col min="9731" max="9731" width="31.3984375" style="1" customWidth="1"/>
    <col min="9732" max="9733" width="13.69921875" style="1" bestFit="1" customWidth="1"/>
    <col min="9734" max="9735" width="13.19921875" style="1" customWidth="1"/>
    <col min="9736" max="9736" width="13.09765625" style="1" customWidth="1"/>
    <col min="9737" max="9737" width="13.3984375" style="1" customWidth="1"/>
    <col min="9738" max="9738" width="13.8984375" style="1" customWidth="1"/>
    <col min="9739" max="9739" width="13.69921875" style="1" customWidth="1"/>
    <col min="9740" max="9740" width="11.59765625" style="1" customWidth="1"/>
    <col min="9741" max="9741" width="13.3984375" style="1" customWidth="1"/>
    <col min="9742" max="9742" width="13.19921875" style="1" customWidth="1"/>
    <col min="9743" max="9744" width="10.19921875" style="1" customWidth="1"/>
    <col min="9745" max="9745" width="8.8984375" style="1"/>
    <col min="9746" max="9748" width="10.3984375" style="1" bestFit="1" customWidth="1"/>
    <col min="9749" max="9749" width="9.3984375" style="1" bestFit="1" customWidth="1"/>
    <col min="9750" max="9984" width="8.8984375" style="1"/>
    <col min="9985" max="9985" width="5" style="1" bestFit="1" customWidth="1"/>
    <col min="9986" max="9986" width="13.3984375" style="1" customWidth="1"/>
    <col min="9987" max="9987" width="31.3984375" style="1" customWidth="1"/>
    <col min="9988" max="9989" width="13.69921875" style="1" bestFit="1" customWidth="1"/>
    <col min="9990" max="9991" width="13.19921875" style="1" customWidth="1"/>
    <col min="9992" max="9992" width="13.09765625" style="1" customWidth="1"/>
    <col min="9993" max="9993" width="13.3984375" style="1" customWidth="1"/>
    <col min="9994" max="9994" width="13.8984375" style="1" customWidth="1"/>
    <col min="9995" max="9995" width="13.69921875" style="1" customWidth="1"/>
    <col min="9996" max="9996" width="11.59765625" style="1" customWidth="1"/>
    <col min="9997" max="9997" width="13.3984375" style="1" customWidth="1"/>
    <col min="9998" max="9998" width="13.19921875" style="1" customWidth="1"/>
    <col min="9999" max="10000" width="10.19921875" style="1" customWidth="1"/>
    <col min="10001" max="10001" width="8.8984375" style="1"/>
    <col min="10002" max="10004" width="10.3984375" style="1" bestFit="1" customWidth="1"/>
    <col min="10005" max="10005" width="9.3984375" style="1" bestFit="1" customWidth="1"/>
    <col min="10006" max="10240" width="8.8984375" style="1"/>
    <col min="10241" max="10241" width="5" style="1" bestFit="1" customWidth="1"/>
    <col min="10242" max="10242" width="13.3984375" style="1" customWidth="1"/>
    <col min="10243" max="10243" width="31.3984375" style="1" customWidth="1"/>
    <col min="10244" max="10245" width="13.69921875" style="1" bestFit="1" customWidth="1"/>
    <col min="10246" max="10247" width="13.19921875" style="1" customWidth="1"/>
    <col min="10248" max="10248" width="13.09765625" style="1" customWidth="1"/>
    <col min="10249" max="10249" width="13.3984375" style="1" customWidth="1"/>
    <col min="10250" max="10250" width="13.8984375" style="1" customWidth="1"/>
    <col min="10251" max="10251" width="13.69921875" style="1" customWidth="1"/>
    <col min="10252" max="10252" width="11.59765625" style="1" customWidth="1"/>
    <col min="10253" max="10253" width="13.3984375" style="1" customWidth="1"/>
    <col min="10254" max="10254" width="13.19921875" style="1" customWidth="1"/>
    <col min="10255" max="10256" width="10.19921875" style="1" customWidth="1"/>
    <col min="10257" max="10257" width="8.8984375" style="1"/>
    <col min="10258" max="10260" width="10.3984375" style="1" bestFit="1" customWidth="1"/>
    <col min="10261" max="10261" width="9.3984375" style="1" bestFit="1" customWidth="1"/>
    <col min="10262" max="10496" width="8.8984375" style="1"/>
    <col min="10497" max="10497" width="5" style="1" bestFit="1" customWidth="1"/>
    <col min="10498" max="10498" width="13.3984375" style="1" customWidth="1"/>
    <col min="10499" max="10499" width="31.3984375" style="1" customWidth="1"/>
    <col min="10500" max="10501" width="13.69921875" style="1" bestFit="1" customWidth="1"/>
    <col min="10502" max="10503" width="13.19921875" style="1" customWidth="1"/>
    <col min="10504" max="10504" width="13.09765625" style="1" customWidth="1"/>
    <col min="10505" max="10505" width="13.3984375" style="1" customWidth="1"/>
    <col min="10506" max="10506" width="13.8984375" style="1" customWidth="1"/>
    <col min="10507" max="10507" width="13.69921875" style="1" customWidth="1"/>
    <col min="10508" max="10508" width="11.59765625" style="1" customWidth="1"/>
    <col min="10509" max="10509" width="13.3984375" style="1" customWidth="1"/>
    <col min="10510" max="10510" width="13.19921875" style="1" customWidth="1"/>
    <col min="10511" max="10512" width="10.19921875" style="1" customWidth="1"/>
    <col min="10513" max="10513" width="8.8984375" style="1"/>
    <col min="10514" max="10516" width="10.3984375" style="1" bestFit="1" customWidth="1"/>
    <col min="10517" max="10517" width="9.3984375" style="1" bestFit="1" customWidth="1"/>
    <col min="10518" max="10752" width="8.8984375" style="1"/>
    <col min="10753" max="10753" width="5" style="1" bestFit="1" customWidth="1"/>
    <col min="10754" max="10754" width="13.3984375" style="1" customWidth="1"/>
    <col min="10755" max="10755" width="31.3984375" style="1" customWidth="1"/>
    <col min="10756" max="10757" width="13.69921875" style="1" bestFit="1" customWidth="1"/>
    <col min="10758" max="10759" width="13.19921875" style="1" customWidth="1"/>
    <col min="10760" max="10760" width="13.09765625" style="1" customWidth="1"/>
    <col min="10761" max="10761" width="13.3984375" style="1" customWidth="1"/>
    <col min="10762" max="10762" width="13.8984375" style="1" customWidth="1"/>
    <col min="10763" max="10763" width="13.69921875" style="1" customWidth="1"/>
    <col min="10764" max="10764" width="11.59765625" style="1" customWidth="1"/>
    <col min="10765" max="10765" width="13.3984375" style="1" customWidth="1"/>
    <col min="10766" max="10766" width="13.19921875" style="1" customWidth="1"/>
    <col min="10767" max="10768" width="10.19921875" style="1" customWidth="1"/>
    <col min="10769" max="10769" width="8.8984375" style="1"/>
    <col min="10770" max="10772" width="10.3984375" style="1" bestFit="1" customWidth="1"/>
    <col min="10773" max="10773" width="9.3984375" style="1" bestFit="1" customWidth="1"/>
    <col min="10774" max="11008" width="8.8984375" style="1"/>
    <col min="11009" max="11009" width="5" style="1" bestFit="1" customWidth="1"/>
    <col min="11010" max="11010" width="13.3984375" style="1" customWidth="1"/>
    <col min="11011" max="11011" width="31.3984375" style="1" customWidth="1"/>
    <col min="11012" max="11013" width="13.69921875" style="1" bestFit="1" customWidth="1"/>
    <col min="11014" max="11015" width="13.19921875" style="1" customWidth="1"/>
    <col min="11016" max="11016" width="13.09765625" style="1" customWidth="1"/>
    <col min="11017" max="11017" width="13.3984375" style="1" customWidth="1"/>
    <col min="11018" max="11018" width="13.8984375" style="1" customWidth="1"/>
    <col min="11019" max="11019" width="13.69921875" style="1" customWidth="1"/>
    <col min="11020" max="11020" width="11.59765625" style="1" customWidth="1"/>
    <col min="11021" max="11021" width="13.3984375" style="1" customWidth="1"/>
    <col min="11022" max="11022" width="13.19921875" style="1" customWidth="1"/>
    <col min="11023" max="11024" width="10.19921875" style="1" customWidth="1"/>
    <col min="11025" max="11025" width="8.8984375" style="1"/>
    <col min="11026" max="11028" width="10.3984375" style="1" bestFit="1" customWidth="1"/>
    <col min="11029" max="11029" width="9.3984375" style="1" bestFit="1" customWidth="1"/>
    <col min="11030" max="11264" width="8.8984375" style="1"/>
    <col min="11265" max="11265" width="5" style="1" bestFit="1" customWidth="1"/>
    <col min="11266" max="11266" width="13.3984375" style="1" customWidth="1"/>
    <col min="11267" max="11267" width="31.3984375" style="1" customWidth="1"/>
    <col min="11268" max="11269" width="13.69921875" style="1" bestFit="1" customWidth="1"/>
    <col min="11270" max="11271" width="13.19921875" style="1" customWidth="1"/>
    <col min="11272" max="11272" width="13.09765625" style="1" customWidth="1"/>
    <col min="11273" max="11273" width="13.3984375" style="1" customWidth="1"/>
    <col min="11274" max="11274" width="13.8984375" style="1" customWidth="1"/>
    <col min="11275" max="11275" width="13.69921875" style="1" customWidth="1"/>
    <col min="11276" max="11276" width="11.59765625" style="1" customWidth="1"/>
    <col min="11277" max="11277" width="13.3984375" style="1" customWidth="1"/>
    <col min="11278" max="11278" width="13.19921875" style="1" customWidth="1"/>
    <col min="11279" max="11280" width="10.19921875" style="1" customWidth="1"/>
    <col min="11281" max="11281" width="8.8984375" style="1"/>
    <col min="11282" max="11284" width="10.3984375" style="1" bestFit="1" customWidth="1"/>
    <col min="11285" max="11285" width="9.3984375" style="1" bestFit="1" customWidth="1"/>
    <col min="11286" max="11520" width="8.8984375" style="1"/>
    <col min="11521" max="11521" width="5" style="1" bestFit="1" customWidth="1"/>
    <col min="11522" max="11522" width="13.3984375" style="1" customWidth="1"/>
    <col min="11523" max="11523" width="31.3984375" style="1" customWidth="1"/>
    <col min="11524" max="11525" width="13.69921875" style="1" bestFit="1" customWidth="1"/>
    <col min="11526" max="11527" width="13.19921875" style="1" customWidth="1"/>
    <col min="11528" max="11528" width="13.09765625" style="1" customWidth="1"/>
    <col min="11529" max="11529" width="13.3984375" style="1" customWidth="1"/>
    <col min="11530" max="11530" width="13.8984375" style="1" customWidth="1"/>
    <col min="11531" max="11531" width="13.69921875" style="1" customWidth="1"/>
    <col min="11532" max="11532" width="11.59765625" style="1" customWidth="1"/>
    <col min="11533" max="11533" width="13.3984375" style="1" customWidth="1"/>
    <col min="11534" max="11534" width="13.19921875" style="1" customWidth="1"/>
    <col min="11535" max="11536" width="10.19921875" style="1" customWidth="1"/>
    <col min="11537" max="11537" width="8.8984375" style="1"/>
    <col min="11538" max="11540" width="10.3984375" style="1" bestFit="1" customWidth="1"/>
    <col min="11541" max="11541" width="9.3984375" style="1" bestFit="1" customWidth="1"/>
    <col min="11542" max="11776" width="8.8984375" style="1"/>
    <col min="11777" max="11777" width="5" style="1" bestFit="1" customWidth="1"/>
    <col min="11778" max="11778" width="13.3984375" style="1" customWidth="1"/>
    <col min="11779" max="11779" width="31.3984375" style="1" customWidth="1"/>
    <col min="11780" max="11781" width="13.69921875" style="1" bestFit="1" customWidth="1"/>
    <col min="11782" max="11783" width="13.19921875" style="1" customWidth="1"/>
    <col min="11784" max="11784" width="13.09765625" style="1" customWidth="1"/>
    <col min="11785" max="11785" width="13.3984375" style="1" customWidth="1"/>
    <col min="11786" max="11786" width="13.8984375" style="1" customWidth="1"/>
    <col min="11787" max="11787" width="13.69921875" style="1" customWidth="1"/>
    <col min="11788" max="11788" width="11.59765625" style="1" customWidth="1"/>
    <col min="11789" max="11789" width="13.3984375" style="1" customWidth="1"/>
    <col min="11790" max="11790" width="13.19921875" style="1" customWidth="1"/>
    <col min="11791" max="11792" width="10.19921875" style="1" customWidth="1"/>
    <col min="11793" max="11793" width="8.8984375" style="1"/>
    <col min="11794" max="11796" width="10.3984375" style="1" bestFit="1" customWidth="1"/>
    <col min="11797" max="11797" width="9.3984375" style="1" bestFit="1" customWidth="1"/>
    <col min="11798" max="12032" width="8.8984375" style="1"/>
    <col min="12033" max="12033" width="5" style="1" bestFit="1" customWidth="1"/>
    <col min="12034" max="12034" width="13.3984375" style="1" customWidth="1"/>
    <col min="12035" max="12035" width="31.3984375" style="1" customWidth="1"/>
    <col min="12036" max="12037" width="13.69921875" style="1" bestFit="1" customWidth="1"/>
    <col min="12038" max="12039" width="13.19921875" style="1" customWidth="1"/>
    <col min="12040" max="12040" width="13.09765625" style="1" customWidth="1"/>
    <col min="12041" max="12041" width="13.3984375" style="1" customWidth="1"/>
    <col min="12042" max="12042" width="13.8984375" style="1" customWidth="1"/>
    <col min="12043" max="12043" width="13.69921875" style="1" customWidth="1"/>
    <col min="12044" max="12044" width="11.59765625" style="1" customWidth="1"/>
    <col min="12045" max="12045" width="13.3984375" style="1" customWidth="1"/>
    <col min="12046" max="12046" width="13.19921875" style="1" customWidth="1"/>
    <col min="12047" max="12048" width="10.19921875" style="1" customWidth="1"/>
    <col min="12049" max="12049" width="8.8984375" style="1"/>
    <col min="12050" max="12052" width="10.3984375" style="1" bestFit="1" customWidth="1"/>
    <col min="12053" max="12053" width="9.3984375" style="1" bestFit="1" customWidth="1"/>
    <col min="12054" max="12288" width="8.8984375" style="1"/>
    <col min="12289" max="12289" width="5" style="1" bestFit="1" customWidth="1"/>
    <col min="12290" max="12290" width="13.3984375" style="1" customWidth="1"/>
    <col min="12291" max="12291" width="31.3984375" style="1" customWidth="1"/>
    <col min="12292" max="12293" width="13.69921875" style="1" bestFit="1" customWidth="1"/>
    <col min="12294" max="12295" width="13.19921875" style="1" customWidth="1"/>
    <col min="12296" max="12296" width="13.09765625" style="1" customWidth="1"/>
    <col min="12297" max="12297" width="13.3984375" style="1" customWidth="1"/>
    <col min="12298" max="12298" width="13.8984375" style="1" customWidth="1"/>
    <col min="12299" max="12299" width="13.69921875" style="1" customWidth="1"/>
    <col min="12300" max="12300" width="11.59765625" style="1" customWidth="1"/>
    <col min="12301" max="12301" width="13.3984375" style="1" customWidth="1"/>
    <col min="12302" max="12302" width="13.19921875" style="1" customWidth="1"/>
    <col min="12303" max="12304" width="10.19921875" style="1" customWidth="1"/>
    <col min="12305" max="12305" width="8.8984375" style="1"/>
    <col min="12306" max="12308" width="10.3984375" style="1" bestFit="1" customWidth="1"/>
    <col min="12309" max="12309" width="9.3984375" style="1" bestFit="1" customWidth="1"/>
    <col min="12310" max="12544" width="8.8984375" style="1"/>
    <col min="12545" max="12545" width="5" style="1" bestFit="1" customWidth="1"/>
    <col min="12546" max="12546" width="13.3984375" style="1" customWidth="1"/>
    <col min="12547" max="12547" width="31.3984375" style="1" customWidth="1"/>
    <col min="12548" max="12549" width="13.69921875" style="1" bestFit="1" customWidth="1"/>
    <col min="12550" max="12551" width="13.19921875" style="1" customWidth="1"/>
    <col min="12552" max="12552" width="13.09765625" style="1" customWidth="1"/>
    <col min="12553" max="12553" width="13.3984375" style="1" customWidth="1"/>
    <col min="12554" max="12554" width="13.8984375" style="1" customWidth="1"/>
    <col min="12555" max="12555" width="13.69921875" style="1" customWidth="1"/>
    <col min="12556" max="12556" width="11.59765625" style="1" customWidth="1"/>
    <col min="12557" max="12557" width="13.3984375" style="1" customWidth="1"/>
    <col min="12558" max="12558" width="13.19921875" style="1" customWidth="1"/>
    <col min="12559" max="12560" width="10.19921875" style="1" customWidth="1"/>
    <col min="12561" max="12561" width="8.8984375" style="1"/>
    <col min="12562" max="12564" width="10.3984375" style="1" bestFit="1" customWidth="1"/>
    <col min="12565" max="12565" width="9.3984375" style="1" bestFit="1" customWidth="1"/>
    <col min="12566" max="12800" width="8.8984375" style="1"/>
    <col min="12801" max="12801" width="5" style="1" bestFit="1" customWidth="1"/>
    <col min="12802" max="12802" width="13.3984375" style="1" customWidth="1"/>
    <col min="12803" max="12803" width="31.3984375" style="1" customWidth="1"/>
    <col min="12804" max="12805" width="13.69921875" style="1" bestFit="1" customWidth="1"/>
    <col min="12806" max="12807" width="13.19921875" style="1" customWidth="1"/>
    <col min="12808" max="12808" width="13.09765625" style="1" customWidth="1"/>
    <col min="12809" max="12809" width="13.3984375" style="1" customWidth="1"/>
    <col min="12810" max="12810" width="13.8984375" style="1" customWidth="1"/>
    <col min="12811" max="12811" width="13.69921875" style="1" customWidth="1"/>
    <col min="12812" max="12812" width="11.59765625" style="1" customWidth="1"/>
    <col min="12813" max="12813" width="13.3984375" style="1" customWidth="1"/>
    <col min="12814" max="12814" width="13.19921875" style="1" customWidth="1"/>
    <col min="12815" max="12816" width="10.19921875" style="1" customWidth="1"/>
    <col min="12817" max="12817" width="8.8984375" style="1"/>
    <col min="12818" max="12820" width="10.3984375" style="1" bestFit="1" customWidth="1"/>
    <col min="12821" max="12821" width="9.3984375" style="1" bestFit="1" customWidth="1"/>
    <col min="12822" max="13056" width="8.8984375" style="1"/>
    <col min="13057" max="13057" width="5" style="1" bestFit="1" customWidth="1"/>
    <col min="13058" max="13058" width="13.3984375" style="1" customWidth="1"/>
    <col min="13059" max="13059" width="31.3984375" style="1" customWidth="1"/>
    <col min="13060" max="13061" width="13.69921875" style="1" bestFit="1" customWidth="1"/>
    <col min="13062" max="13063" width="13.19921875" style="1" customWidth="1"/>
    <col min="13064" max="13064" width="13.09765625" style="1" customWidth="1"/>
    <col min="13065" max="13065" width="13.3984375" style="1" customWidth="1"/>
    <col min="13066" max="13066" width="13.8984375" style="1" customWidth="1"/>
    <col min="13067" max="13067" width="13.69921875" style="1" customWidth="1"/>
    <col min="13068" max="13068" width="11.59765625" style="1" customWidth="1"/>
    <col min="13069" max="13069" width="13.3984375" style="1" customWidth="1"/>
    <col min="13070" max="13070" width="13.19921875" style="1" customWidth="1"/>
    <col min="13071" max="13072" width="10.19921875" style="1" customWidth="1"/>
    <col min="13073" max="13073" width="8.8984375" style="1"/>
    <col min="13074" max="13076" width="10.3984375" style="1" bestFit="1" customWidth="1"/>
    <col min="13077" max="13077" width="9.3984375" style="1" bestFit="1" customWidth="1"/>
    <col min="13078" max="13312" width="8.8984375" style="1"/>
    <col min="13313" max="13313" width="5" style="1" bestFit="1" customWidth="1"/>
    <col min="13314" max="13314" width="13.3984375" style="1" customWidth="1"/>
    <col min="13315" max="13315" width="31.3984375" style="1" customWidth="1"/>
    <col min="13316" max="13317" width="13.69921875" style="1" bestFit="1" customWidth="1"/>
    <col min="13318" max="13319" width="13.19921875" style="1" customWidth="1"/>
    <col min="13320" max="13320" width="13.09765625" style="1" customWidth="1"/>
    <col min="13321" max="13321" width="13.3984375" style="1" customWidth="1"/>
    <col min="13322" max="13322" width="13.8984375" style="1" customWidth="1"/>
    <col min="13323" max="13323" width="13.69921875" style="1" customWidth="1"/>
    <col min="13324" max="13324" width="11.59765625" style="1" customWidth="1"/>
    <col min="13325" max="13325" width="13.3984375" style="1" customWidth="1"/>
    <col min="13326" max="13326" width="13.19921875" style="1" customWidth="1"/>
    <col min="13327" max="13328" width="10.19921875" style="1" customWidth="1"/>
    <col min="13329" max="13329" width="8.8984375" style="1"/>
    <col min="13330" max="13332" width="10.3984375" style="1" bestFit="1" customWidth="1"/>
    <col min="13333" max="13333" width="9.3984375" style="1" bestFit="1" customWidth="1"/>
    <col min="13334" max="13568" width="8.8984375" style="1"/>
    <col min="13569" max="13569" width="5" style="1" bestFit="1" customWidth="1"/>
    <col min="13570" max="13570" width="13.3984375" style="1" customWidth="1"/>
    <col min="13571" max="13571" width="31.3984375" style="1" customWidth="1"/>
    <col min="13572" max="13573" width="13.69921875" style="1" bestFit="1" customWidth="1"/>
    <col min="13574" max="13575" width="13.19921875" style="1" customWidth="1"/>
    <col min="13576" max="13576" width="13.09765625" style="1" customWidth="1"/>
    <col min="13577" max="13577" width="13.3984375" style="1" customWidth="1"/>
    <col min="13578" max="13578" width="13.8984375" style="1" customWidth="1"/>
    <col min="13579" max="13579" width="13.69921875" style="1" customWidth="1"/>
    <col min="13580" max="13580" width="11.59765625" style="1" customWidth="1"/>
    <col min="13581" max="13581" width="13.3984375" style="1" customWidth="1"/>
    <col min="13582" max="13582" width="13.19921875" style="1" customWidth="1"/>
    <col min="13583" max="13584" width="10.19921875" style="1" customWidth="1"/>
    <col min="13585" max="13585" width="8.8984375" style="1"/>
    <col min="13586" max="13588" width="10.3984375" style="1" bestFit="1" customWidth="1"/>
    <col min="13589" max="13589" width="9.3984375" style="1" bestFit="1" customWidth="1"/>
    <col min="13590" max="13824" width="8.8984375" style="1"/>
    <col min="13825" max="13825" width="5" style="1" bestFit="1" customWidth="1"/>
    <col min="13826" max="13826" width="13.3984375" style="1" customWidth="1"/>
    <col min="13827" max="13827" width="31.3984375" style="1" customWidth="1"/>
    <col min="13828" max="13829" width="13.69921875" style="1" bestFit="1" customWidth="1"/>
    <col min="13830" max="13831" width="13.19921875" style="1" customWidth="1"/>
    <col min="13832" max="13832" width="13.09765625" style="1" customWidth="1"/>
    <col min="13833" max="13833" width="13.3984375" style="1" customWidth="1"/>
    <col min="13834" max="13834" width="13.8984375" style="1" customWidth="1"/>
    <col min="13835" max="13835" width="13.69921875" style="1" customWidth="1"/>
    <col min="13836" max="13836" width="11.59765625" style="1" customWidth="1"/>
    <col min="13837" max="13837" width="13.3984375" style="1" customWidth="1"/>
    <col min="13838" max="13838" width="13.19921875" style="1" customWidth="1"/>
    <col min="13839" max="13840" width="10.19921875" style="1" customWidth="1"/>
    <col min="13841" max="13841" width="8.8984375" style="1"/>
    <col min="13842" max="13844" width="10.3984375" style="1" bestFit="1" customWidth="1"/>
    <col min="13845" max="13845" width="9.3984375" style="1" bestFit="1" customWidth="1"/>
    <col min="13846" max="14080" width="8.8984375" style="1"/>
    <col min="14081" max="14081" width="5" style="1" bestFit="1" customWidth="1"/>
    <col min="14082" max="14082" width="13.3984375" style="1" customWidth="1"/>
    <col min="14083" max="14083" width="31.3984375" style="1" customWidth="1"/>
    <col min="14084" max="14085" width="13.69921875" style="1" bestFit="1" customWidth="1"/>
    <col min="14086" max="14087" width="13.19921875" style="1" customWidth="1"/>
    <col min="14088" max="14088" width="13.09765625" style="1" customWidth="1"/>
    <col min="14089" max="14089" width="13.3984375" style="1" customWidth="1"/>
    <col min="14090" max="14090" width="13.8984375" style="1" customWidth="1"/>
    <col min="14091" max="14091" width="13.69921875" style="1" customWidth="1"/>
    <col min="14092" max="14092" width="11.59765625" style="1" customWidth="1"/>
    <col min="14093" max="14093" width="13.3984375" style="1" customWidth="1"/>
    <col min="14094" max="14094" width="13.19921875" style="1" customWidth="1"/>
    <col min="14095" max="14096" width="10.19921875" style="1" customWidth="1"/>
    <col min="14097" max="14097" width="8.8984375" style="1"/>
    <col min="14098" max="14100" width="10.3984375" style="1" bestFit="1" customWidth="1"/>
    <col min="14101" max="14101" width="9.3984375" style="1" bestFit="1" customWidth="1"/>
    <col min="14102" max="14336" width="8.8984375" style="1"/>
    <col min="14337" max="14337" width="5" style="1" bestFit="1" customWidth="1"/>
    <col min="14338" max="14338" width="13.3984375" style="1" customWidth="1"/>
    <col min="14339" max="14339" width="31.3984375" style="1" customWidth="1"/>
    <col min="14340" max="14341" width="13.69921875" style="1" bestFit="1" customWidth="1"/>
    <col min="14342" max="14343" width="13.19921875" style="1" customWidth="1"/>
    <col min="14344" max="14344" width="13.09765625" style="1" customWidth="1"/>
    <col min="14345" max="14345" width="13.3984375" style="1" customWidth="1"/>
    <col min="14346" max="14346" width="13.8984375" style="1" customWidth="1"/>
    <col min="14347" max="14347" width="13.69921875" style="1" customWidth="1"/>
    <col min="14348" max="14348" width="11.59765625" style="1" customWidth="1"/>
    <col min="14349" max="14349" width="13.3984375" style="1" customWidth="1"/>
    <col min="14350" max="14350" width="13.19921875" style="1" customWidth="1"/>
    <col min="14351" max="14352" width="10.19921875" style="1" customWidth="1"/>
    <col min="14353" max="14353" width="8.8984375" style="1"/>
    <col min="14354" max="14356" width="10.3984375" style="1" bestFit="1" customWidth="1"/>
    <col min="14357" max="14357" width="9.3984375" style="1" bestFit="1" customWidth="1"/>
    <col min="14358" max="14592" width="8.8984375" style="1"/>
    <col min="14593" max="14593" width="5" style="1" bestFit="1" customWidth="1"/>
    <col min="14594" max="14594" width="13.3984375" style="1" customWidth="1"/>
    <col min="14595" max="14595" width="31.3984375" style="1" customWidth="1"/>
    <col min="14596" max="14597" width="13.69921875" style="1" bestFit="1" customWidth="1"/>
    <col min="14598" max="14599" width="13.19921875" style="1" customWidth="1"/>
    <col min="14600" max="14600" width="13.09765625" style="1" customWidth="1"/>
    <col min="14601" max="14601" width="13.3984375" style="1" customWidth="1"/>
    <col min="14602" max="14602" width="13.8984375" style="1" customWidth="1"/>
    <col min="14603" max="14603" width="13.69921875" style="1" customWidth="1"/>
    <col min="14604" max="14604" width="11.59765625" style="1" customWidth="1"/>
    <col min="14605" max="14605" width="13.3984375" style="1" customWidth="1"/>
    <col min="14606" max="14606" width="13.19921875" style="1" customWidth="1"/>
    <col min="14607" max="14608" width="10.19921875" style="1" customWidth="1"/>
    <col min="14609" max="14609" width="8.8984375" style="1"/>
    <col min="14610" max="14612" width="10.3984375" style="1" bestFit="1" customWidth="1"/>
    <col min="14613" max="14613" width="9.3984375" style="1" bestFit="1" customWidth="1"/>
    <col min="14614" max="14848" width="8.8984375" style="1"/>
    <col min="14849" max="14849" width="5" style="1" bestFit="1" customWidth="1"/>
    <col min="14850" max="14850" width="13.3984375" style="1" customWidth="1"/>
    <col min="14851" max="14851" width="31.3984375" style="1" customWidth="1"/>
    <col min="14852" max="14853" width="13.69921875" style="1" bestFit="1" customWidth="1"/>
    <col min="14854" max="14855" width="13.19921875" style="1" customWidth="1"/>
    <col min="14856" max="14856" width="13.09765625" style="1" customWidth="1"/>
    <col min="14857" max="14857" width="13.3984375" style="1" customWidth="1"/>
    <col min="14858" max="14858" width="13.8984375" style="1" customWidth="1"/>
    <col min="14859" max="14859" width="13.69921875" style="1" customWidth="1"/>
    <col min="14860" max="14860" width="11.59765625" style="1" customWidth="1"/>
    <col min="14861" max="14861" width="13.3984375" style="1" customWidth="1"/>
    <col min="14862" max="14862" width="13.19921875" style="1" customWidth="1"/>
    <col min="14863" max="14864" width="10.19921875" style="1" customWidth="1"/>
    <col min="14865" max="14865" width="8.8984375" style="1"/>
    <col min="14866" max="14868" width="10.3984375" style="1" bestFit="1" customWidth="1"/>
    <col min="14869" max="14869" width="9.3984375" style="1" bestFit="1" customWidth="1"/>
    <col min="14870" max="15104" width="8.8984375" style="1"/>
    <col min="15105" max="15105" width="5" style="1" bestFit="1" customWidth="1"/>
    <col min="15106" max="15106" width="13.3984375" style="1" customWidth="1"/>
    <col min="15107" max="15107" width="31.3984375" style="1" customWidth="1"/>
    <col min="15108" max="15109" width="13.69921875" style="1" bestFit="1" customWidth="1"/>
    <col min="15110" max="15111" width="13.19921875" style="1" customWidth="1"/>
    <col min="15112" max="15112" width="13.09765625" style="1" customWidth="1"/>
    <col min="15113" max="15113" width="13.3984375" style="1" customWidth="1"/>
    <col min="15114" max="15114" width="13.8984375" style="1" customWidth="1"/>
    <col min="15115" max="15115" width="13.69921875" style="1" customWidth="1"/>
    <col min="15116" max="15116" width="11.59765625" style="1" customWidth="1"/>
    <col min="15117" max="15117" width="13.3984375" style="1" customWidth="1"/>
    <col min="15118" max="15118" width="13.19921875" style="1" customWidth="1"/>
    <col min="15119" max="15120" width="10.19921875" style="1" customWidth="1"/>
    <col min="15121" max="15121" width="8.8984375" style="1"/>
    <col min="15122" max="15124" width="10.3984375" style="1" bestFit="1" customWidth="1"/>
    <col min="15125" max="15125" width="9.3984375" style="1" bestFit="1" customWidth="1"/>
    <col min="15126" max="15360" width="8.8984375" style="1"/>
    <col min="15361" max="15361" width="5" style="1" bestFit="1" customWidth="1"/>
    <col min="15362" max="15362" width="13.3984375" style="1" customWidth="1"/>
    <col min="15363" max="15363" width="31.3984375" style="1" customWidth="1"/>
    <col min="15364" max="15365" width="13.69921875" style="1" bestFit="1" customWidth="1"/>
    <col min="15366" max="15367" width="13.19921875" style="1" customWidth="1"/>
    <col min="15368" max="15368" width="13.09765625" style="1" customWidth="1"/>
    <col min="15369" max="15369" width="13.3984375" style="1" customWidth="1"/>
    <col min="15370" max="15370" width="13.8984375" style="1" customWidth="1"/>
    <col min="15371" max="15371" width="13.69921875" style="1" customWidth="1"/>
    <col min="15372" max="15372" width="11.59765625" style="1" customWidth="1"/>
    <col min="15373" max="15373" width="13.3984375" style="1" customWidth="1"/>
    <col min="15374" max="15374" width="13.19921875" style="1" customWidth="1"/>
    <col min="15375" max="15376" width="10.19921875" style="1" customWidth="1"/>
    <col min="15377" max="15377" width="8.8984375" style="1"/>
    <col min="15378" max="15380" width="10.3984375" style="1" bestFit="1" customWidth="1"/>
    <col min="15381" max="15381" width="9.3984375" style="1" bestFit="1" customWidth="1"/>
    <col min="15382" max="15616" width="8.8984375" style="1"/>
    <col min="15617" max="15617" width="5" style="1" bestFit="1" customWidth="1"/>
    <col min="15618" max="15618" width="13.3984375" style="1" customWidth="1"/>
    <col min="15619" max="15619" width="31.3984375" style="1" customWidth="1"/>
    <col min="15620" max="15621" width="13.69921875" style="1" bestFit="1" customWidth="1"/>
    <col min="15622" max="15623" width="13.19921875" style="1" customWidth="1"/>
    <col min="15624" max="15624" width="13.09765625" style="1" customWidth="1"/>
    <col min="15625" max="15625" width="13.3984375" style="1" customWidth="1"/>
    <col min="15626" max="15626" width="13.8984375" style="1" customWidth="1"/>
    <col min="15627" max="15627" width="13.69921875" style="1" customWidth="1"/>
    <col min="15628" max="15628" width="11.59765625" style="1" customWidth="1"/>
    <col min="15629" max="15629" width="13.3984375" style="1" customWidth="1"/>
    <col min="15630" max="15630" width="13.19921875" style="1" customWidth="1"/>
    <col min="15631" max="15632" width="10.19921875" style="1" customWidth="1"/>
    <col min="15633" max="15633" width="8.8984375" style="1"/>
    <col min="15634" max="15636" width="10.3984375" style="1" bestFit="1" customWidth="1"/>
    <col min="15637" max="15637" width="9.3984375" style="1" bestFit="1" customWidth="1"/>
    <col min="15638" max="15872" width="8.8984375" style="1"/>
    <col min="15873" max="15873" width="5" style="1" bestFit="1" customWidth="1"/>
    <col min="15874" max="15874" width="13.3984375" style="1" customWidth="1"/>
    <col min="15875" max="15875" width="31.3984375" style="1" customWidth="1"/>
    <col min="15876" max="15877" width="13.69921875" style="1" bestFit="1" customWidth="1"/>
    <col min="15878" max="15879" width="13.19921875" style="1" customWidth="1"/>
    <col min="15880" max="15880" width="13.09765625" style="1" customWidth="1"/>
    <col min="15881" max="15881" width="13.3984375" style="1" customWidth="1"/>
    <col min="15882" max="15882" width="13.8984375" style="1" customWidth="1"/>
    <col min="15883" max="15883" width="13.69921875" style="1" customWidth="1"/>
    <col min="15884" max="15884" width="11.59765625" style="1" customWidth="1"/>
    <col min="15885" max="15885" width="13.3984375" style="1" customWidth="1"/>
    <col min="15886" max="15886" width="13.19921875" style="1" customWidth="1"/>
    <col min="15887" max="15888" width="10.19921875" style="1" customWidth="1"/>
    <col min="15889" max="15889" width="8.8984375" style="1"/>
    <col min="15890" max="15892" width="10.3984375" style="1" bestFit="1" customWidth="1"/>
    <col min="15893" max="15893" width="9.3984375" style="1" bestFit="1" customWidth="1"/>
    <col min="15894" max="16128" width="8.8984375" style="1"/>
    <col min="16129" max="16129" width="5" style="1" bestFit="1" customWidth="1"/>
    <col min="16130" max="16130" width="13.3984375" style="1" customWidth="1"/>
    <col min="16131" max="16131" width="31.3984375" style="1" customWidth="1"/>
    <col min="16132" max="16133" width="13.69921875" style="1" bestFit="1" customWidth="1"/>
    <col min="16134" max="16135" width="13.19921875" style="1" customWidth="1"/>
    <col min="16136" max="16136" width="13.09765625" style="1" customWidth="1"/>
    <col min="16137" max="16137" width="13.3984375" style="1" customWidth="1"/>
    <col min="16138" max="16138" width="13.8984375" style="1" customWidth="1"/>
    <col min="16139" max="16139" width="13.69921875" style="1" customWidth="1"/>
    <col min="16140" max="16140" width="11.59765625" style="1" customWidth="1"/>
    <col min="16141" max="16141" width="13.3984375" style="1" customWidth="1"/>
    <col min="16142" max="16142" width="13.19921875" style="1" customWidth="1"/>
    <col min="16143" max="16144" width="10.19921875" style="1" customWidth="1"/>
    <col min="16145" max="16145" width="8.8984375" style="1"/>
    <col min="16146" max="16148" width="10.3984375" style="1" bestFit="1" customWidth="1"/>
    <col min="16149" max="16149" width="9.3984375" style="1" bestFit="1" customWidth="1"/>
    <col min="16150" max="16384" width="8.8984375" style="1"/>
  </cols>
  <sheetData>
    <row r="1" spans="1:17" s="164" customFormat="1" ht="23.4" customHeight="1">
      <c r="A1" s="70" t="s">
        <v>279</v>
      </c>
    </row>
    <row r="2" spans="1:17" s="164" customFormat="1" ht="27.6">
      <c r="A2" s="168"/>
      <c r="B2" s="168" t="s">
        <v>972</v>
      </c>
      <c r="C2" s="169"/>
      <c r="D2" s="169"/>
      <c r="E2" s="169"/>
      <c r="F2" s="169"/>
      <c r="G2" s="169"/>
      <c r="H2" s="169"/>
    </row>
    <row r="3" spans="1:17" s="164" customFormat="1" ht="27.6">
      <c r="A3" s="165"/>
      <c r="B3" s="172" t="s">
        <v>420</v>
      </c>
      <c r="C3" s="169"/>
      <c r="D3" s="169"/>
      <c r="E3" s="169"/>
      <c r="F3" s="169"/>
      <c r="G3" s="169"/>
      <c r="H3" s="169"/>
    </row>
    <row r="4" spans="1:17" s="164" customFormat="1" ht="18" thickBot="1">
      <c r="A4" s="206"/>
      <c r="D4" s="164">
        <f>'[1]1. 사업성분석'!O22</f>
        <v>498234354.72102785</v>
      </c>
      <c r="E4" s="207">
        <v>450000000</v>
      </c>
    </row>
    <row r="5" spans="1:17" ht="18" customHeight="1">
      <c r="A5" s="208"/>
      <c r="B5" s="725" t="s">
        <v>413</v>
      </c>
      <c r="C5" s="726"/>
      <c r="D5" s="209" t="s">
        <v>421</v>
      </c>
      <c r="E5" s="209" t="s">
        <v>414</v>
      </c>
      <c r="F5" s="209" t="s">
        <v>422</v>
      </c>
      <c r="G5" s="209" t="s">
        <v>233</v>
      </c>
      <c r="H5" s="209" t="s">
        <v>234</v>
      </c>
      <c r="I5" s="209" t="s">
        <v>235</v>
      </c>
      <c r="J5" s="209" t="s">
        <v>236</v>
      </c>
      <c r="K5" s="209" t="s">
        <v>237</v>
      </c>
      <c r="L5" s="209" t="s">
        <v>238</v>
      </c>
      <c r="M5" s="209" t="s">
        <v>239</v>
      </c>
      <c r="N5" s="210" t="s">
        <v>423</v>
      </c>
      <c r="O5" s="211" t="s">
        <v>424</v>
      </c>
      <c r="Q5" s="164"/>
    </row>
    <row r="6" spans="1:17" ht="18" customHeight="1">
      <c r="A6" s="208"/>
      <c r="B6" s="727" t="s">
        <v>425</v>
      </c>
      <c r="C6" s="212" t="s">
        <v>426</v>
      </c>
      <c r="D6" s="213">
        <f>'[1]2. Cost Sheet'!$N$25-'[1]2. Cost Sheet'!$N$37-'[1]2. Cost Sheet'!N40+'[1]2. Cost Sheet'!N40</f>
        <v>3119840356.000001</v>
      </c>
      <c r="E6" s="213"/>
      <c r="F6" s="213"/>
      <c r="G6" s="213"/>
      <c r="H6" s="213"/>
      <c r="I6" s="213"/>
      <c r="J6" s="213"/>
      <c r="K6" s="213"/>
      <c r="L6" s="213"/>
      <c r="M6" s="213"/>
      <c r="N6" s="214" t="s">
        <v>427</v>
      </c>
      <c r="O6" s="215">
        <v>6</v>
      </c>
      <c r="Q6" s="164"/>
    </row>
    <row r="7" spans="1:17" ht="18" customHeight="1">
      <c r="A7" s="208"/>
      <c r="B7" s="728"/>
      <c r="C7" s="216" t="s">
        <v>428</v>
      </c>
      <c r="D7" s="213"/>
      <c r="E7" s="213"/>
      <c r="F7" s="213"/>
      <c r="G7" s="213"/>
      <c r="H7" s="213"/>
      <c r="I7" s="213"/>
      <c r="J7" s="213"/>
      <c r="K7" s="213"/>
      <c r="L7" s="213"/>
      <c r="M7" s="213"/>
      <c r="N7" s="214" t="s">
        <v>427</v>
      </c>
      <c r="O7" s="215">
        <v>6</v>
      </c>
      <c r="Q7" s="164"/>
    </row>
    <row r="8" spans="1:17" ht="18" customHeight="1">
      <c r="A8" s="208"/>
      <c r="B8" s="728"/>
      <c r="C8" s="216" t="s">
        <v>429</v>
      </c>
      <c r="D8" s="213"/>
      <c r="E8" s="213"/>
      <c r="F8" s="213"/>
      <c r="G8" s="213"/>
      <c r="H8" s="213"/>
      <c r="I8" s="213"/>
      <c r="J8" s="213"/>
      <c r="K8" s="213"/>
      <c r="L8" s="213"/>
      <c r="M8" s="213"/>
      <c r="N8" s="214" t="s">
        <v>427</v>
      </c>
      <c r="O8" s="215">
        <v>6</v>
      </c>
      <c r="Q8" s="164"/>
    </row>
    <row r="9" spans="1:17" ht="18" customHeight="1">
      <c r="A9" s="208"/>
      <c r="B9" s="728"/>
      <c r="C9" s="217" t="s">
        <v>388</v>
      </c>
      <c r="D9" s="213"/>
      <c r="E9" s="213"/>
      <c r="F9" s="213"/>
      <c r="G9" s="213"/>
      <c r="H9" s="213"/>
      <c r="I9" s="213"/>
      <c r="J9" s="213"/>
      <c r="K9" s="213"/>
      <c r="L9" s="213"/>
      <c r="M9" s="213"/>
      <c r="N9" s="214" t="s">
        <v>427</v>
      </c>
      <c r="O9" s="215">
        <v>6</v>
      </c>
      <c r="Q9" s="164"/>
    </row>
    <row r="10" spans="1:17" ht="18" customHeight="1">
      <c r="A10" s="208"/>
      <c r="B10" s="728"/>
      <c r="C10" s="218" t="s">
        <v>383</v>
      </c>
      <c r="D10" s="219">
        <f t="shared" ref="D10:M10" si="0">SUM(D6:D9)</f>
        <v>3119840356.000001</v>
      </c>
      <c r="E10" s="219">
        <f t="shared" si="0"/>
        <v>0</v>
      </c>
      <c r="F10" s="219">
        <f t="shared" si="0"/>
        <v>0</v>
      </c>
      <c r="G10" s="219">
        <f t="shared" si="0"/>
        <v>0</v>
      </c>
      <c r="H10" s="219">
        <f t="shared" si="0"/>
        <v>0</v>
      </c>
      <c r="I10" s="219">
        <f t="shared" si="0"/>
        <v>0</v>
      </c>
      <c r="J10" s="219">
        <f t="shared" si="0"/>
        <v>0</v>
      </c>
      <c r="K10" s="219">
        <f t="shared" si="0"/>
        <v>0</v>
      </c>
      <c r="L10" s="219">
        <f t="shared" si="0"/>
        <v>0</v>
      </c>
      <c r="M10" s="219">
        <f t="shared" si="0"/>
        <v>0</v>
      </c>
      <c r="N10" s="220"/>
      <c r="O10" s="221"/>
      <c r="Q10" s="164"/>
    </row>
    <row r="11" spans="1:17" ht="18" customHeight="1">
      <c r="A11" s="208"/>
      <c r="B11" s="729" t="s">
        <v>430</v>
      </c>
      <c r="C11" s="222" t="s">
        <v>405</v>
      </c>
      <c r="D11" s="223"/>
      <c r="E11" s="223"/>
      <c r="F11" s="223"/>
      <c r="G11" s="223"/>
      <c r="H11" s="213"/>
      <c r="I11" s="213"/>
      <c r="J11" s="213"/>
      <c r="K11" s="213"/>
      <c r="L11" s="213"/>
      <c r="M11" s="213"/>
      <c r="N11" s="214" t="s">
        <v>427</v>
      </c>
      <c r="O11" s="215">
        <v>6</v>
      </c>
      <c r="Q11" s="164"/>
    </row>
    <row r="12" spans="1:17" ht="18" customHeight="1">
      <c r="A12" s="208"/>
      <c r="B12" s="730"/>
      <c r="C12" s="222" t="s">
        <v>431</v>
      </c>
      <c r="D12" s="223"/>
      <c r="E12" s="223"/>
      <c r="F12" s="223"/>
      <c r="G12" s="223"/>
      <c r="H12" s="213"/>
      <c r="I12" s="213"/>
      <c r="J12" s="213"/>
      <c r="K12" s="213"/>
      <c r="L12" s="213"/>
      <c r="M12" s="213"/>
      <c r="N12" s="214" t="s">
        <v>427</v>
      </c>
      <c r="O12" s="215">
        <v>6</v>
      </c>
      <c r="Q12" s="164"/>
    </row>
    <row r="13" spans="1:17" ht="18" customHeight="1">
      <c r="A13" s="208"/>
      <c r="B13" s="731"/>
      <c r="C13" s="218" t="s">
        <v>383</v>
      </c>
      <c r="D13" s="219">
        <f t="shared" ref="D13:M13" si="1">SUM(D11:D12)</f>
        <v>0</v>
      </c>
      <c r="E13" s="219">
        <f t="shared" si="1"/>
        <v>0</v>
      </c>
      <c r="F13" s="219">
        <f t="shared" si="1"/>
        <v>0</v>
      </c>
      <c r="G13" s="219">
        <f t="shared" si="1"/>
        <v>0</v>
      </c>
      <c r="H13" s="219">
        <f t="shared" si="1"/>
        <v>0</v>
      </c>
      <c r="I13" s="219">
        <f t="shared" si="1"/>
        <v>0</v>
      </c>
      <c r="J13" s="219">
        <f t="shared" si="1"/>
        <v>0</v>
      </c>
      <c r="K13" s="219">
        <f t="shared" si="1"/>
        <v>0</v>
      </c>
      <c r="L13" s="219">
        <f t="shared" si="1"/>
        <v>0</v>
      </c>
      <c r="M13" s="219">
        <f t="shared" si="1"/>
        <v>0</v>
      </c>
      <c r="N13" s="220"/>
      <c r="O13" s="221"/>
      <c r="Q13" s="164"/>
    </row>
    <row r="14" spans="1:17" ht="18" customHeight="1" thickBot="1">
      <c r="A14" s="208"/>
      <c r="B14" s="722" t="s">
        <v>432</v>
      </c>
      <c r="C14" s="723"/>
      <c r="D14" s="224">
        <f t="shared" ref="D14:M14" si="2">D10+D13</f>
        <v>3119840356.000001</v>
      </c>
      <c r="E14" s="224">
        <f t="shared" si="2"/>
        <v>0</v>
      </c>
      <c r="F14" s="224">
        <f t="shared" si="2"/>
        <v>0</v>
      </c>
      <c r="G14" s="224">
        <f t="shared" si="2"/>
        <v>0</v>
      </c>
      <c r="H14" s="224">
        <f t="shared" si="2"/>
        <v>0</v>
      </c>
      <c r="I14" s="224">
        <f t="shared" si="2"/>
        <v>0</v>
      </c>
      <c r="J14" s="224">
        <f t="shared" si="2"/>
        <v>0</v>
      </c>
      <c r="K14" s="224">
        <f t="shared" si="2"/>
        <v>0</v>
      </c>
      <c r="L14" s="224">
        <f t="shared" si="2"/>
        <v>0</v>
      </c>
      <c r="M14" s="224">
        <f t="shared" si="2"/>
        <v>0</v>
      </c>
      <c r="N14" s="164"/>
      <c r="O14" s="220"/>
      <c r="P14" s="221"/>
      <c r="Q14" s="164"/>
    </row>
    <row r="15" spans="1:17" s="164" customFormat="1" ht="18" customHeight="1">
      <c r="A15" s="208"/>
      <c r="B15" s="225"/>
      <c r="C15" s="225"/>
      <c r="D15" s="226"/>
      <c r="E15" s="226"/>
      <c r="F15" s="226"/>
      <c r="G15" s="226"/>
      <c r="H15" s="226"/>
      <c r="I15" s="226"/>
      <c r="J15" s="208"/>
    </row>
    <row r="16" spans="1:17" s="164" customFormat="1" ht="3.75" customHeight="1">
      <c r="A16" s="208"/>
      <c r="B16" s="225"/>
      <c r="C16" s="225"/>
      <c r="D16" s="226"/>
      <c r="E16" s="226"/>
      <c r="F16" s="226"/>
      <c r="G16" s="226"/>
      <c r="H16" s="226"/>
      <c r="I16" s="226"/>
      <c r="J16" s="208"/>
    </row>
    <row r="17" spans="1:17" s="164" customFormat="1" ht="23.25" customHeight="1">
      <c r="A17" s="227" t="s">
        <v>433</v>
      </c>
      <c r="B17" s="228" t="s">
        <v>434</v>
      </c>
      <c r="D17" s="165"/>
      <c r="E17" s="165"/>
      <c r="L17" s="167"/>
      <c r="O17" s="165"/>
      <c r="P17" s="229"/>
    </row>
    <row r="18" spans="1:17" s="164" customFormat="1" ht="23.25" customHeight="1">
      <c r="A18" s="176"/>
      <c r="B18" s="230" t="s">
        <v>435</v>
      </c>
      <c r="C18" s="231"/>
      <c r="D18" s="232"/>
      <c r="E18" s="232"/>
      <c r="F18" s="231"/>
      <c r="G18" s="231"/>
      <c r="H18" s="231"/>
      <c r="I18" s="231"/>
      <c r="J18" s="233"/>
      <c r="L18" s="167"/>
      <c r="O18" s="165"/>
      <c r="P18" s="229"/>
    </row>
    <row r="19" spans="1:17" s="164" customFormat="1" ht="23.25" customHeight="1">
      <c r="A19" s="176"/>
      <c r="B19" s="234"/>
      <c r="D19" s="165"/>
      <c r="E19" s="165"/>
      <c r="J19" s="235"/>
      <c r="L19" s="167"/>
      <c r="O19" s="165"/>
      <c r="P19" s="229"/>
    </row>
    <row r="20" spans="1:17" s="164" customFormat="1" ht="23.25" customHeight="1">
      <c r="A20" s="176"/>
      <c r="B20" s="234"/>
      <c r="D20" s="165"/>
      <c r="E20" s="165"/>
      <c r="J20" s="235"/>
      <c r="L20" s="167"/>
      <c r="O20" s="165"/>
      <c r="P20" s="229"/>
    </row>
    <row r="21" spans="1:17" s="164" customFormat="1" ht="23.25" customHeight="1">
      <c r="A21" s="176"/>
      <c r="B21" s="234"/>
      <c r="D21" s="165"/>
      <c r="E21" s="165"/>
      <c r="J21" s="235"/>
      <c r="L21" s="167"/>
      <c r="O21" s="165"/>
      <c r="P21" s="229"/>
    </row>
    <row r="22" spans="1:17" s="164" customFormat="1" ht="23.25" customHeight="1">
      <c r="A22" s="176"/>
      <c r="B22" s="234"/>
      <c r="D22" s="165"/>
      <c r="E22" s="165"/>
      <c r="J22" s="235"/>
      <c r="L22" s="167"/>
      <c r="O22" s="165"/>
      <c r="P22" s="229"/>
    </row>
    <row r="23" spans="1:17" s="164" customFormat="1" ht="23.25" customHeight="1">
      <c r="A23" s="176"/>
      <c r="B23" s="234"/>
      <c r="D23" s="165"/>
      <c r="E23" s="165"/>
      <c r="J23" s="235"/>
      <c r="L23" s="167"/>
      <c r="O23" s="165"/>
      <c r="P23" s="229"/>
    </row>
    <row r="24" spans="1:17" s="164" customFormat="1" ht="23.25" customHeight="1">
      <c r="A24" s="176"/>
      <c r="B24" s="234"/>
      <c r="D24" s="165"/>
      <c r="E24" s="165"/>
      <c r="J24" s="235"/>
      <c r="L24" s="167"/>
      <c r="O24" s="165"/>
      <c r="P24" s="229"/>
    </row>
    <row r="25" spans="1:17" s="164" customFormat="1" ht="23.25" customHeight="1">
      <c r="A25" s="176"/>
      <c r="B25" s="234"/>
      <c r="D25" s="165"/>
      <c r="E25" s="165"/>
      <c r="J25" s="235"/>
      <c r="L25" s="167"/>
      <c r="O25" s="165"/>
      <c r="P25" s="229"/>
    </row>
    <row r="26" spans="1:17" s="164" customFormat="1" ht="23.25" customHeight="1">
      <c r="A26" s="176"/>
      <c r="B26" s="234"/>
      <c r="D26" s="165"/>
      <c r="E26" s="165"/>
      <c r="J26" s="235"/>
      <c r="L26" s="167"/>
      <c r="O26" s="165"/>
      <c r="P26" s="229"/>
    </row>
    <row r="27" spans="1:17" s="164" customFormat="1" ht="23.25" customHeight="1">
      <c r="A27" s="176"/>
      <c r="B27" s="236" t="s">
        <v>436</v>
      </c>
      <c r="D27" s="165"/>
      <c r="E27" s="165"/>
      <c r="J27" s="235"/>
      <c r="L27" s="167"/>
      <c r="O27" s="165"/>
      <c r="P27" s="229"/>
    </row>
    <row r="28" spans="1:17" s="164" customFormat="1" ht="23.25" customHeight="1">
      <c r="A28" s="176"/>
      <c r="B28" s="234"/>
      <c r="D28" s="165"/>
      <c r="E28" s="165"/>
      <c r="J28" s="235"/>
      <c r="L28" s="167"/>
      <c r="O28" s="165"/>
      <c r="P28" s="229"/>
    </row>
    <row r="29" spans="1:17" s="164" customFormat="1" ht="23.25" customHeight="1">
      <c r="A29" s="176"/>
      <c r="B29" s="234"/>
      <c r="D29" s="165"/>
      <c r="E29" s="165"/>
      <c r="J29" s="235"/>
      <c r="L29" s="167"/>
      <c r="O29" s="165"/>
      <c r="P29" s="229"/>
    </row>
    <row r="30" spans="1:17" s="164" customFormat="1" ht="23.25" customHeight="1">
      <c r="A30" s="176"/>
      <c r="B30" s="237"/>
      <c r="C30" s="238"/>
      <c r="D30" s="239"/>
      <c r="E30" s="239"/>
      <c r="F30" s="238"/>
      <c r="G30" s="238"/>
      <c r="H30" s="238"/>
      <c r="I30" s="238"/>
      <c r="J30" s="240"/>
      <c r="L30" s="167"/>
      <c r="O30" s="165"/>
      <c r="P30" s="229"/>
    </row>
    <row r="31" spans="1:17" s="164" customFormat="1">
      <c r="B31" s="172" t="s">
        <v>437</v>
      </c>
      <c r="D31" s="165"/>
      <c r="E31" s="165"/>
      <c r="L31" s="167"/>
      <c r="O31" s="165"/>
      <c r="P31" s="229"/>
      <c r="Q31" s="167"/>
    </row>
    <row r="32" spans="1:17" s="164" customFormat="1">
      <c r="B32" s="172" t="s">
        <v>438</v>
      </c>
      <c r="D32" s="165"/>
      <c r="E32" s="165"/>
      <c r="L32" s="167"/>
      <c r="O32" s="165"/>
      <c r="P32" s="229"/>
      <c r="Q32" s="167"/>
    </row>
    <row r="33" spans="1:17" s="244" customFormat="1" ht="25.2">
      <c r="A33" s="227" t="s">
        <v>439</v>
      </c>
      <c r="B33" s="228" t="s">
        <v>430</v>
      </c>
      <c r="C33" s="241"/>
      <c r="D33" s="242"/>
      <c r="E33" s="242"/>
      <c r="F33" s="242"/>
      <c r="G33" s="242"/>
      <c r="H33" s="242"/>
      <c r="I33" s="242"/>
      <c r="J33" s="243"/>
    </row>
    <row r="34" spans="1:17" s="164" customFormat="1">
      <c r="A34" s="208"/>
      <c r="B34" s="164" t="s">
        <v>440</v>
      </c>
      <c r="C34" s="221"/>
      <c r="D34" s="245"/>
      <c r="E34" s="245"/>
      <c r="F34" s="245"/>
      <c r="G34" s="246"/>
      <c r="H34" s="246"/>
      <c r="I34" s="246"/>
      <c r="J34" s="247"/>
      <c r="K34" s="248"/>
      <c r="L34" s="248"/>
      <c r="M34" s="248"/>
    </row>
    <row r="35" spans="1:17" s="164" customFormat="1" ht="19.2">
      <c r="A35" s="208"/>
      <c r="B35" s="177" t="s">
        <v>441</v>
      </c>
      <c r="C35" s="221"/>
      <c r="D35" s="245"/>
      <c r="E35" s="245"/>
      <c r="F35" s="245"/>
      <c r="G35" s="246"/>
      <c r="H35" s="246"/>
      <c r="I35" s="246"/>
      <c r="J35" s="247"/>
      <c r="K35" s="248"/>
      <c r="L35" s="248"/>
      <c r="M35" s="248"/>
    </row>
    <row r="36" spans="1:17" s="164" customFormat="1" ht="19.2">
      <c r="A36" s="208"/>
      <c r="B36" s="177"/>
      <c r="C36" s="221"/>
      <c r="D36" s="245"/>
      <c r="E36" s="245"/>
      <c r="F36" s="245"/>
      <c r="G36" s="246"/>
      <c r="H36" s="246"/>
      <c r="I36" s="246"/>
      <c r="J36" s="247"/>
      <c r="K36" s="248"/>
      <c r="L36" s="248"/>
      <c r="M36" s="248"/>
    </row>
    <row r="37" spans="1:17" s="244" customFormat="1" ht="25.2">
      <c r="A37" s="227" t="s">
        <v>442</v>
      </c>
      <c r="B37" s="228" t="s">
        <v>443</v>
      </c>
      <c r="G37" s="249"/>
      <c r="H37" s="249"/>
      <c r="I37" s="249"/>
      <c r="J37" s="249"/>
      <c r="K37" s="249"/>
      <c r="L37" s="249"/>
      <c r="M37" s="249"/>
    </row>
    <row r="38" spans="1:17" s="164" customFormat="1" ht="21">
      <c r="A38" s="250"/>
      <c r="B38" s="164" t="s">
        <v>444</v>
      </c>
      <c r="H38" s="251">
        <v>1</v>
      </c>
      <c r="I38" s="251">
        <v>2</v>
      </c>
      <c r="J38" s="251">
        <v>3</v>
      </c>
      <c r="K38" s="251">
        <v>4</v>
      </c>
      <c r="L38" s="251">
        <v>5</v>
      </c>
      <c r="M38" s="251">
        <v>6</v>
      </c>
    </row>
    <row r="39" spans="1:17" s="248" customFormat="1" ht="19.2">
      <c r="A39" s="252"/>
      <c r="B39" s="253"/>
      <c r="C39" s="254"/>
      <c r="G39" s="255"/>
      <c r="H39" s="255"/>
      <c r="I39" s="255"/>
      <c r="J39" s="255"/>
      <c r="K39" s="255"/>
      <c r="L39" s="255"/>
      <c r="M39" s="164"/>
      <c r="N39" s="253"/>
    </row>
    <row r="40" spans="1:17" s="248" customFormat="1" ht="19.8" thickBot="1">
      <c r="A40" s="252"/>
      <c r="B40" s="256" t="s">
        <v>445</v>
      </c>
      <c r="C40" s="164"/>
      <c r="D40" s="164"/>
      <c r="E40" s="164"/>
      <c r="F40" s="164"/>
      <c r="G40" s="164"/>
      <c r="I40" s="253"/>
      <c r="J40" s="253"/>
      <c r="K40" s="253"/>
      <c r="M40" s="257" t="s">
        <v>446</v>
      </c>
    </row>
    <row r="41" spans="1:17" s="258" customFormat="1" ht="19.2">
      <c r="A41" s="252"/>
      <c r="B41" s="725" t="s">
        <v>413</v>
      </c>
      <c r="C41" s="726"/>
      <c r="D41" s="209" t="s">
        <v>421</v>
      </c>
      <c r="E41" s="209" t="s">
        <v>414</v>
      </c>
      <c r="F41" s="209" t="s">
        <v>422</v>
      </c>
      <c r="G41" s="209" t="s">
        <v>233</v>
      </c>
      <c r="H41" s="209" t="s">
        <v>234</v>
      </c>
      <c r="I41" s="209" t="s">
        <v>235</v>
      </c>
      <c r="J41" s="209" t="s">
        <v>236</v>
      </c>
      <c r="K41" s="209" t="s">
        <v>237</v>
      </c>
      <c r="L41" s="209" t="s">
        <v>238</v>
      </c>
      <c r="M41" s="209" t="s">
        <v>239</v>
      </c>
      <c r="N41" s="248"/>
      <c r="O41" s="248"/>
      <c r="P41" s="248"/>
    </row>
    <row r="42" spans="1:17" s="258" customFormat="1" ht="19.2">
      <c r="A42" s="252"/>
      <c r="B42" s="720" t="s">
        <v>447</v>
      </c>
      <c r="C42" s="721"/>
      <c r="D42" s="223">
        <f>H58+H69+H80+H91</f>
        <v>43331116.055555567</v>
      </c>
      <c r="E42" s="223">
        <f t="shared" ref="E42:K42" si="3">I58+I69+I80+I91</f>
        <v>519973392.66666681</v>
      </c>
      <c r="F42" s="223">
        <f t="shared" si="3"/>
        <v>519973392.66666681</v>
      </c>
      <c r="G42" s="223">
        <f t="shared" si="3"/>
        <v>519973392.66666681</v>
      </c>
      <c r="H42" s="223">
        <f t="shared" si="3"/>
        <v>519973392.66666681</v>
      </c>
      <c r="I42" s="223">
        <f t="shared" si="3"/>
        <v>519973392.66666681</v>
      </c>
      <c r="J42" s="223">
        <f t="shared" si="3"/>
        <v>476642276.61111122</v>
      </c>
      <c r="K42" s="223">
        <f t="shared" si="3"/>
        <v>0</v>
      </c>
      <c r="L42" s="223">
        <f>P58+P69+P80+P91</f>
        <v>0</v>
      </c>
      <c r="M42" s="223">
        <f>Q58+Q69+Q80+Q91+SUM(R52:U55)</f>
        <v>0</v>
      </c>
      <c r="N42" s="248"/>
      <c r="O42" s="248"/>
      <c r="P42" s="248"/>
    </row>
    <row r="43" spans="1:17" s="258" customFormat="1" ht="19.2">
      <c r="A43" s="252"/>
      <c r="B43" s="720" t="s">
        <v>448</v>
      </c>
      <c r="C43" s="721"/>
      <c r="D43" s="213">
        <f t="shared" ref="D43:M43" si="4">H102+H113</f>
        <v>0</v>
      </c>
      <c r="E43" s="213">
        <f t="shared" si="4"/>
        <v>0</v>
      </c>
      <c r="F43" s="213">
        <f t="shared" si="4"/>
        <v>0</v>
      </c>
      <c r="G43" s="213">
        <f t="shared" si="4"/>
        <v>0</v>
      </c>
      <c r="H43" s="213">
        <f t="shared" si="4"/>
        <v>0</v>
      </c>
      <c r="I43" s="213">
        <f t="shared" si="4"/>
        <v>0</v>
      </c>
      <c r="J43" s="213">
        <f t="shared" si="4"/>
        <v>0</v>
      </c>
      <c r="K43" s="213">
        <f t="shared" si="4"/>
        <v>0</v>
      </c>
      <c r="L43" s="213">
        <f t="shared" si="4"/>
        <v>0</v>
      </c>
      <c r="M43" s="213">
        <f t="shared" si="4"/>
        <v>0</v>
      </c>
      <c r="N43" s="248"/>
      <c r="O43" s="248"/>
      <c r="P43" s="248"/>
    </row>
    <row r="44" spans="1:17" s="258" customFormat="1" ht="19.8" thickBot="1">
      <c r="A44" s="252"/>
      <c r="B44" s="722" t="s">
        <v>432</v>
      </c>
      <c r="C44" s="723"/>
      <c r="D44" s="224">
        <f t="shared" ref="D44:M44" si="5">SUM(D42:D43)</f>
        <v>43331116.055555567</v>
      </c>
      <c r="E44" s="224">
        <f t="shared" si="5"/>
        <v>519973392.66666681</v>
      </c>
      <c r="F44" s="224">
        <f t="shared" si="5"/>
        <v>519973392.66666681</v>
      </c>
      <c r="G44" s="224">
        <f t="shared" si="5"/>
        <v>519973392.66666681</v>
      </c>
      <c r="H44" s="224">
        <f t="shared" si="5"/>
        <v>519973392.66666681</v>
      </c>
      <c r="I44" s="224">
        <f t="shared" si="5"/>
        <v>519973392.66666681</v>
      </c>
      <c r="J44" s="224">
        <f t="shared" si="5"/>
        <v>476642276.61111122</v>
      </c>
      <c r="K44" s="224">
        <f t="shared" si="5"/>
        <v>0</v>
      </c>
      <c r="L44" s="224">
        <f t="shared" si="5"/>
        <v>0</v>
      </c>
      <c r="M44" s="224">
        <f t="shared" si="5"/>
        <v>0</v>
      </c>
      <c r="N44" s="248"/>
      <c r="O44" s="248"/>
      <c r="P44" s="248"/>
    </row>
    <row r="45" spans="1:17" s="258" customFormat="1" ht="19.2">
      <c r="A45" s="252"/>
      <c r="B45" s="253"/>
      <c r="C45" s="254"/>
      <c r="D45" s="248"/>
      <c r="E45" s="248"/>
      <c r="F45" s="248"/>
      <c r="G45" s="253"/>
      <c r="H45" s="253"/>
      <c r="I45" s="253"/>
      <c r="J45" s="253"/>
      <c r="K45" s="253"/>
      <c r="L45" s="253"/>
      <c r="M45" s="248"/>
      <c r="N45" s="253"/>
      <c r="O45" s="248"/>
      <c r="P45" s="248"/>
    </row>
    <row r="46" spans="1:17" s="258" customFormat="1">
      <c r="A46" s="248"/>
      <c r="B46" s="259" t="s">
        <v>446</v>
      </c>
      <c r="C46" s="254"/>
      <c r="D46" s="260"/>
      <c r="E46" s="260"/>
      <c r="F46" s="248"/>
      <c r="G46" s="253"/>
      <c r="H46" s="253"/>
      <c r="I46" s="253"/>
      <c r="J46" s="253"/>
      <c r="K46" s="253"/>
      <c r="L46" s="253"/>
      <c r="M46" s="261"/>
      <c r="N46" s="253"/>
      <c r="O46" s="248"/>
      <c r="P46" s="248"/>
    </row>
    <row r="47" spans="1:17" s="47" customFormat="1" ht="13.5" customHeight="1">
      <c r="A47" s="262"/>
      <c r="B47" s="263" t="s">
        <v>413</v>
      </c>
      <c r="C47" s="264" t="s">
        <v>449</v>
      </c>
      <c r="D47" s="264" t="s">
        <v>450</v>
      </c>
      <c r="E47" s="264" t="s">
        <v>423</v>
      </c>
      <c r="F47" s="264" t="s">
        <v>424</v>
      </c>
      <c r="G47" s="264" t="s">
        <v>451</v>
      </c>
      <c r="H47" s="265" t="s">
        <v>421</v>
      </c>
      <c r="I47" s="265" t="s">
        <v>414</v>
      </c>
      <c r="J47" s="265" t="s">
        <v>422</v>
      </c>
      <c r="K47" s="265" t="s">
        <v>233</v>
      </c>
      <c r="L47" s="265" t="s">
        <v>234</v>
      </c>
      <c r="M47" s="265" t="s">
        <v>235</v>
      </c>
      <c r="N47" s="265" t="s">
        <v>236</v>
      </c>
      <c r="O47" s="265" t="s">
        <v>237</v>
      </c>
      <c r="P47" s="265" t="s">
        <v>238</v>
      </c>
      <c r="Q47" s="265" t="s">
        <v>239</v>
      </c>
    </row>
    <row r="48" spans="1:17" s="47" customFormat="1" ht="13.5" customHeight="1">
      <c r="B48" s="724" t="s">
        <v>452</v>
      </c>
      <c r="C48" s="266" t="s">
        <v>374</v>
      </c>
      <c r="D48" s="267">
        <f>D6</f>
        <v>3119840356.000001</v>
      </c>
      <c r="E48" s="268" t="str">
        <f t="shared" ref="E48:F57" si="6">N$6</f>
        <v>정액</v>
      </c>
      <c r="F48" s="268">
        <f t="shared" si="6"/>
        <v>6</v>
      </c>
      <c r="G48" s="269">
        <f>1/F48</f>
        <v>0.16666666666666666</v>
      </c>
      <c r="H48" s="270">
        <f>$D48*$G48*(1/12)</f>
        <v>43331116.055555567</v>
      </c>
      <c r="I48" s="270">
        <f>$D48*$G48</f>
        <v>519973392.66666681</v>
      </c>
      <c r="J48" s="270">
        <f>$D48*$G48</f>
        <v>519973392.66666681</v>
      </c>
      <c r="K48" s="270">
        <f>$D48*$G48</f>
        <v>519973392.66666681</v>
      </c>
      <c r="L48" s="270">
        <f>$D48*$G48</f>
        <v>519973392.66666681</v>
      </c>
      <c r="M48" s="270">
        <f>$D48*$G48</f>
        <v>519973392.66666681</v>
      </c>
      <c r="N48" s="271">
        <f>$D48*$G48*(11/12)</f>
        <v>476642276.61111122</v>
      </c>
    </row>
    <row r="49" spans="2:23" s="47" customFormat="1" ht="13.5" customHeight="1">
      <c r="B49" s="724"/>
      <c r="C49" s="266" t="s">
        <v>414</v>
      </c>
      <c r="D49" s="266">
        <f>E6</f>
        <v>0</v>
      </c>
      <c r="E49" s="268" t="str">
        <f t="shared" si="6"/>
        <v>정액</v>
      </c>
      <c r="F49" s="268">
        <f t="shared" si="6"/>
        <v>6</v>
      </c>
      <c r="G49" s="269">
        <f t="shared" ref="G49:G107" si="7">1/F49</f>
        <v>0.16666666666666666</v>
      </c>
      <c r="H49" s="270"/>
      <c r="I49" s="270">
        <f>$D49*$G49*(6/12)</f>
        <v>0</v>
      </c>
      <c r="J49" s="270">
        <f t="shared" ref="J49:Q52" si="8">$D49*$G49</f>
        <v>0</v>
      </c>
      <c r="K49" s="270">
        <f t="shared" si="8"/>
        <v>0</v>
      </c>
      <c r="L49" s="270">
        <f t="shared" si="8"/>
        <v>0</v>
      </c>
      <c r="M49" s="270">
        <f t="shared" si="8"/>
        <v>0</v>
      </c>
      <c r="N49" s="270">
        <f t="shared" si="8"/>
        <v>0</v>
      </c>
      <c r="O49" s="47">
        <f>I49</f>
        <v>0</v>
      </c>
    </row>
    <row r="50" spans="2:23" s="47" customFormat="1" ht="13.5" customHeight="1">
      <c r="B50" s="724"/>
      <c r="C50" s="266" t="s">
        <v>422</v>
      </c>
      <c r="D50" s="266">
        <f>F6</f>
        <v>0</v>
      </c>
      <c r="E50" s="268" t="str">
        <f t="shared" si="6"/>
        <v>정액</v>
      </c>
      <c r="F50" s="268">
        <f t="shared" si="6"/>
        <v>6</v>
      </c>
      <c r="G50" s="269">
        <f t="shared" si="7"/>
        <v>0.16666666666666666</v>
      </c>
      <c r="H50" s="270"/>
      <c r="I50" s="270"/>
      <c r="J50" s="270">
        <f>$D50*$G50*(6/12)</f>
        <v>0</v>
      </c>
      <c r="K50" s="270">
        <f t="shared" si="8"/>
        <v>0</v>
      </c>
      <c r="L50" s="270">
        <f t="shared" si="8"/>
        <v>0</v>
      </c>
      <c r="M50" s="270">
        <f t="shared" si="8"/>
        <v>0</v>
      </c>
      <c r="N50" s="270">
        <f t="shared" si="8"/>
        <v>0</v>
      </c>
      <c r="O50" s="270">
        <f t="shared" si="8"/>
        <v>0</v>
      </c>
      <c r="P50" s="47">
        <f>J50</f>
        <v>0</v>
      </c>
    </row>
    <row r="51" spans="2:23" s="47" customFormat="1" ht="13.5" customHeight="1">
      <c r="B51" s="724"/>
      <c r="C51" s="266" t="s">
        <v>453</v>
      </c>
      <c r="D51" s="266">
        <f>G6</f>
        <v>0</v>
      </c>
      <c r="E51" s="268" t="str">
        <f t="shared" si="6"/>
        <v>정액</v>
      </c>
      <c r="F51" s="268">
        <f t="shared" si="6"/>
        <v>6</v>
      </c>
      <c r="G51" s="269">
        <f t="shared" si="7"/>
        <v>0.16666666666666666</v>
      </c>
      <c r="H51" s="270"/>
      <c r="I51" s="270"/>
      <c r="J51" s="270"/>
      <c r="K51" s="270">
        <f>$D51*$G51*(6/12)</f>
        <v>0</v>
      </c>
      <c r="L51" s="270">
        <f t="shared" si="8"/>
        <v>0</v>
      </c>
      <c r="M51" s="270">
        <f t="shared" si="8"/>
        <v>0</v>
      </c>
      <c r="N51" s="270">
        <f t="shared" si="8"/>
        <v>0</v>
      </c>
      <c r="O51" s="270">
        <f t="shared" si="8"/>
        <v>0</v>
      </c>
      <c r="P51" s="270">
        <f t="shared" si="8"/>
        <v>0</v>
      </c>
      <c r="Q51" s="272">
        <f>K51</f>
        <v>0</v>
      </c>
    </row>
    <row r="52" spans="2:23" s="47" customFormat="1" ht="13.5" customHeight="1">
      <c r="B52" s="724"/>
      <c r="C52" s="268" t="s">
        <v>454</v>
      </c>
      <c r="D52" s="266">
        <f>H6</f>
        <v>0</v>
      </c>
      <c r="E52" s="268" t="str">
        <f t="shared" si="6"/>
        <v>정액</v>
      </c>
      <c r="F52" s="268">
        <f t="shared" si="6"/>
        <v>6</v>
      </c>
      <c r="G52" s="269">
        <f t="shared" si="7"/>
        <v>0.16666666666666666</v>
      </c>
      <c r="H52" s="270"/>
      <c r="I52" s="270"/>
      <c r="J52" s="270"/>
      <c r="K52" s="270"/>
      <c r="L52" s="270">
        <f>$D52*$G52*(6/12)</f>
        <v>0</v>
      </c>
      <c r="M52" s="270">
        <f t="shared" si="8"/>
        <v>0</v>
      </c>
      <c r="N52" s="270">
        <f t="shared" si="8"/>
        <v>0</v>
      </c>
      <c r="O52" s="270">
        <f t="shared" si="8"/>
        <v>0</v>
      </c>
      <c r="P52" s="270">
        <f t="shared" si="8"/>
        <v>0</v>
      </c>
      <c r="Q52" s="270">
        <f t="shared" si="8"/>
        <v>0</v>
      </c>
      <c r="R52" s="273">
        <f>L52</f>
        <v>0</v>
      </c>
      <c r="S52" s="274"/>
      <c r="T52" s="274"/>
      <c r="U52" s="274"/>
    </row>
    <row r="53" spans="2:23" s="47" customFormat="1" ht="13.5" customHeight="1">
      <c r="B53" s="724"/>
      <c r="C53" s="268" t="s">
        <v>235</v>
      </c>
      <c r="D53" s="266">
        <f>I6</f>
        <v>0</v>
      </c>
      <c r="E53" s="268" t="str">
        <f t="shared" si="6"/>
        <v>정액</v>
      </c>
      <c r="F53" s="268">
        <f t="shared" si="6"/>
        <v>6</v>
      </c>
      <c r="G53" s="269">
        <f t="shared" si="7"/>
        <v>0.16666666666666666</v>
      </c>
      <c r="H53" s="270"/>
      <c r="I53" s="270"/>
      <c r="J53" s="270"/>
      <c r="K53" s="270"/>
      <c r="L53" s="270"/>
      <c r="M53" s="270">
        <f>$D53*$G53*(6/12)</f>
        <v>0</v>
      </c>
      <c r="N53" s="270">
        <f>$D53*$G53</f>
        <v>0</v>
      </c>
      <c r="O53" s="270">
        <f>$D53*$G53</f>
        <v>0</v>
      </c>
      <c r="P53" s="270">
        <f>$D53*$G53</f>
        <v>0</v>
      </c>
      <c r="Q53" s="270">
        <f>$D53*$G53</f>
        <v>0</v>
      </c>
      <c r="R53" s="275">
        <f>$D53*$G53</f>
        <v>0</v>
      </c>
      <c r="S53" s="273">
        <f>M53</f>
        <v>0</v>
      </c>
      <c r="T53" s="274"/>
      <c r="U53" s="274"/>
    </row>
    <row r="54" spans="2:23" s="47" customFormat="1" ht="13.5" customHeight="1">
      <c r="B54" s="724"/>
      <c r="C54" s="268" t="s">
        <v>236</v>
      </c>
      <c r="D54" s="266">
        <f>J6</f>
        <v>0</v>
      </c>
      <c r="E54" s="268" t="str">
        <f t="shared" si="6"/>
        <v>정액</v>
      </c>
      <c r="F54" s="268">
        <f t="shared" si="6"/>
        <v>6</v>
      </c>
      <c r="G54" s="269">
        <f t="shared" si="7"/>
        <v>0.16666666666666666</v>
      </c>
      <c r="H54" s="270"/>
      <c r="I54" s="270"/>
      <c r="J54" s="270"/>
      <c r="K54" s="270"/>
      <c r="L54" s="270"/>
      <c r="M54" s="270"/>
      <c r="N54" s="270">
        <f>$D54*$G54*(6/12)</f>
        <v>0</v>
      </c>
      <c r="O54" s="270">
        <f>$D54*$G54</f>
        <v>0</v>
      </c>
      <c r="P54" s="270">
        <f>$D54*$G54</f>
        <v>0</v>
      </c>
      <c r="Q54" s="270">
        <f>$D54*$G54</f>
        <v>0</v>
      </c>
      <c r="R54" s="275">
        <f>$D54*$G54</f>
        <v>0</v>
      </c>
      <c r="S54" s="275">
        <f>$D54*$G54</f>
        <v>0</v>
      </c>
      <c r="T54" s="273">
        <f>N54</f>
        <v>0</v>
      </c>
      <c r="U54" s="274"/>
    </row>
    <row r="55" spans="2:23" s="47" customFormat="1" ht="13.5" customHeight="1">
      <c r="B55" s="724"/>
      <c r="C55" s="268" t="s">
        <v>237</v>
      </c>
      <c r="D55" s="266">
        <f>K6</f>
        <v>0</v>
      </c>
      <c r="E55" s="268" t="str">
        <f t="shared" si="6"/>
        <v>정액</v>
      </c>
      <c r="F55" s="268">
        <f t="shared" si="6"/>
        <v>6</v>
      </c>
      <c r="G55" s="269">
        <f t="shared" si="7"/>
        <v>0.16666666666666666</v>
      </c>
      <c r="H55" s="270"/>
      <c r="I55" s="270"/>
      <c r="J55" s="270"/>
      <c r="K55" s="270"/>
      <c r="L55" s="270"/>
      <c r="M55" s="270"/>
      <c r="N55" s="270"/>
      <c r="O55" s="270">
        <f>$D55*$G55*(6/12)</f>
        <v>0</v>
      </c>
      <c r="P55" s="270">
        <f>$D55*$G55</f>
        <v>0</v>
      </c>
      <c r="Q55" s="270">
        <f>$D55*$G55</f>
        <v>0</v>
      </c>
      <c r="R55" s="275">
        <f>$D55*$G55</f>
        <v>0</v>
      </c>
      <c r="S55" s="275">
        <f>$D55*$G55</f>
        <v>0</v>
      </c>
      <c r="T55" s="275">
        <f>$D55*$G55</f>
        <v>0</v>
      </c>
      <c r="U55" s="273">
        <f>O55</f>
        <v>0</v>
      </c>
    </row>
    <row r="56" spans="2:23" s="47" customFormat="1" ht="13.5" customHeight="1">
      <c r="B56" s="724"/>
      <c r="C56" s="268" t="s">
        <v>238</v>
      </c>
      <c r="D56" s="266">
        <f>L6</f>
        <v>0</v>
      </c>
      <c r="E56" s="268" t="str">
        <f t="shared" si="6"/>
        <v>정액</v>
      </c>
      <c r="F56" s="268">
        <f t="shared" si="6"/>
        <v>6</v>
      </c>
      <c r="G56" s="269">
        <f t="shared" si="7"/>
        <v>0.16666666666666666</v>
      </c>
      <c r="H56" s="270"/>
      <c r="I56" s="270"/>
      <c r="J56" s="270"/>
      <c r="K56" s="270"/>
      <c r="L56" s="270"/>
      <c r="M56" s="270"/>
      <c r="N56" s="270"/>
      <c r="O56" s="270"/>
      <c r="P56" s="270">
        <f>$D56*$G56*(6/12)</f>
        <v>0</v>
      </c>
      <c r="Q56" s="270">
        <f>$D56*$G56</f>
        <v>0</v>
      </c>
      <c r="R56" s="275">
        <f>$D56*$G56</f>
        <v>0</v>
      </c>
      <c r="S56" s="275">
        <f>$D56*$G56</f>
        <v>0</v>
      </c>
      <c r="T56" s="275">
        <f>$D56*$G56</f>
        <v>0</v>
      </c>
      <c r="U56" s="275">
        <f>$D56*$G56</f>
        <v>0</v>
      </c>
      <c r="V56" s="271"/>
    </row>
    <row r="57" spans="2:23" s="47" customFormat="1" ht="13.5" customHeight="1">
      <c r="B57" s="724"/>
      <c r="C57" s="268" t="s">
        <v>239</v>
      </c>
      <c r="D57" s="266">
        <f>M6</f>
        <v>0</v>
      </c>
      <c r="E57" s="268" t="str">
        <f t="shared" si="6"/>
        <v>정액</v>
      </c>
      <c r="F57" s="268">
        <f t="shared" si="6"/>
        <v>6</v>
      </c>
      <c r="G57" s="269">
        <f t="shared" si="7"/>
        <v>0.16666666666666666</v>
      </c>
      <c r="H57" s="270"/>
      <c r="I57" s="270"/>
      <c r="J57" s="270"/>
      <c r="K57" s="270"/>
      <c r="L57" s="270"/>
      <c r="M57" s="270"/>
      <c r="N57" s="270"/>
      <c r="O57" s="270"/>
      <c r="P57" s="270"/>
      <c r="Q57" s="270">
        <f>$D57*$G57*(6/12)</f>
        <v>0</v>
      </c>
      <c r="R57" s="275">
        <f>$D57*$G57</f>
        <v>0</v>
      </c>
      <c r="S57" s="275">
        <f>$D57*$G57</f>
        <v>0</v>
      </c>
      <c r="T57" s="275">
        <f>$D57*$G57</f>
        <v>0</v>
      </c>
      <c r="U57" s="275">
        <f>$D57*$G57</f>
        <v>0</v>
      </c>
      <c r="V57" s="270">
        <f>$D57*$G57</f>
        <v>0</v>
      </c>
      <c r="W57" s="271"/>
    </row>
    <row r="58" spans="2:23" s="47" customFormat="1" ht="13.5" customHeight="1">
      <c r="B58" s="724"/>
      <c r="C58" s="276" t="s">
        <v>383</v>
      </c>
      <c r="D58" s="277">
        <f>SUM(D48:D57)</f>
        <v>3119840356.000001</v>
      </c>
      <c r="E58" s="277"/>
      <c r="F58" s="277"/>
      <c r="G58" s="278"/>
      <c r="H58" s="277">
        <f>SUM(H48:H57)</f>
        <v>43331116.055555567</v>
      </c>
      <c r="I58" s="277">
        <f t="shared" ref="I58:V58" si="9">SUM(I48:I57)</f>
        <v>519973392.66666681</v>
      </c>
      <c r="J58" s="277">
        <f t="shared" si="9"/>
        <v>519973392.66666681</v>
      </c>
      <c r="K58" s="277">
        <f t="shared" si="9"/>
        <v>519973392.66666681</v>
      </c>
      <c r="L58" s="277">
        <f t="shared" si="9"/>
        <v>519973392.66666681</v>
      </c>
      <c r="M58" s="277">
        <f t="shared" si="9"/>
        <v>519973392.66666681</v>
      </c>
      <c r="N58" s="277">
        <f t="shared" si="9"/>
        <v>476642276.61111122</v>
      </c>
      <c r="O58" s="277">
        <f t="shared" si="9"/>
        <v>0</v>
      </c>
      <c r="P58" s="277">
        <f t="shared" si="9"/>
        <v>0</v>
      </c>
      <c r="Q58" s="277">
        <f t="shared" si="9"/>
        <v>0</v>
      </c>
      <c r="R58" s="279">
        <f t="shared" si="9"/>
        <v>0</v>
      </c>
      <c r="S58" s="279">
        <f t="shared" si="9"/>
        <v>0</v>
      </c>
      <c r="T58" s="279">
        <f t="shared" si="9"/>
        <v>0</v>
      </c>
      <c r="U58" s="279">
        <f t="shared" si="9"/>
        <v>0</v>
      </c>
      <c r="V58" s="277">
        <f t="shared" si="9"/>
        <v>0</v>
      </c>
    </row>
    <row r="59" spans="2:23" s="280" customFormat="1" ht="13.5" customHeight="1">
      <c r="B59" s="724" t="s">
        <v>455</v>
      </c>
      <c r="C59" s="267" t="s">
        <v>374</v>
      </c>
      <c r="D59" s="267">
        <f>D7</f>
        <v>0</v>
      </c>
      <c r="E59" s="268" t="str">
        <f t="shared" ref="E59:F68" si="10">N$7</f>
        <v>정액</v>
      </c>
      <c r="F59" s="268">
        <f t="shared" si="10"/>
        <v>6</v>
      </c>
      <c r="G59" s="269">
        <f t="shared" si="7"/>
        <v>0.16666666666666666</v>
      </c>
      <c r="H59" s="270">
        <f>$D59*$G59*(6/12)</f>
        <v>0</v>
      </c>
      <c r="I59" s="270">
        <f>$D59*$G59</f>
        <v>0</v>
      </c>
      <c r="J59" s="270">
        <f>$D59*$G59</f>
        <v>0</v>
      </c>
      <c r="K59" s="270">
        <f>$D59*$G59</f>
        <v>0</v>
      </c>
      <c r="L59" s="270">
        <f>$D59*$G59</f>
        <v>0</v>
      </c>
      <c r="M59" s="270">
        <f>$D59*$G59</f>
        <v>0</v>
      </c>
      <c r="N59" s="271"/>
      <c r="O59" s="47"/>
      <c r="P59" s="47"/>
      <c r="Q59" s="47"/>
    </row>
    <row r="60" spans="2:23" s="280" customFormat="1" ht="13.5" customHeight="1">
      <c r="B60" s="724"/>
      <c r="C60" s="267" t="s">
        <v>414</v>
      </c>
      <c r="D60" s="267">
        <f>E7</f>
        <v>0</v>
      </c>
      <c r="E60" s="268" t="str">
        <f t="shared" si="10"/>
        <v>정액</v>
      </c>
      <c r="F60" s="268">
        <f t="shared" si="10"/>
        <v>6</v>
      </c>
      <c r="G60" s="269">
        <f t="shared" si="7"/>
        <v>0.16666666666666666</v>
      </c>
      <c r="H60" s="270"/>
      <c r="I60" s="270">
        <f>$D60*$G60*(6/12)</f>
        <v>0</v>
      </c>
      <c r="J60" s="270">
        <f t="shared" ref="J60:Q63" si="11">$D60*$G60</f>
        <v>0</v>
      </c>
      <c r="K60" s="270">
        <f t="shared" si="11"/>
        <v>0</v>
      </c>
      <c r="L60" s="270">
        <f t="shared" si="11"/>
        <v>0</v>
      </c>
      <c r="M60" s="270">
        <f t="shared" si="11"/>
        <v>0</v>
      </c>
      <c r="N60" s="270">
        <f t="shared" si="11"/>
        <v>0</v>
      </c>
      <c r="O60" s="271">
        <f>I60</f>
        <v>0</v>
      </c>
      <c r="P60" s="47"/>
      <c r="Q60" s="47"/>
    </row>
    <row r="61" spans="2:23" s="280" customFormat="1" ht="13.5" customHeight="1">
      <c r="B61" s="724"/>
      <c r="C61" s="267" t="s">
        <v>422</v>
      </c>
      <c r="D61" s="267">
        <f>F7</f>
        <v>0</v>
      </c>
      <c r="E61" s="268" t="str">
        <f t="shared" si="10"/>
        <v>정액</v>
      </c>
      <c r="F61" s="268">
        <f t="shared" si="10"/>
        <v>6</v>
      </c>
      <c r="G61" s="269">
        <f t="shared" si="7"/>
        <v>0.16666666666666666</v>
      </c>
      <c r="H61" s="270"/>
      <c r="I61" s="270"/>
      <c r="J61" s="270">
        <f>$D61*$G61*(6/12)</f>
        <v>0</v>
      </c>
      <c r="K61" s="270">
        <f t="shared" si="11"/>
        <v>0</v>
      </c>
      <c r="L61" s="270">
        <f t="shared" si="11"/>
        <v>0</v>
      </c>
      <c r="M61" s="270">
        <f t="shared" si="11"/>
        <v>0</v>
      </c>
      <c r="N61" s="270">
        <f t="shared" si="11"/>
        <v>0</v>
      </c>
      <c r="O61" s="270">
        <f t="shared" si="11"/>
        <v>0</v>
      </c>
      <c r="P61" s="47"/>
      <c r="Q61" s="47"/>
    </row>
    <row r="62" spans="2:23" s="280" customFormat="1" ht="13.5" customHeight="1">
      <c r="B62" s="724"/>
      <c r="C62" s="267" t="s">
        <v>453</v>
      </c>
      <c r="D62" s="267">
        <f>G7</f>
        <v>0</v>
      </c>
      <c r="E62" s="268" t="str">
        <f t="shared" si="10"/>
        <v>정액</v>
      </c>
      <c r="F62" s="268">
        <f t="shared" si="10"/>
        <v>6</v>
      </c>
      <c r="G62" s="269">
        <f t="shared" si="7"/>
        <v>0.16666666666666666</v>
      </c>
      <c r="H62" s="270"/>
      <c r="I62" s="270"/>
      <c r="J62" s="270"/>
      <c r="K62" s="270">
        <f>$D62*$G62*(6/12)</f>
        <v>0</v>
      </c>
      <c r="L62" s="270">
        <f t="shared" si="11"/>
        <v>0</v>
      </c>
      <c r="M62" s="270">
        <f t="shared" si="11"/>
        <v>0</v>
      </c>
      <c r="N62" s="270">
        <f t="shared" si="11"/>
        <v>0</v>
      </c>
      <c r="O62" s="270">
        <f t="shared" si="11"/>
        <v>0</v>
      </c>
      <c r="P62" s="270">
        <f t="shared" si="11"/>
        <v>0</v>
      </c>
      <c r="Q62" s="47"/>
    </row>
    <row r="63" spans="2:23" s="280" customFormat="1" ht="13.5" customHeight="1">
      <c r="B63" s="724"/>
      <c r="C63" s="281" t="s">
        <v>454</v>
      </c>
      <c r="D63" s="267">
        <f>H7</f>
        <v>0</v>
      </c>
      <c r="E63" s="268" t="str">
        <f t="shared" si="10"/>
        <v>정액</v>
      </c>
      <c r="F63" s="268">
        <f t="shared" si="10"/>
        <v>6</v>
      </c>
      <c r="G63" s="269">
        <f t="shared" si="7"/>
        <v>0.16666666666666666</v>
      </c>
      <c r="H63" s="270"/>
      <c r="I63" s="270"/>
      <c r="J63" s="270"/>
      <c r="K63" s="270"/>
      <c r="L63" s="270">
        <f>$D63*$G63*(6/12)</f>
        <v>0</v>
      </c>
      <c r="M63" s="270">
        <f t="shared" si="11"/>
        <v>0</v>
      </c>
      <c r="N63" s="270">
        <f t="shared" si="11"/>
        <v>0</v>
      </c>
      <c r="O63" s="270">
        <f t="shared" si="11"/>
        <v>0</v>
      </c>
      <c r="P63" s="270">
        <f t="shared" si="11"/>
        <v>0</v>
      </c>
      <c r="Q63" s="270">
        <f t="shared" si="11"/>
        <v>0</v>
      </c>
    </row>
    <row r="64" spans="2:23" s="280" customFormat="1" ht="13.5" customHeight="1">
      <c r="B64" s="724"/>
      <c r="C64" s="267" t="s">
        <v>235</v>
      </c>
      <c r="D64" s="267">
        <f>I7</f>
        <v>0</v>
      </c>
      <c r="E64" s="268" t="str">
        <f t="shared" si="10"/>
        <v>정액</v>
      </c>
      <c r="F64" s="268">
        <f t="shared" si="10"/>
        <v>6</v>
      </c>
      <c r="G64" s="269">
        <f>1/F64</f>
        <v>0.16666666666666666</v>
      </c>
      <c r="H64" s="270"/>
      <c r="I64" s="270"/>
      <c r="J64" s="270"/>
      <c r="K64" s="270"/>
      <c r="L64" s="270"/>
      <c r="M64" s="270">
        <f>$D64*$G64*(6/12)</f>
        <v>0</v>
      </c>
      <c r="N64" s="270">
        <f>$D64*$G64</f>
        <v>0</v>
      </c>
      <c r="O64" s="270">
        <f>$D64*$G64</f>
        <v>0</v>
      </c>
      <c r="P64" s="270">
        <f>$D64*$G64</f>
        <v>0</v>
      </c>
      <c r="Q64" s="270">
        <f>$D64*$G64</f>
        <v>0</v>
      </c>
      <c r="R64" s="270">
        <f>$D64*$G64</f>
        <v>0</v>
      </c>
      <c r="S64" s="271"/>
      <c r="T64" s="47"/>
      <c r="U64" s="47"/>
      <c r="V64" s="47"/>
      <c r="W64" s="47"/>
    </row>
    <row r="65" spans="2:23" s="280" customFormat="1" ht="13.5" customHeight="1">
      <c r="B65" s="724"/>
      <c r="C65" s="281" t="s">
        <v>236</v>
      </c>
      <c r="D65" s="267">
        <f>J7</f>
        <v>0</v>
      </c>
      <c r="E65" s="268" t="str">
        <f t="shared" si="10"/>
        <v>정액</v>
      </c>
      <c r="F65" s="268">
        <f t="shared" si="10"/>
        <v>6</v>
      </c>
      <c r="G65" s="269">
        <f>1/F65</f>
        <v>0.16666666666666666</v>
      </c>
      <c r="H65" s="270"/>
      <c r="I65" s="270"/>
      <c r="J65" s="270"/>
      <c r="K65" s="270"/>
      <c r="L65" s="270"/>
      <c r="M65" s="270"/>
      <c r="N65" s="270">
        <f>$D65*$G65*(6/12)</f>
        <v>0</v>
      </c>
      <c r="O65" s="270">
        <f>$D65*$G65</f>
        <v>0</v>
      </c>
      <c r="P65" s="270">
        <f>$D65*$G65</f>
        <v>0</v>
      </c>
      <c r="Q65" s="270">
        <f>$D65*$G65</f>
        <v>0</v>
      </c>
      <c r="R65" s="270">
        <f>$D65*$G65</f>
        <v>0</v>
      </c>
      <c r="S65" s="270">
        <f>$D65*$G65</f>
        <v>0</v>
      </c>
      <c r="T65" s="271"/>
      <c r="U65" s="47"/>
      <c r="V65" s="47"/>
      <c r="W65" s="47"/>
    </row>
    <row r="66" spans="2:23" s="280" customFormat="1" ht="13.5" customHeight="1">
      <c r="B66" s="724"/>
      <c r="C66" s="267" t="s">
        <v>237</v>
      </c>
      <c r="D66" s="267">
        <f>K7</f>
        <v>0</v>
      </c>
      <c r="E66" s="268" t="str">
        <f t="shared" si="10"/>
        <v>정액</v>
      </c>
      <c r="F66" s="268">
        <f t="shared" si="10"/>
        <v>6</v>
      </c>
      <c r="G66" s="269">
        <f>1/F66</f>
        <v>0.16666666666666666</v>
      </c>
      <c r="H66" s="270"/>
      <c r="I66" s="270"/>
      <c r="J66" s="270"/>
      <c r="K66" s="270"/>
      <c r="L66" s="270"/>
      <c r="M66" s="270"/>
      <c r="N66" s="270"/>
      <c r="O66" s="270">
        <f>$D66*$G66*(6/12)</f>
        <v>0</v>
      </c>
      <c r="P66" s="270">
        <f>$D66*$G66</f>
        <v>0</v>
      </c>
      <c r="Q66" s="270">
        <f>$D66*$G66</f>
        <v>0</v>
      </c>
      <c r="R66" s="270">
        <f>$D66*$G66</f>
        <v>0</v>
      </c>
      <c r="S66" s="270">
        <f>$D66*$G66</f>
        <v>0</v>
      </c>
      <c r="T66" s="270">
        <f>$D66*$G66</f>
        <v>0</v>
      </c>
      <c r="U66" s="271"/>
      <c r="V66" s="47"/>
      <c r="W66" s="47"/>
    </row>
    <row r="67" spans="2:23" s="280" customFormat="1" ht="13.5" customHeight="1">
      <c r="B67" s="724"/>
      <c r="C67" s="281" t="s">
        <v>238</v>
      </c>
      <c r="D67" s="267">
        <f>L7</f>
        <v>0</v>
      </c>
      <c r="E67" s="268" t="str">
        <f t="shared" si="10"/>
        <v>정액</v>
      </c>
      <c r="F67" s="268">
        <f t="shared" si="10"/>
        <v>6</v>
      </c>
      <c r="G67" s="269">
        <f>1/F67</f>
        <v>0.16666666666666666</v>
      </c>
      <c r="H67" s="270"/>
      <c r="I67" s="270"/>
      <c r="J67" s="270"/>
      <c r="K67" s="270"/>
      <c r="L67" s="270"/>
      <c r="M67" s="270"/>
      <c r="N67" s="270"/>
      <c r="O67" s="270"/>
      <c r="P67" s="270">
        <f>$D67*$G67*(6/12)</f>
        <v>0</v>
      </c>
      <c r="Q67" s="270">
        <f>$D67*$G67</f>
        <v>0</v>
      </c>
      <c r="R67" s="270">
        <f>$D67*$G67</f>
        <v>0</v>
      </c>
      <c r="S67" s="270">
        <f>$D67*$G67</f>
        <v>0</v>
      </c>
      <c r="T67" s="270">
        <f>$D67*$G67</f>
        <v>0</v>
      </c>
      <c r="U67" s="270">
        <f>$D67*$G67</f>
        <v>0</v>
      </c>
      <c r="V67" s="271"/>
      <c r="W67" s="47"/>
    </row>
    <row r="68" spans="2:23" s="280" customFormat="1" ht="13.5" customHeight="1">
      <c r="B68" s="724"/>
      <c r="C68" s="267" t="s">
        <v>239</v>
      </c>
      <c r="D68" s="267">
        <f>M7</f>
        <v>0</v>
      </c>
      <c r="E68" s="268" t="str">
        <f t="shared" si="10"/>
        <v>정액</v>
      </c>
      <c r="F68" s="268">
        <f t="shared" si="10"/>
        <v>6</v>
      </c>
      <c r="G68" s="269">
        <f>1/F68</f>
        <v>0.16666666666666666</v>
      </c>
      <c r="H68" s="270"/>
      <c r="I68" s="270"/>
      <c r="J68" s="270"/>
      <c r="K68" s="270"/>
      <c r="L68" s="270"/>
      <c r="M68" s="270"/>
      <c r="N68" s="270"/>
      <c r="O68" s="270"/>
      <c r="P68" s="270"/>
      <c r="Q68" s="270">
        <f>$D68*$G68*(6/12)</f>
        <v>0</v>
      </c>
      <c r="R68" s="270">
        <f>$D68*$G68</f>
        <v>0</v>
      </c>
      <c r="S68" s="270">
        <f>$D68*$G68</f>
        <v>0</v>
      </c>
      <c r="T68" s="270">
        <f>$D68*$G68</f>
        <v>0</v>
      </c>
      <c r="U68" s="270">
        <f>$D68*$G68</f>
        <v>0</v>
      </c>
      <c r="V68" s="270">
        <f>$D68*$G68</f>
        <v>0</v>
      </c>
      <c r="W68" s="271"/>
    </row>
    <row r="69" spans="2:23" s="280" customFormat="1" ht="13.5" customHeight="1">
      <c r="B69" s="724"/>
      <c r="C69" s="282" t="s">
        <v>383</v>
      </c>
      <c r="D69" s="277">
        <f>SUM(D59:D68)</f>
        <v>0</v>
      </c>
      <c r="E69" s="283"/>
      <c r="F69" s="283"/>
      <c r="G69" s="284"/>
      <c r="H69" s="277">
        <f t="shared" ref="H69:V69" si="12">SUM(H59:H68)</f>
        <v>0</v>
      </c>
      <c r="I69" s="277">
        <f t="shared" si="12"/>
        <v>0</v>
      </c>
      <c r="J69" s="277">
        <f t="shared" si="12"/>
        <v>0</v>
      </c>
      <c r="K69" s="277">
        <f t="shared" si="12"/>
        <v>0</v>
      </c>
      <c r="L69" s="277">
        <f t="shared" si="12"/>
        <v>0</v>
      </c>
      <c r="M69" s="277">
        <f t="shared" si="12"/>
        <v>0</v>
      </c>
      <c r="N69" s="277">
        <f t="shared" si="12"/>
        <v>0</v>
      </c>
      <c r="O69" s="277">
        <f t="shared" si="12"/>
        <v>0</v>
      </c>
      <c r="P69" s="277">
        <f t="shared" si="12"/>
        <v>0</v>
      </c>
      <c r="Q69" s="277">
        <f t="shared" si="12"/>
        <v>0</v>
      </c>
      <c r="R69" s="277">
        <f t="shared" si="12"/>
        <v>0</v>
      </c>
      <c r="S69" s="277">
        <f t="shared" si="12"/>
        <v>0</v>
      </c>
      <c r="T69" s="277">
        <f t="shared" si="12"/>
        <v>0</v>
      </c>
      <c r="U69" s="277">
        <f t="shared" si="12"/>
        <v>0</v>
      </c>
      <c r="V69" s="277">
        <f t="shared" si="12"/>
        <v>0</v>
      </c>
      <c r="W69" s="47"/>
    </row>
    <row r="70" spans="2:23" s="280" customFormat="1" ht="13.5" customHeight="1">
      <c r="B70" s="724" t="s">
        <v>456</v>
      </c>
      <c r="C70" s="267" t="s">
        <v>374</v>
      </c>
      <c r="D70" s="267">
        <f>D8</f>
        <v>0</v>
      </c>
      <c r="E70" s="268" t="str">
        <f t="shared" ref="E70:F79" si="13">N$8</f>
        <v>정액</v>
      </c>
      <c r="F70" s="268">
        <f t="shared" si="13"/>
        <v>6</v>
      </c>
      <c r="G70" s="269">
        <f t="shared" si="7"/>
        <v>0.16666666666666666</v>
      </c>
      <c r="H70" s="270">
        <f>$D70*$G70*(6/12)</f>
        <v>0</v>
      </c>
      <c r="I70" s="270">
        <f>$D70*$G70</f>
        <v>0</v>
      </c>
      <c r="J70" s="270">
        <f>$D70*$G70</f>
        <v>0</v>
      </c>
      <c r="K70" s="270">
        <f>$D70*$G70</f>
        <v>0</v>
      </c>
      <c r="L70" s="270">
        <f>$D70*$G70</f>
        <v>0</v>
      </c>
      <c r="M70" s="270">
        <f>$D70*$G70</f>
        <v>0</v>
      </c>
      <c r="N70" s="271"/>
      <c r="O70" s="47"/>
      <c r="P70" s="47"/>
      <c r="Q70" s="47"/>
    </row>
    <row r="71" spans="2:23" s="280" customFormat="1" ht="13.5" customHeight="1">
      <c r="B71" s="724"/>
      <c r="C71" s="267" t="s">
        <v>414</v>
      </c>
      <c r="D71" s="267">
        <f>E8</f>
        <v>0</v>
      </c>
      <c r="E71" s="268" t="str">
        <f t="shared" si="13"/>
        <v>정액</v>
      </c>
      <c r="F71" s="268">
        <f t="shared" si="13"/>
        <v>6</v>
      </c>
      <c r="G71" s="269">
        <f t="shared" si="7"/>
        <v>0.16666666666666666</v>
      </c>
      <c r="H71" s="270"/>
      <c r="I71" s="270">
        <f>$D71*$G71*(6/12)</f>
        <v>0</v>
      </c>
      <c r="J71" s="270">
        <f t="shared" ref="J71:Q74" si="14">$D71*$G71</f>
        <v>0</v>
      </c>
      <c r="K71" s="270">
        <f t="shared" si="14"/>
        <v>0</v>
      </c>
      <c r="L71" s="270">
        <f t="shared" si="14"/>
        <v>0</v>
      </c>
      <c r="M71" s="270">
        <f t="shared" si="14"/>
        <v>0</v>
      </c>
      <c r="N71" s="270">
        <f t="shared" si="14"/>
        <v>0</v>
      </c>
      <c r="O71" s="47"/>
      <c r="P71" s="47"/>
      <c r="Q71" s="47"/>
    </row>
    <row r="72" spans="2:23" s="280" customFormat="1" ht="13.5" customHeight="1">
      <c r="B72" s="724"/>
      <c r="C72" s="267" t="s">
        <v>422</v>
      </c>
      <c r="D72" s="267">
        <f>F8</f>
        <v>0</v>
      </c>
      <c r="E72" s="268" t="str">
        <f t="shared" si="13"/>
        <v>정액</v>
      </c>
      <c r="F72" s="268">
        <f t="shared" si="13"/>
        <v>6</v>
      </c>
      <c r="G72" s="269">
        <f t="shared" si="7"/>
        <v>0.16666666666666666</v>
      </c>
      <c r="H72" s="270"/>
      <c r="I72" s="270"/>
      <c r="J72" s="270">
        <f>$D72*$G72*(6/12)</f>
        <v>0</v>
      </c>
      <c r="K72" s="270">
        <f t="shared" si="14"/>
        <v>0</v>
      </c>
      <c r="L72" s="270">
        <f t="shared" si="14"/>
        <v>0</v>
      </c>
      <c r="M72" s="270">
        <f t="shared" si="14"/>
        <v>0</v>
      </c>
      <c r="N72" s="270">
        <f t="shared" si="14"/>
        <v>0</v>
      </c>
      <c r="O72" s="270">
        <f t="shared" si="14"/>
        <v>0</v>
      </c>
      <c r="P72" s="47"/>
      <c r="Q72" s="47"/>
    </row>
    <row r="73" spans="2:23" s="280" customFormat="1" ht="13.5" customHeight="1">
      <c r="B73" s="724"/>
      <c r="C73" s="267" t="s">
        <v>453</v>
      </c>
      <c r="D73" s="267">
        <f>G8</f>
        <v>0</v>
      </c>
      <c r="E73" s="268" t="str">
        <f t="shared" si="13"/>
        <v>정액</v>
      </c>
      <c r="F73" s="268">
        <f t="shared" si="13"/>
        <v>6</v>
      </c>
      <c r="G73" s="269">
        <f t="shared" si="7"/>
        <v>0.16666666666666666</v>
      </c>
      <c r="H73" s="270"/>
      <c r="I73" s="270"/>
      <c r="J73" s="270"/>
      <c r="K73" s="270">
        <f>$D73*$G73*(6/12)</f>
        <v>0</v>
      </c>
      <c r="L73" s="270">
        <f t="shared" si="14"/>
        <v>0</v>
      </c>
      <c r="M73" s="270">
        <f t="shared" si="14"/>
        <v>0</v>
      </c>
      <c r="N73" s="270">
        <f t="shared" si="14"/>
        <v>0</v>
      </c>
      <c r="O73" s="270">
        <f t="shared" si="14"/>
        <v>0</v>
      </c>
      <c r="P73" s="270">
        <f t="shared" si="14"/>
        <v>0</v>
      </c>
      <c r="Q73" s="47"/>
    </row>
    <row r="74" spans="2:23" s="280" customFormat="1" ht="13.5" customHeight="1">
      <c r="B74" s="724"/>
      <c r="C74" s="281" t="s">
        <v>454</v>
      </c>
      <c r="D74" s="267">
        <f>H8</f>
        <v>0</v>
      </c>
      <c r="E74" s="268" t="str">
        <f t="shared" si="13"/>
        <v>정액</v>
      </c>
      <c r="F74" s="268">
        <f t="shared" si="13"/>
        <v>6</v>
      </c>
      <c r="G74" s="269">
        <f t="shared" si="7"/>
        <v>0.16666666666666666</v>
      </c>
      <c r="H74" s="270"/>
      <c r="I74" s="270"/>
      <c r="J74" s="270"/>
      <c r="K74" s="270"/>
      <c r="L74" s="270">
        <f>$D74*$G74*(6/12)</f>
        <v>0</v>
      </c>
      <c r="M74" s="270">
        <f t="shared" si="14"/>
        <v>0</v>
      </c>
      <c r="N74" s="270">
        <f t="shared" si="14"/>
        <v>0</v>
      </c>
      <c r="O74" s="270">
        <f t="shared" si="14"/>
        <v>0</v>
      </c>
      <c r="P74" s="270">
        <f t="shared" si="14"/>
        <v>0</v>
      </c>
      <c r="Q74" s="270">
        <f t="shared" si="14"/>
        <v>0</v>
      </c>
    </row>
    <row r="75" spans="2:23" s="280" customFormat="1" ht="13.5" customHeight="1">
      <c r="B75" s="724"/>
      <c r="C75" s="281" t="s">
        <v>235</v>
      </c>
      <c r="D75" s="267">
        <f>I8</f>
        <v>0</v>
      </c>
      <c r="E75" s="268" t="str">
        <f t="shared" si="13"/>
        <v>정액</v>
      </c>
      <c r="F75" s="268">
        <f t="shared" si="13"/>
        <v>6</v>
      </c>
      <c r="G75" s="269">
        <f>1/F75</f>
        <v>0.16666666666666666</v>
      </c>
      <c r="H75" s="270"/>
      <c r="I75" s="270"/>
      <c r="J75" s="270"/>
      <c r="K75" s="270"/>
      <c r="L75" s="270"/>
      <c r="M75" s="270">
        <f>$D75*$G75*(6/12)</f>
        <v>0</v>
      </c>
      <c r="N75" s="270">
        <f>$D75*$G75</f>
        <v>0</v>
      </c>
      <c r="O75" s="270">
        <f>$D75*$G75</f>
        <v>0</v>
      </c>
      <c r="P75" s="270">
        <f>$D75*$G75</f>
        <v>0</v>
      </c>
      <c r="Q75" s="270">
        <f>$D75*$G75</f>
        <v>0</v>
      </c>
      <c r="R75" s="270">
        <f>$D75*$G75</f>
        <v>0</v>
      </c>
      <c r="S75" s="271"/>
      <c r="T75" s="47"/>
      <c r="U75" s="47"/>
      <c r="V75" s="47"/>
      <c r="W75" s="47"/>
    </row>
    <row r="76" spans="2:23" s="280" customFormat="1" ht="13.5" customHeight="1">
      <c r="B76" s="724"/>
      <c r="C76" s="281" t="s">
        <v>236</v>
      </c>
      <c r="D76" s="267">
        <f>J8</f>
        <v>0</v>
      </c>
      <c r="E76" s="268" t="str">
        <f t="shared" si="13"/>
        <v>정액</v>
      </c>
      <c r="F76" s="268">
        <f t="shared" si="13"/>
        <v>6</v>
      </c>
      <c r="G76" s="269">
        <f>1/F76</f>
        <v>0.16666666666666666</v>
      </c>
      <c r="H76" s="270"/>
      <c r="I76" s="270"/>
      <c r="J76" s="270"/>
      <c r="K76" s="270"/>
      <c r="L76" s="270"/>
      <c r="M76" s="270"/>
      <c r="N76" s="270">
        <f>$D76*$G76*(6/12)</f>
        <v>0</v>
      </c>
      <c r="O76" s="270">
        <f>$D76*$G76</f>
        <v>0</v>
      </c>
      <c r="P76" s="270">
        <f>$D76*$G76</f>
        <v>0</v>
      </c>
      <c r="Q76" s="270">
        <f>$D76*$G76</f>
        <v>0</v>
      </c>
      <c r="R76" s="270">
        <f>$D76*$G76</f>
        <v>0</v>
      </c>
      <c r="S76" s="270">
        <f>$D76*$G76</f>
        <v>0</v>
      </c>
      <c r="T76" s="271"/>
      <c r="U76" s="47"/>
      <c r="V76" s="47"/>
      <c r="W76" s="47"/>
    </row>
    <row r="77" spans="2:23" s="280" customFormat="1" ht="13.5" customHeight="1">
      <c r="B77" s="724"/>
      <c r="C77" s="281" t="s">
        <v>237</v>
      </c>
      <c r="D77" s="267">
        <f>K8</f>
        <v>0</v>
      </c>
      <c r="E77" s="268" t="str">
        <f t="shared" si="13"/>
        <v>정액</v>
      </c>
      <c r="F77" s="268">
        <f t="shared" si="13"/>
        <v>6</v>
      </c>
      <c r="G77" s="269">
        <f>1/F77</f>
        <v>0.16666666666666666</v>
      </c>
      <c r="H77" s="270"/>
      <c r="I77" s="270"/>
      <c r="J77" s="270"/>
      <c r="K77" s="270"/>
      <c r="L77" s="270"/>
      <c r="M77" s="270"/>
      <c r="N77" s="270"/>
      <c r="O77" s="270">
        <f>$D77*$G77*(6/12)</f>
        <v>0</v>
      </c>
      <c r="P77" s="270">
        <f>$D77*$G77</f>
        <v>0</v>
      </c>
      <c r="Q77" s="270">
        <f>$D77*$G77</f>
        <v>0</v>
      </c>
      <c r="R77" s="270">
        <f>$D77*$G77</f>
        <v>0</v>
      </c>
      <c r="S77" s="270">
        <f>$D77*$G77</f>
        <v>0</v>
      </c>
      <c r="T77" s="270">
        <f>$D77*$G77</f>
        <v>0</v>
      </c>
      <c r="U77" s="271"/>
      <c r="V77" s="47"/>
      <c r="W77" s="47"/>
    </row>
    <row r="78" spans="2:23" s="280" customFormat="1" ht="13.5" customHeight="1">
      <c r="B78" s="724"/>
      <c r="C78" s="281" t="s">
        <v>238</v>
      </c>
      <c r="D78" s="267">
        <f>L8</f>
        <v>0</v>
      </c>
      <c r="E78" s="268" t="str">
        <f t="shared" si="13"/>
        <v>정액</v>
      </c>
      <c r="F78" s="268">
        <f t="shared" si="13"/>
        <v>6</v>
      </c>
      <c r="G78" s="269">
        <f>1/F78</f>
        <v>0.16666666666666666</v>
      </c>
      <c r="H78" s="270"/>
      <c r="I78" s="270"/>
      <c r="J78" s="270"/>
      <c r="K78" s="270"/>
      <c r="L78" s="270"/>
      <c r="M78" s="270"/>
      <c r="N78" s="270"/>
      <c r="O78" s="270"/>
      <c r="P78" s="270">
        <f>$D78*$G78*(6/12)</f>
        <v>0</v>
      </c>
      <c r="Q78" s="270">
        <f>$D78*$G78</f>
        <v>0</v>
      </c>
      <c r="R78" s="270">
        <f>$D78*$G78</f>
        <v>0</v>
      </c>
      <c r="S78" s="270">
        <f>$D78*$G78</f>
        <v>0</v>
      </c>
      <c r="T78" s="270">
        <f>$D78*$G78</f>
        <v>0</v>
      </c>
      <c r="U78" s="270">
        <f>$D78*$G78</f>
        <v>0</v>
      </c>
      <c r="V78" s="271"/>
      <c r="W78" s="47"/>
    </row>
    <row r="79" spans="2:23" s="280" customFormat="1" ht="13.5" customHeight="1">
      <c r="B79" s="724"/>
      <c r="C79" s="281" t="s">
        <v>239</v>
      </c>
      <c r="D79" s="267">
        <f>M8</f>
        <v>0</v>
      </c>
      <c r="E79" s="268" t="str">
        <f t="shared" si="13"/>
        <v>정액</v>
      </c>
      <c r="F79" s="268">
        <f t="shared" si="13"/>
        <v>6</v>
      </c>
      <c r="G79" s="269">
        <f>1/F79</f>
        <v>0.16666666666666666</v>
      </c>
      <c r="H79" s="270"/>
      <c r="I79" s="270"/>
      <c r="J79" s="270"/>
      <c r="K79" s="270"/>
      <c r="L79" s="270"/>
      <c r="M79" s="270"/>
      <c r="N79" s="270"/>
      <c r="O79" s="270"/>
      <c r="P79" s="270"/>
      <c r="Q79" s="270">
        <f>$D79*$G79*(6/12)</f>
        <v>0</v>
      </c>
      <c r="R79" s="270">
        <f>$D79*$G79</f>
        <v>0</v>
      </c>
      <c r="S79" s="270">
        <f>$D79*$G79</f>
        <v>0</v>
      </c>
      <c r="T79" s="270">
        <f>$D79*$G79</f>
        <v>0</v>
      </c>
      <c r="U79" s="270">
        <f>$D79*$G79</f>
        <v>0</v>
      </c>
      <c r="V79" s="270">
        <f>$D79*$G79</f>
        <v>0</v>
      </c>
      <c r="W79" s="271"/>
    </row>
    <row r="80" spans="2:23" s="280" customFormat="1" ht="13.5" customHeight="1">
      <c r="B80" s="724"/>
      <c r="C80" s="282" t="s">
        <v>383</v>
      </c>
      <c r="D80" s="277">
        <f>SUM(D70:D79)</f>
        <v>0</v>
      </c>
      <c r="E80" s="283"/>
      <c r="F80" s="283"/>
      <c r="G80" s="284"/>
      <c r="H80" s="277">
        <f t="shared" ref="H80:V80" si="15">SUM(H70:H79)</f>
        <v>0</v>
      </c>
      <c r="I80" s="277">
        <f t="shared" si="15"/>
        <v>0</v>
      </c>
      <c r="J80" s="277">
        <f t="shared" si="15"/>
        <v>0</v>
      </c>
      <c r="K80" s="277">
        <f t="shared" si="15"/>
        <v>0</v>
      </c>
      <c r="L80" s="277">
        <f t="shared" si="15"/>
        <v>0</v>
      </c>
      <c r="M80" s="277">
        <f t="shared" si="15"/>
        <v>0</v>
      </c>
      <c r="N80" s="277">
        <f t="shared" si="15"/>
        <v>0</v>
      </c>
      <c r="O80" s="277">
        <f t="shared" si="15"/>
        <v>0</v>
      </c>
      <c r="P80" s="277">
        <f t="shared" si="15"/>
        <v>0</v>
      </c>
      <c r="Q80" s="277">
        <f t="shared" si="15"/>
        <v>0</v>
      </c>
      <c r="R80" s="277">
        <f t="shared" si="15"/>
        <v>0</v>
      </c>
      <c r="S80" s="277">
        <f t="shared" si="15"/>
        <v>0</v>
      </c>
      <c r="T80" s="277">
        <f t="shared" si="15"/>
        <v>0</v>
      </c>
      <c r="U80" s="277">
        <f t="shared" si="15"/>
        <v>0</v>
      </c>
      <c r="V80" s="277">
        <f t="shared" si="15"/>
        <v>0</v>
      </c>
      <c r="W80" s="47"/>
    </row>
    <row r="81" spans="2:23" s="280" customFormat="1" ht="13.5" customHeight="1">
      <c r="B81" s="724" t="s">
        <v>457</v>
      </c>
      <c r="C81" s="267" t="s">
        <v>374</v>
      </c>
      <c r="D81" s="267">
        <f>D9</f>
        <v>0</v>
      </c>
      <c r="E81" s="268" t="str">
        <f t="shared" ref="E81:F90" si="16">N$9</f>
        <v>정액</v>
      </c>
      <c r="F81" s="268">
        <f t="shared" si="16"/>
        <v>6</v>
      </c>
      <c r="G81" s="269">
        <f t="shared" si="7"/>
        <v>0.16666666666666666</v>
      </c>
      <c r="H81" s="270">
        <f>$D81*$G81*(6/12)</f>
        <v>0</v>
      </c>
      <c r="I81" s="270">
        <f>$D81*$G81</f>
        <v>0</v>
      </c>
      <c r="J81" s="270">
        <f>$D81*$G81</f>
        <v>0</v>
      </c>
      <c r="K81" s="270">
        <f>$D81*$G81</f>
        <v>0</v>
      </c>
      <c r="L81" s="270">
        <f>$D81*$G81</f>
        <v>0</v>
      </c>
      <c r="M81" s="270">
        <f>$D81*$G81</f>
        <v>0</v>
      </c>
      <c r="N81" s="271"/>
      <c r="O81" s="47"/>
      <c r="P81" s="47"/>
      <c r="Q81" s="47"/>
    </row>
    <row r="82" spans="2:23" s="280" customFormat="1" ht="13.5" customHeight="1">
      <c r="B82" s="724"/>
      <c r="C82" s="267" t="s">
        <v>414</v>
      </c>
      <c r="D82" s="267">
        <f>E9</f>
        <v>0</v>
      </c>
      <c r="E82" s="268" t="str">
        <f t="shared" si="16"/>
        <v>정액</v>
      </c>
      <c r="F82" s="268">
        <f t="shared" si="16"/>
        <v>6</v>
      </c>
      <c r="G82" s="269">
        <f t="shared" si="7"/>
        <v>0.16666666666666666</v>
      </c>
      <c r="H82" s="270"/>
      <c r="I82" s="270">
        <f>$D82*$G82*(6/12)</f>
        <v>0</v>
      </c>
      <c r="J82" s="270">
        <f t="shared" ref="J82:Q85" si="17">$D82*$G82</f>
        <v>0</v>
      </c>
      <c r="K82" s="270">
        <f t="shared" si="17"/>
        <v>0</v>
      </c>
      <c r="L82" s="270">
        <f t="shared" si="17"/>
        <v>0</v>
      </c>
      <c r="M82" s="270">
        <f t="shared" si="17"/>
        <v>0</v>
      </c>
      <c r="N82" s="270">
        <f t="shared" si="17"/>
        <v>0</v>
      </c>
      <c r="O82" s="47"/>
      <c r="P82" s="47"/>
      <c r="Q82" s="47"/>
    </row>
    <row r="83" spans="2:23" s="280" customFormat="1" ht="13.5" customHeight="1">
      <c r="B83" s="724"/>
      <c r="C83" s="267" t="s">
        <v>422</v>
      </c>
      <c r="D83" s="267">
        <f>F9</f>
        <v>0</v>
      </c>
      <c r="E83" s="268" t="str">
        <f t="shared" si="16"/>
        <v>정액</v>
      </c>
      <c r="F83" s="268">
        <f t="shared" si="16"/>
        <v>6</v>
      </c>
      <c r="G83" s="269">
        <f t="shared" si="7"/>
        <v>0.16666666666666666</v>
      </c>
      <c r="H83" s="270"/>
      <c r="I83" s="270"/>
      <c r="J83" s="270">
        <f>$D83*$G83*(6/12)</f>
        <v>0</v>
      </c>
      <c r="K83" s="270">
        <f t="shared" si="17"/>
        <v>0</v>
      </c>
      <c r="L83" s="270">
        <f t="shared" si="17"/>
        <v>0</v>
      </c>
      <c r="M83" s="270">
        <f t="shared" si="17"/>
        <v>0</v>
      </c>
      <c r="N83" s="270">
        <f t="shared" si="17"/>
        <v>0</v>
      </c>
      <c r="O83" s="270">
        <f t="shared" si="17"/>
        <v>0</v>
      </c>
      <c r="P83" s="47"/>
      <c r="Q83" s="47"/>
    </row>
    <row r="84" spans="2:23" s="280" customFormat="1" ht="13.5" customHeight="1">
      <c r="B84" s="724"/>
      <c r="C84" s="267" t="s">
        <v>453</v>
      </c>
      <c r="D84" s="267">
        <f>G9</f>
        <v>0</v>
      </c>
      <c r="E84" s="268" t="str">
        <f t="shared" si="16"/>
        <v>정액</v>
      </c>
      <c r="F84" s="268">
        <f t="shared" si="16"/>
        <v>6</v>
      </c>
      <c r="G84" s="269">
        <f t="shared" si="7"/>
        <v>0.16666666666666666</v>
      </c>
      <c r="H84" s="270"/>
      <c r="I84" s="270"/>
      <c r="J84" s="270"/>
      <c r="K84" s="270">
        <f>$D84*$G84*(6/12)</f>
        <v>0</v>
      </c>
      <c r="L84" s="270">
        <f t="shared" si="17"/>
        <v>0</v>
      </c>
      <c r="M84" s="270">
        <f t="shared" si="17"/>
        <v>0</v>
      </c>
      <c r="N84" s="270">
        <f t="shared" si="17"/>
        <v>0</v>
      </c>
      <c r="O84" s="270">
        <f t="shared" si="17"/>
        <v>0</v>
      </c>
      <c r="P84" s="270">
        <f t="shared" si="17"/>
        <v>0</v>
      </c>
      <c r="Q84" s="47"/>
    </row>
    <row r="85" spans="2:23" s="280" customFormat="1" ht="13.5" customHeight="1">
      <c r="B85" s="724"/>
      <c r="C85" s="281" t="s">
        <v>454</v>
      </c>
      <c r="D85" s="267">
        <f>H9</f>
        <v>0</v>
      </c>
      <c r="E85" s="268" t="str">
        <f t="shared" si="16"/>
        <v>정액</v>
      </c>
      <c r="F85" s="268">
        <f t="shared" si="16"/>
        <v>6</v>
      </c>
      <c r="G85" s="269">
        <f t="shared" si="7"/>
        <v>0.16666666666666666</v>
      </c>
      <c r="H85" s="270"/>
      <c r="I85" s="270"/>
      <c r="J85" s="270"/>
      <c r="K85" s="270"/>
      <c r="L85" s="270">
        <f>$D85*$G85*(6/12)</f>
        <v>0</v>
      </c>
      <c r="M85" s="270">
        <f t="shared" si="17"/>
        <v>0</v>
      </c>
      <c r="N85" s="270">
        <f t="shared" si="17"/>
        <v>0</v>
      </c>
      <c r="O85" s="270">
        <f t="shared" si="17"/>
        <v>0</v>
      </c>
      <c r="P85" s="270">
        <f t="shared" si="17"/>
        <v>0</v>
      </c>
      <c r="Q85" s="270">
        <f t="shared" si="17"/>
        <v>0</v>
      </c>
    </row>
    <row r="86" spans="2:23" s="280" customFormat="1" ht="13.5" customHeight="1">
      <c r="B86" s="724"/>
      <c r="C86" s="281" t="s">
        <v>235</v>
      </c>
      <c r="D86" s="267">
        <f>I9</f>
        <v>0</v>
      </c>
      <c r="E86" s="268" t="str">
        <f t="shared" si="16"/>
        <v>정액</v>
      </c>
      <c r="F86" s="268">
        <f t="shared" si="16"/>
        <v>6</v>
      </c>
      <c r="G86" s="269">
        <f>1/F86</f>
        <v>0.16666666666666666</v>
      </c>
      <c r="H86" s="270"/>
      <c r="I86" s="270"/>
      <c r="J86" s="270"/>
      <c r="K86" s="270"/>
      <c r="L86" s="270"/>
      <c r="M86" s="270">
        <f>$D86*$G86*(6/12)</f>
        <v>0</v>
      </c>
      <c r="N86" s="270">
        <f>$D86*$G86</f>
        <v>0</v>
      </c>
      <c r="O86" s="270">
        <f>$D86*$G86</f>
        <v>0</v>
      </c>
      <c r="P86" s="270">
        <f>$D86*$G86</f>
        <v>0</v>
      </c>
      <c r="Q86" s="270">
        <f>$D86*$G86</f>
        <v>0</v>
      </c>
      <c r="R86" s="270">
        <f>$D86*$G86</f>
        <v>0</v>
      </c>
      <c r="S86" s="271"/>
      <c r="T86" s="47"/>
      <c r="U86" s="47"/>
      <c r="V86" s="47"/>
      <c r="W86" s="47"/>
    </row>
    <row r="87" spans="2:23" s="280" customFormat="1" ht="13.5" customHeight="1">
      <c r="B87" s="724"/>
      <c r="C87" s="281" t="s">
        <v>236</v>
      </c>
      <c r="D87" s="267">
        <f>J9</f>
        <v>0</v>
      </c>
      <c r="E87" s="268" t="str">
        <f t="shared" si="16"/>
        <v>정액</v>
      </c>
      <c r="F87" s="268">
        <f t="shared" si="16"/>
        <v>6</v>
      </c>
      <c r="G87" s="269">
        <f>1/F87</f>
        <v>0.16666666666666666</v>
      </c>
      <c r="H87" s="270"/>
      <c r="I87" s="270"/>
      <c r="J87" s="270"/>
      <c r="K87" s="270"/>
      <c r="L87" s="270"/>
      <c r="M87" s="270"/>
      <c r="N87" s="270">
        <f>$D87*$G87*(6/12)</f>
        <v>0</v>
      </c>
      <c r="O87" s="270">
        <f>$D87*$G87</f>
        <v>0</v>
      </c>
      <c r="P87" s="270">
        <f>$D87*$G87</f>
        <v>0</v>
      </c>
      <c r="Q87" s="270">
        <f>$D87*$G87</f>
        <v>0</v>
      </c>
      <c r="R87" s="270">
        <f>$D87*$G87</f>
        <v>0</v>
      </c>
      <c r="S87" s="270">
        <f>$D87*$G87</f>
        <v>0</v>
      </c>
      <c r="T87" s="271"/>
      <c r="U87" s="47"/>
      <c r="V87" s="47"/>
      <c r="W87" s="47"/>
    </row>
    <row r="88" spans="2:23" s="280" customFormat="1" ht="13.5" customHeight="1">
      <c r="B88" s="724"/>
      <c r="C88" s="281" t="s">
        <v>237</v>
      </c>
      <c r="D88" s="267">
        <f>K9</f>
        <v>0</v>
      </c>
      <c r="E88" s="268" t="str">
        <f t="shared" si="16"/>
        <v>정액</v>
      </c>
      <c r="F88" s="268">
        <f t="shared" si="16"/>
        <v>6</v>
      </c>
      <c r="G88" s="269">
        <f>1/F88</f>
        <v>0.16666666666666666</v>
      </c>
      <c r="H88" s="270"/>
      <c r="I88" s="270"/>
      <c r="J88" s="270"/>
      <c r="K88" s="270"/>
      <c r="L88" s="270"/>
      <c r="M88" s="270"/>
      <c r="N88" s="270"/>
      <c r="O88" s="270">
        <f>$D88*$G88*(6/12)</f>
        <v>0</v>
      </c>
      <c r="P88" s="270">
        <f>$D88*$G88</f>
        <v>0</v>
      </c>
      <c r="Q88" s="270">
        <f>$D88*$G88</f>
        <v>0</v>
      </c>
      <c r="R88" s="270">
        <f>$D88*$G88</f>
        <v>0</v>
      </c>
      <c r="S88" s="270">
        <f>$D88*$G88</f>
        <v>0</v>
      </c>
      <c r="T88" s="270">
        <f>$D88*$G88</f>
        <v>0</v>
      </c>
      <c r="U88" s="271"/>
      <c r="V88" s="47"/>
      <c r="W88" s="47"/>
    </row>
    <row r="89" spans="2:23" s="280" customFormat="1" ht="13.5" customHeight="1">
      <c r="B89" s="724"/>
      <c r="C89" s="281" t="s">
        <v>238</v>
      </c>
      <c r="D89" s="267">
        <f>L9</f>
        <v>0</v>
      </c>
      <c r="E89" s="268" t="str">
        <f t="shared" si="16"/>
        <v>정액</v>
      </c>
      <c r="F89" s="268">
        <f t="shared" si="16"/>
        <v>6</v>
      </c>
      <c r="G89" s="269">
        <f>1/F89</f>
        <v>0.16666666666666666</v>
      </c>
      <c r="H89" s="270"/>
      <c r="I89" s="270"/>
      <c r="J89" s="270"/>
      <c r="K89" s="270"/>
      <c r="L89" s="270"/>
      <c r="M89" s="270"/>
      <c r="N89" s="270"/>
      <c r="O89" s="270"/>
      <c r="P89" s="270">
        <f>$D89*$G89*(6/12)</f>
        <v>0</v>
      </c>
      <c r="Q89" s="270">
        <f>$D89*$G89</f>
        <v>0</v>
      </c>
      <c r="R89" s="270">
        <f>$D89*$G89</f>
        <v>0</v>
      </c>
      <c r="S89" s="270">
        <f>$D89*$G89</f>
        <v>0</v>
      </c>
      <c r="T89" s="270">
        <f>$D89*$G89</f>
        <v>0</v>
      </c>
      <c r="U89" s="270">
        <f>$D89*$G89</f>
        <v>0</v>
      </c>
      <c r="V89" s="271"/>
      <c r="W89" s="47"/>
    </row>
    <row r="90" spans="2:23" s="280" customFormat="1" ht="13.5" customHeight="1">
      <c r="B90" s="724"/>
      <c r="C90" s="281" t="s">
        <v>239</v>
      </c>
      <c r="D90" s="267">
        <f>M9</f>
        <v>0</v>
      </c>
      <c r="E90" s="268" t="str">
        <f t="shared" si="16"/>
        <v>정액</v>
      </c>
      <c r="F90" s="268">
        <f t="shared" si="16"/>
        <v>6</v>
      </c>
      <c r="G90" s="269">
        <f>1/F90</f>
        <v>0.16666666666666666</v>
      </c>
      <c r="H90" s="270"/>
      <c r="I90" s="270"/>
      <c r="J90" s="270"/>
      <c r="K90" s="270"/>
      <c r="L90" s="270"/>
      <c r="M90" s="270"/>
      <c r="N90" s="270"/>
      <c r="O90" s="270"/>
      <c r="P90" s="270"/>
      <c r="Q90" s="270">
        <f>$D90*$G90*(6/12)</f>
        <v>0</v>
      </c>
      <c r="R90" s="270">
        <f>$D90*$G90</f>
        <v>0</v>
      </c>
      <c r="S90" s="270">
        <f>$D90*$G90</f>
        <v>0</v>
      </c>
      <c r="T90" s="270">
        <f>$D90*$G90</f>
        <v>0</v>
      </c>
      <c r="U90" s="270">
        <f>$D90*$G90</f>
        <v>0</v>
      </c>
      <c r="V90" s="270">
        <f>$D90*$G90</f>
        <v>0</v>
      </c>
      <c r="W90" s="271"/>
    </row>
    <row r="91" spans="2:23" s="280" customFormat="1" ht="13.5" customHeight="1">
      <c r="B91" s="724"/>
      <c r="C91" s="282" t="s">
        <v>383</v>
      </c>
      <c r="D91" s="277">
        <f>SUM(D81:D90)</f>
        <v>0</v>
      </c>
      <c r="E91" s="283"/>
      <c r="F91" s="283"/>
      <c r="G91" s="284"/>
      <c r="H91" s="277">
        <f t="shared" ref="H91:V91" si="18">SUM(H81:H90)</f>
        <v>0</v>
      </c>
      <c r="I91" s="277">
        <f t="shared" si="18"/>
        <v>0</v>
      </c>
      <c r="J91" s="277">
        <f t="shared" si="18"/>
        <v>0</v>
      </c>
      <c r="K91" s="277">
        <f t="shared" si="18"/>
        <v>0</v>
      </c>
      <c r="L91" s="277">
        <f t="shared" si="18"/>
        <v>0</v>
      </c>
      <c r="M91" s="277">
        <f t="shared" si="18"/>
        <v>0</v>
      </c>
      <c r="N91" s="277">
        <f t="shared" si="18"/>
        <v>0</v>
      </c>
      <c r="O91" s="277">
        <f t="shared" si="18"/>
        <v>0</v>
      </c>
      <c r="P91" s="277">
        <f t="shared" si="18"/>
        <v>0</v>
      </c>
      <c r="Q91" s="277">
        <f t="shared" si="18"/>
        <v>0</v>
      </c>
      <c r="R91" s="277">
        <f t="shared" si="18"/>
        <v>0</v>
      </c>
      <c r="S91" s="277">
        <f t="shared" si="18"/>
        <v>0</v>
      </c>
      <c r="T91" s="277">
        <f t="shared" si="18"/>
        <v>0</v>
      </c>
      <c r="U91" s="277">
        <f t="shared" si="18"/>
        <v>0</v>
      </c>
      <c r="V91" s="277">
        <f t="shared" si="18"/>
        <v>0</v>
      </c>
      <c r="W91" s="47"/>
    </row>
    <row r="92" spans="2:23" s="280" customFormat="1" ht="13.5" customHeight="1">
      <c r="B92" s="716" t="s">
        <v>458</v>
      </c>
      <c r="C92" s="267" t="s">
        <v>374</v>
      </c>
      <c r="D92" s="267">
        <f>D11</f>
        <v>0</v>
      </c>
      <c r="E92" s="268" t="str">
        <f t="shared" ref="E92:F101" si="19">N$11</f>
        <v>정액</v>
      </c>
      <c r="F92" s="268">
        <f t="shared" si="19"/>
        <v>6</v>
      </c>
      <c r="G92" s="269">
        <f t="shared" si="7"/>
        <v>0.16666666666666666</v>
      </c>
      <c r="H92" s="270">
        <f>$D92*$G92*(6/12)</f>
        <v>0</v>
      </c>
      <c r="I92" s="270">
        <f>$D92*$G92</f>
        <v>0</v>
      </c>
      <c r="J92" s="270">
        <f>$D92*$G92</f>
        <v>0</v>
      </c>
      <c r="K92" s="270">
        <f>$D92*$G92</f>
        <v>0</v>
      </c>
      <c r="L92" s="270">
        <f>$D92*$G92</f>
        <v>0</v>
      </c>
      <c r="M92" s="270">
        <f>$D92*$G92</f>
        <v>0</v>
      </c>
      <c r="N92" s="271"/>
      <c r="O92" s="47"/>
      <c r="P92" s="47"/>
      <c r="Q92" s="47"/>
    </row>
    <row r="93" spans="2:23" s="280" customFormat="1" ht="13.5" customHeight="1">
      <c r="B93" s="716"/>
      <c r="C93" s="267" t="s">
        <v>414</v>
      </c>
      <c r="D93" s="267">
        <f>E11</f>
        <v>0</v>
      </c>
      <c r="E93" s="268" t="str">
        <f t="shared" si="19"/>
        <v>정액</v>
      </c>
      <c r="F93" s="268">
        <f t="shared" si="19"/>
        <v>6</v>
      </c>
      <c r="G93" s="269">
        <f t="shared" si="7"/>
        <v>0.16666666666666666</v>
      </c>
      <c r="H93" s="270"/>
      <c r="I93" s="270">
        <f>$D93*$G93*(6/12)</f>
        <v>0</v>
      </c>
      <c r="J93" s="270">
        <f t="shared" ref="J93:Q96" si="20">$D93*$G93</f>
        <v>0</v>
      </c>
      <c r="K93" s="270">
        <f t="shared" si="20"/>
        <v>0</v>
      </c>
      <c r="L93" s="270">
        <f t="shared" si="20"/>
        <v>0</v>
      </c>
      <c r="M93" s="270">
        <f t="shared" si="20"/>
        <v>0</v>
      </c>
      <c r="N93" s="270">
        <f t="shared" si="20"/>
        <v>0</v>
      </c>
      <c r="O93" s="47"/>
      <c r="P93" s="47"/>
      <c r="Q93" s="47"/>
    </row>
    <row r="94" spans="2:23" s="280" customFormat="1" ht="13.5" customHeight="1">
      <c r="B94" s="716"/>
      <c r="C94" s="267" t="s">
        <v>422</v>
      </c>
      <c r="D94" s="267">
        <f>F11</f>
        <v>0</v>
      </c>
      <c r="E94" s="268" t="str">
        <f t="shared" si="19"/>
        <v>정액</v>
      </c>
      <c r="F94" s="268">
        <f t="shared" si="19"/>
        <v>6</v>
      </c>
      <c r="G94" s="269">
        <f t="shared" si="7"/>
        <v>0.16666666666666666</v>
      </c>
      <c r="H94" s="270"/>
      <c r="I94" s="270"/>
      <c r="J94" s="270">
        <f>$D94*$G94*(6/12)</f>
        <v>0</v>
      </c>
      <c r="K94" s="270">
        <f t="shared" si="20"/>
        <v>0</v>
      </c>
      <c r="L94" s="270">
        <f t="shared" si="20"/>
        <v>0</v>
      </c>
      <c r="M94" s="270">
        <f t="shared" si="20"/>
        <v>0</v>
      </c>
      <c r="N94" s="270">
        <f t="shared" si="20"/>
        <v>0</v>
      </c>
      <c r="O94" s="270">
        <f t="shared" si="20"/>
        <v>0</v>
      </c>
      <c r="P94" s="47"/>
      <c r="Q94" s="47"/>
    </row>
    <row r="95" spans="2:23" s="280" customFormat="1" ht="13.5" customHeight="1">
      <c r="B95" s="716"/>
      <c r="C95" s="267" t="s">
        <v>453</v>
      </c>
      <c r="D95" s="267">
        <f>G11</f>
        <v>0</v>
      </c>
      <c r="E95" s="268" t="str">
        <f t="shared" si="19"/>
        <v>정액</v>
      </c>
      <c r="F95" s="268">
        <f t="shared" si="19"/>
        <v>6</v>
      </c>
      <c r="G95" s="269">
        <f t="shared" si="7"/>
        <v>0.16666666666666666</v>
      </c>
      <c r="H95" s="270"/>
      <c r="I95" s="270"/>
      <c r="J95" s="270"/>
      <c r="K95" s="270">
        <f>$D95*$G95*(6/12)</f>
        <v>0</v>
      </c>
      <c r="L95" s="270">
        <f t="shared" si="20"/>
        <v>0</v>
      </c>
      <c r="M95" s="270">
        <f t="shared" si="20"/>
        <v>0</v>
      </c>
      <c r="N95" s="270">
        <f t="shared" si="20"/>
        <v>0</v>
      </c>
      <c r="O95" s="270">
        <f t="shared" si="20"/>
        <v>0</v>
      </c>
      <c r="P95" s="270">
        <f t="shared" si="20"/>
        <v>0</v>
      </c>
      <c r="Q95" s="47"/>
    </row>
    <row r="96" spans="2:23" s="280" customFormat="1" ht="13.5" customHeight="1">
      <c r="B96" s="716"/>
      <c r="C96" s="281" t="s">
        <v>454</v>
      </c>
      <c r="D96" s="267">
        <f>H11</f>
        <v>0</v>
      </c>
      <c r="E96" s="268" t="str">
        <f t="shared" si="19"/>
        <v>정액</v>
      </c>
      <c r="F96" s="268">
        <f t="shared" si="19"/>
        <v>6</v>
      </c>
      <c r="G96" s="269">
        <f t="shared" si="7"/>
        <v>0.16666666666666666</v>
      </c>
      <c r="H96" s="270"/>
      <c r="I96" s="270"/>
      <c r="J96" s="270"/>
      <c r="K96" s="270"/>
      <c r="L96" s="270">
        <f>$D96*$G96*(6/12)</f>
        <v>0</v>
      </c>
      <c r="M96" s="270">
        <f t="shared" si="20"/>
        <v>0</v>
      </c>
      <c r="N96" s="270">
        <f t="shared" si="20"/>
        <v>0</v>
      </c>
      <c r="O96" s="270">
        <f t="shared" si="20"/>
        <v>0</v>
      </c>
      <c r="P96" s="270">
        <f t="shared" si="20"/>
        <v>0</v>
      </c>
      <c r="Q96" s="270">
        <f t="shared" si="20"/>
        <v>0</v>
      </c>
    </row>
    <row r="97" spans="2:23" s="280" customFormat="1" ht="13.5" customHeight="1">
      <c r="B97" s="716"/>
      <c r="C97" s="281" t="s">
        <v>235</v>
      </c>
      <c r="D97" s="267">
        <f>I11</f>
        <v>0</v>
      </c>
      <c r="E97" s="268" t="str">
        <f t="shared" si="19"/>
        <v>정액</v>
      </c>
      <c r="F97" s="268">
        <f t="shared" si="19"/>
        <v>6</v>
      </c>
      <c r="G97" s="269">
        <f>1/F97</f>
        <v>0.16666666666666666</v>
      </c>
      <c r="H97" s="270"/>
      <c r="I97" s="270"/>
      <c r="J97" s="270"/>
      <c r="K97" s="270"/>
      <c r="L97" s="270"/>
      <c r="M97" s="270">
        <f>$D97*$G97*(6/12)</f>
        <v>0</v>
      </c>
      <c r="N97" s="270">
        <f>$D97*$G97</f>
        <v>0</v>
      </c>
      <c r="O97" s="270">
        <f>$D97*$G97</f>
        <v>0</v>
      </c>
      <c r="P97" s="270">
        <f>$D97*$G97</f>
        <v>0</v>
      </c>
      <c r="Q97" s="270">
        <f>$D97*$G97</f>
        <v>0</v>
      </c>
      <c r="R97" s="270">
        <f>$D97*$G97</f>
        <v>0</v>
      </c>
      <c r="S97" s="271"/>
      <c r="T97" s="47"/>
      <c r="U97" s="47"/>
      <c r="V97" s="47"/>
      <c r="W97" s="47"/>
    </row>
    <row r="98" spans="2:23" s="280" customFormat="1" ht="13.5" customHeight="1">
      <c r="B98" s="716"/>
      <c r="C98" s="281" t="s">
        <v>236</v>
      </c>
      <c r="D98" s="267">
        <f>J11</f>
        <v>0</v>
      </c>
      <c r="E98" s="268" t="str">
        <f t="shared" si="19"/>
        <v>정액</v>
      </c>
      <c r="F98" s="268">
        <f t="shared" si="19"/>
        <v>6</v>
      </c>
      <c r="G98" s="269">
        <f>1/F98</f>
        <v>0.16666666666666666</v>
      </c>
      <c r="H98" s="270"/>
      <c r="I98" s="270"/>
      <c r="J98" s="270"/>
      <c r="K98" s="270"/>
      <c r="L98" s="270"/>
      <c r="M98" s="270"/>
      <c r="N98" s="270">
        <f>$D98*$G98*(6/12)</f>
        <v>0</v>
      </c>
      <c r="O98" s="270">
        <f>$D98*$G98</f>
        <v>0</v>
      </c>
      <c r="P98" s="270">
        <f>$D98*$G98</f>
        <v>0</v>
      </c>
      <c r="Q98" s="270">
        <f>$D98*$G98</f>
        <v>0</v>
      </c>
      <c r="R98" s="270">
        <f>$D98*$G98</f>
        <v>0</v>
      </c>
      <c r="S98" s="270">
        <f>$D98*$G98</f>
        <v>0</v>
      </c>
      <c r="T98" s="271"/>
      <c r="U98" s="47"/>
      <c r="V98" s="47"/>
      <c r="W98" s="47"/>
    </row>
    <row r="99" spans="2:23" s="280" customFormat="1" ht="13.5" customHeight="1">
      <c r="B99" s="716"/>
      <c r="C99" s="281" t="s">
        <v>237</v>
      </c>
      <c r="D99" s="267">
        <f>K11</f>
        <v>0</v>
      </c>
      <c r="E99" s="268" t="str">
        <f t="shared" si="19"/>
        <v>정액</v>
      </c>
      <c r="F99" s="268">
        <f t="shared" si="19"/>
        <v>6</v>
      </c>
      <c r="G99" s="269">
        <f>1/F99</f>
        <v>0.16666666666666666</v>
      </c>
      <c r="H99" s="270"/>
      <c r="I99" s="270"/>
      <c r="J99" s="270"/>
      <c r="K99" s="270"/>
      <c r="L99" s="270"/>
      <c r="M99" s="270"/>
      <c r="N99" s="270"/>
      <c r="O99" s="270">
        <f>$D99*$G99*(6/12)</f>
        <v>0</v>
      </c>
      <c r="P99" s="270">
        <f>$D99*$G99</f>
        <v>0</v>
      </c>
      <c r="Q99" s="270">
        <f>$D99*$G99</f>
        <v>0</v>
      </c>
      <c r="R99" s="270">
        <f>$D99*$G99</f>
        <v>0</v>
      </c>
      <c r="S99" s="270">
        <f>$D99*$G99</f>
        <v>0</v>
      </c>
      <c r="T99" s="270">
        <f>$D99*$G99</f>
        <v>0</v>
      </c>
      <c r="U99" s="271"/>
      <c r="V99" s="47"/>
      <c r="W99" s="47"/>
    </row>
    <row r="100" spans="2:23" s="280" customFormat="1" ht="13.5" customHeight="1">
      <c r="B100" s="716"/>
      <c r="C100" s="281" t="s">
        <v>238</v>
      </c>
      <c r="D100" s="267">
        <f>L11</f>
        <v>0</v>
      </c>
      <c r="E100" s="268" t="str">
        <f t="shared" si="19"/>
        <v>정액</v>
      </c>
      <c r="F100" s="268">
        <f t="shared" si="19"/>
        <v>6</v>
      </c>
      <c r="G100" s="269">
        <f>1/F100</f>
        <v>0.16666666666666666</v>
      </c>
      <c r="H100" s="270"/>
      <c r="I100" s="270"/>
      <c r="J100" s="270"/>
      <c r="K100" s="270"/>
      <c r="L100" s="270"/>
      <c r="M100" s="270"/>
      <c r="N100" s="270"/>
      <c r="O100" s="270"/>
      <c r="P100" s="270">
        <f>$D100*$G100*(6/12)</f>
        <v>0</v>
      </c>
      <c r="Q100" s="270">
        <f>$D100*$G100</f>
        <v>0</v>
      </c>
      <c r="R100" s="270">
        <f>$D100*$G100</f>
        <v>0</v>
      </c>
      <c r="S100" s="270">
        <f>$D100*$G100</f>
        <v>0</v>
      </c>
      <c r="T100" s="270">
        <f>$D100*$G100</f>
        <v>0</v>
      </c>
      <c r="U100" s="270">
        <f>$D100*$G100</f>
        <v>0</v>
      </c>
      <c r="V100" s="271"/>
      <c r="W100" s="47"/>
    </row>
    <row r="101" spans="2:23" s="280" customFormat="1" ht="13.5" customHeight="1">
      <c r="B101" s="716"/>
      <c r="C101" s="281" t="s">
        <v>239</v>
      </c>
      <c r="D101" s="267">
        <f>M11</f>
        <v>0</v>
      </c>
      <c r="E101" s="268" t="str">
        <f t="shared" si="19"/>
        <v>정액</v>
      </c>
      <c r="F101" s="268">
        <f t="shared" si="19"/>
        <v>6</v>
      </c>
      <c r="G101" s="269">
        <f>1/F101</f>
        <v>0.16666666666666666</v>
      </c>
      <c r="H101" s="270"/>
      <c r="I101" s="270"/>
      <c r="J101" s="270"/>
      <c r="K101" s="270"/>
      <c r="L101" s="270"/>
      <c r="M101" s="270"/>
      <c r="N101" s="270"/>
      <c r="O101" s="270"/>
      <c r="P101" s="270"/>
      <c r="Q101" s="270">
        <f>$D101*$G101*(6/12)</f>
        <v>0</v>
      </c>
      <c r="R101" s="270">
        <f>$D101*$G101</f>
        <v>0</v>
      </c>
      <c r="S101" s="270">
        <f>$D101*$G101</f>
        <v>0</v>
      </c>
      <c r="T101" s="270">
        <f>$D101*$G101</f>
        <v>0</v>
      </c>
      <c r="U101" s="270">
        <f>$D101*$G101</f>
        <v>0</v>
      </c>
      <c r="V101" s="270">
        <f>$D101*$G101</f>
        <v>0</v>
      </c>
      <c r="W101" s="271"/>
    </row>
    <row r="102" spans="2:23" s="280" customFormat="1" ht="13.5" customHeight="1">
      <c r="B102" s="716"/>
      <c r="C102" s="282" t="s">
        <v>383</v>
      </c>
      <c r="D102" s="277">
        <f>SUM(D92:D101)</f>
        <v>0</v>
      </c>
      <c r="E102" s="283"/>
      <c r="F102" s="283"/>
      <c r="G102" s="284"/>
      <c r="H102" s="277">
        <f t="shared" ref="H102:V102" si="21">SUM(H92:H101)</f>
        <v>0</v>
      </c>
      <c r="I102" s="277">
        <f t="shared" si="21"/>
        <v>0</v>
      </c>
      <c r="J102" s="277">
        <f t="shared" si="21"/>
        <v>0</v>
      </c>
      <c r="K102" s="277">
        <f t="shared" si="21"/>
        <v>0</v>
      </c>
      <c r="L102" s="277">
        <f t="shared" si="21"/>
        <v>0</v>
      </c>
      <c r="M102" s="277">
        <f t="shared" si="21"/>
        <v>0</v>
      </c>
      <c r="N102" s="277">
        <f t="shared" si="21"/>
        <v>0</v>
      </c>
      <c r="O102" s="277">
        <f t="shared" si="21"/>
        <v>0</v>
      </c>
      <c r="P102" s="277">
        <f t="shared" si="21"/>
        <v>0</v>
      </c>
      <c r="Q102" s="277">
        <f t="shared" si="21"/>
        <v>0</v>
      </c>
      <c r="R102" s="277">
        <f t="shared" si="21"/>
        <v>0</v>
      </c>
      <c r="S102" s="277">
        <f t="shared" si="21"/>
        <v>0</v>
      </c>
      <c r="T102" s="277">
        <f t="shared" si="21"/>
        <v>0</v>
      </c>
      <c r="U102" s="277">
        <f t="shared" si="21"/>
        <v>0</v>
      </c>
      <c r="V102" s="277">
        <f t="shared" si="21"/>
        <v>0</v>
      </c>
      <c r="W102" s="47"/>
    </row>
    <row r="103" spans="2:23" s="280" customFormat="1" ht="13.5" customHeight="1">
      <c r="B103" s="717" t="s">
        <v>459</v>
      </c>
      <c r="C103" s="267" t="s">
        <v>374</v>
      </c>
      <c r="D103" s="267">
        <f>D12</f>
        <v>0</v>
      </c>
      <c r="E103" s="268" t="str">
        <f t="shared" ref="E103:F112" si="22">N$12</f>
        <v>정액</v>
      </c>
      <c r="F103" s="268">
        <f t="shared" si="22"/>
        <v>6</v>
      </c>
      <c r="G103" s="269">
        <f t="shared" si="7"/>
        <v>0.16666666666666666</v>
      </c>
      <c r="H103" s="270">
        <f>$D103*$G103*(6/12)</f>
        <v>0</v>
      </c>
      <c r="I103" s="270">
        <f>$D103*$G103</f>
        <v>0</v>
      </c>
      <c r="J103" s="270">
        <f>$D103*$G103</f>
        <v>0</v>
      </c>
      <c r="K103" s="270">
        <f>$D103*$G103</f>
        <v>0</v>
      </c>
      <c r="L103" s="270">
        <f>$D103*$G103</f>
        <v>0</v>
      </c>
      <c r="M103" s="270">
        <f>$D103*$G103</f>
        <v>0</v>
      </c>
      <c r="N103" s="271"/>
      <c r="O103" s="47"/>
      <c r="P103" s="47"/>
      <c r="Q103" s="47"/>
    </row>
    <row r="104" spans="2:23" s="280" customFormat="1" ht="13.5" customHeight="1">
      <c r="B104" s="718"/>
      <c r="C104" s="267" t="s">
        <v>414</v>
      </c>
      <c r="D104" s="267">
        <f>E12</f>
        <v>0</v>
      </c>
      <c r="E104" s="268" t="str">
        <f t="shared" si="22"/>
        <v>정액</v>
      </c>
      <c r="F104" s="268">
        <f t="shared" si="22"/>
        <v>6</v>
      </c>
      <c r="G104" s="269">
        <f t="shared" si="7"/>
        <v>0.16666666666666666</v>
      </c>
      <c r="H104" s="270"/>
      <c r="I104" s="270">
        <f>$D104*$G104*(6/12)</f>
        <v>0</v>
      </c>
      <c r="J104" s="270">
        <f t="shared" ref="J104:Q107" si="23">$D104*$G104</f>
        <v>0</v>
      </c>
      <c r="K104" s="270">
        <f t="shared" si="23"/>
        <v>0</v>
      </c>
      <c r="L104" s="270">
        <f t="shared" si="23"/>
        <v>0</v>
      </c>
      <c r="M104" s="270">
        <f t="shared" si="23"/>
        <v>0</v>
      </c>
      <c r="N104" s="270">
        <f t="shared" si="23"/>
        <v>0</v>
      </c>
      <c r="O104" s="47"/>
      <c r="P104" s="47"/>
      <c r="Q104" s="47"/>
    </row>
    <row r="105" spans="2:23" s="280" customFormat="1" ht="13.5" customHeight="1">
      <c r="B105" s="718"/>
      <c r="C105" s="267" t="s">
        <v>422</v>
      </c>
      <c r="D105" s="267">
        <f>F12</f>
        <v>0</v>
      </c>
      <c r="E105" s="268" t="str">
        <f t="shared" si="22"/>
        <v>정액</v>
      </c>
      <c r="F105" s="268">
        <f t="shared" si="22"/>
        <v>6</v>
      </c>
      <c r="G105" s="269">
        <f t="shared" si="7"/>
        <v>0.16666666666666666</v>
      </c>
      <c r="H105" s="270"/>
      <c r="I105" s="270"/>
      <c r="J105" s="270">
        <f>$D105*$G105*(6/12)</f>
        <v>0</v>
      </c>
      <c r="K105" s="270">
        <f t="shared" si="23"/>
        <v>0</v>
      </c>
      <c r="L105" s="270">
        <f t="shared" si="23"/>
        <v>0</v>
      </c>
      <c r="M105" s="270">
        <f t="shared" si="23"/>
        <v>0</v>
      </c>
      <c r="N105" s="270">
        <f t="shared" si="23"/>
        <v>0</v>
      </c>
      <c r="O105" s="270">
        <f t="shared" si="23"/>
        <v>0</v>
      </c>
      <c r="P105" s="47"/>
      <c r="Q105" s="47"/>
    </row>
    <row r="106" spans="2:23" s="280" customFormat="1" ht="13.5" customHeight="1">
      <c r="B106" s="718"/>
      <c r="C106" s="267" t="s">
        <v>453</v>
      </c>
      <c r="D106" s="267">
        <f>G12</f>
        <v>0</v>
      </c>
      <c r="E106" s="268" t="str">
        <f t="shared" si="22"/>
        <v>정액</v>
      </c>
      <c r="F106" s="268">
        <f t="shared" si="22"/>
        <v>6</v>
      </c>
      <c r="G106" s="269">
        <f t="shared" si="7"/>
        <v>0.16666666666666666</v>
      </c>
      <c r="H106" s="270"/>
      <c r="I106" s="270"/>
      <c r="J106" s="270"/>
      <c r="K106" s="270">
        <f>$D106*$G106*(6/12)</f>
        <v>0</v>
      </c>
      <c r="L106" s="270">
        <f t="shared" si="23"/>
        <v>0</v>
      </c>
      <c r="M106" s="270">
        <f t="shared" si="23"/>
        <v>0</v>
      </c>
      <c r="N106" s="270">
        <f t="shared" si="23"/>
        <v>0</v>
      </c>
      <c r="O106" s="270">
        <f t="shared" si="23"/>
        <v>0</v>
      </c>
      <c r="P106" s="270">
        <f t="shared" si="23"/>
        <v>0</v>
      </c>
      <c r="Q106" s="47"/>
    </row>
    <row r="107" spans="2:23" s="280" customFormat="1" ht="13.5" customHeight="1">
      <c r="B107" s="718"/>
      <c r="C107" s="281" t="s">
        <v>454</v>
      </c>
      <c r="D107" s="267">
        <f>H12</f>
        <v>0</v>
      </c>
      <c r="E107" s="268" t="str">
        <f t="shared" si="22"/>
        <v>정액</v>
      </c>
      <c r="F107" s="268">
        <f t="shared" si="22"/>
        <v>6</v>
      </c>
      <c r="G107" s="269">
        <f t="shared" si="7"/>
        <v>0.16666666666666666</v>
      </c>
      <c r="H107" s="270"/>
      <c r="I107" s="270"/>
      <c r="J107" s="270"/>
      <c r="K107" s="270"/>
      <c r="L107" s="270">
        <f>$D107*$G107*(6/12)</f>
        <v>0</v>
      </c>
      <c r="M107" s="270">
        <f t="shared" si="23"/>
        <v>0</v>
      </c>
      <c r="N107" s="270">
        <f t="shared" si="23"/>
        <v>0</v>
      </c>
      <c r="O107" s="270">
        <f t="shared" si="23"/>
        <v>0</v>
      </c>
      <c r="P107" s="270">
        <f t="shared" si="23"/>
        <v>0</v>
      </c>
      <c r="Q107" s="270">
        <f t="shared" si="23"/>
        <v>0</v>
      </c>
    </row>
    <row r="108" spans="2:23" s="280" customFormat="1" ht="13.5" customHeight="1">
      <c r="B108" s="718"/>
      <c r="C108" s="281" t="s">
        <v>235</v>
      </c>
      <c r="D108" s="267">
        <f>I12</f>
        <v>0</v>
      </c>
      <c r="E108" s="268" t="str">
        <f t="shared" si="22"/>
        <v>정액</v>
      </c>
      <c r="F108" s="268">
        <f t="shared" si="22"/>
        <v>6</v>
      </c>
      <c r="G108" s="269">
        <f>1/F108</f>
        <v>0.16666666666666666</v>
      </c>
      <c r="H108" s="270"/>
      <c r="I108" s="270"/>
      <c r="J108" s="270"/>
      <c r="K108" s="270"/>
      <c r="L108" s="270"/>
      <c r="M108" s="270">
        <f>$D108*$G108*(6/12)</f>
        <v>0</v>
      </c>
      <c r="N108" s="270">
        <f>$D108*$G108</f>
        <v>0</v>
      </c>
      <c r="O108" s="270">
        <f>$D108*$G108</f>
        <v>0</v>
      </c>
      <c r="P108" s="270">
        <f>$D108*$G108</f>
        <v>0</v>
      </c>
      <c r="Q108" s="270">
        <f>$D108*$G108</f>
        <v>0</v>
      </c>
      <c r="R108" s="270">
        <f>$D108*$G108</f>
        <v>0</v>
      </c>
      <c r="S108" s="271"/>
      <c r="T108" s="47"/>
      <c r="U108" s="47"/>
      <c r="V108" s="47"/>
      <c r="W108" s="47"/>
    </row>
    <row r="109" spans="2:23" s="280" customFormat="1" ht="13.5" customHeight="1">
      <c r="B109" s="718"/>
      <c r="C109" s="281" t="s">
        <v>236</v>
      </c>
      <c r="D109" s="267">
        <f>J12</f>
        <v>0</v>
      </c>
      <c r="E109" s="268" t="str">
        <f t="shared" si="22"/>
        <v>정액</v>
      </c>
      <c r="F109" s="268">
        <f t="shared" si="22"/>
        <v>6</v>
      </c>
      <c r="G109" s="269">
        <f>1/F109</f>
        <v>0.16666666666666666</v>
      </c>
      <c r="H109" s="270"/>
      <c r="I109" s="270"/>
      <c r="J109" s="270"/>
      <c r="K109" s="270"/>
      <c r="L109" s="270"/>
      <c r="M109" s="270"/>
      <c r="N109" s="270">
        <f>$D109*$G109*(6/12)</f>
        <v>0</v>
      </c>
      <c r="O109" s="270">
        <f>$D109*$G109</f>
        <v>0</v>
      </c>
      <c r="P109" s="270">
        <f>$D109*$G109</f>
        <v>0</v>
      </c>
      <c r="Q109" s="270">
        <f>$D109*$G109</f>
        <v>0</v>
      </c>
      <c r="R109" s="270">
        <f>$D109*$G109</f>
        <v>0</v>
      </c>
      <c r="S109" s="270">
        <f>$D109*$G109</f>
        <v>0</v>
      </c>
      <c r="T109" s="271"/>
      <c r="U109" s="47"/>
      <c r="V109" s="47"/>
      <c r="W109" s="47"/>
    </row>
    <row r="110" spans="2:23" s="280" customFormat="1" ht="13.5" customHeight="1">
      <c r="B110" s="718"/>
      <c r="C110" s="281" t="s">
        <v>237</v>
      </c>
      <c r="D110" s="267">
        <f>K12</f>
        <v>0</v>
      </c>
      <c r="E110" s="268" t="str">
        <f t="shared" si="22"/>
        <v>정액</v>
      </c>
      <c r="F110" s="268">
        <f t="shared" si="22"/>
        <v>6</v>
      </c>
      <c r="G110" s="269">
        <f>1/F110</f>
        <v>0.16666666666666666</v>
      </c>
      <c r="H110" s="270"/>
      <c r="I110" s="270"/>
      <c r="J110" s="270"/>
      <c r="K110" s="270"/>
      <c r="L110" s="270"/>
      <c r="M110" s="270"/>
      <c r="N110" s="270"/>
      <c r="O110" s="270">
        <f>$D110*$G110*(6/12)</f>
        <v>0</v>
      </c>
      <c r="P110" s="270">
        <f>$D110*$G110</f>
        <v>0</v>
      </c>
      <c r="Q110" s="270">
        <f>$D110*$G110</f>
        <v>0</v>
      </c>
      <c r="R110" s="270">
        <f>$D110*$G110</f>
        <v>0</v>
      </c>
      <c r="S110" s="270">
        <f>$D110*$G110</f>
        <v>0</v>
      </c>
      <c r="T110" s="270">
        <f>$D110*$G110</f>
        <v>0</v>
      </c>
      <c r="U110" s="271"/>
      <c r="V110" s="47"/>
      <c r="W110" s="47"/>
    </row>
    <row r="111" spans="2:23" s="280" customFormat="1" ht="13.5" customHeight="1">
      <c r="B111" s="718"/>
      <c r="C111" s="281" t="s">
        <v>238</v>
      </c>
      <c r="D111" s="267">
        <f>L12</f>
        <v>0</v>
      </c>
      <c r="E111" s="268" t="str">
        <f t="shared" si="22"/>
        <v>정액</v>
      </c>
      <c r="F111" s="268">
        <f t="shared" si="22"/>
        <v>6</v>
      </c>
      <c r="G111" s="269">
        <f>1/F111</f>
        <v>0.16666666666666666</v>
      </c>
      <c r="H111" s="270"/>
      <c r="I111" s="270"/>
      <c r="J111" s="270"/>
      <c r="K111" s="270"/>
      <c r="L111" s="270"/>
      <c r="M111" s="270"/>
      <c r="N111" s="270"/>
      <c r="O111" s="270"/>
      <c r="P111" s="270">
        <f>$D111*$G111*(6/12)</f>
        <v>0</v>
      </c>
      <c r="Q111" s="270">
        <f>$D111*$G111</f>
        <v>0</v>
      </c>
      <c r="R111" s="270">
        <f>$D111*$G111</f>
        <v>0</v>
      </c>
      <c r="S111" s="270">
        <f>$D111*$G111</f>
        <v>0</v>
      </c>
      <c r="T111" s="270">
        <f>$D111*$G111</f>
        <v>0</v>
      </c>
      <c r="U111" s="270">
        <f>$D111*$G111</f>
        <v>0</v>
      </c>
      <c r="V111" s="271"/>
      <c r="W111" s="47"/>
    </row>
    <row r="112" spans="2:23" s="280" customFormat="1" ht="13.5" customHeight="1">
      <c r="B112" s="718"/>
      <c r="C112" s="281" t="s">
        <v>239</v>
      </c>
      <c r="D112" s="267">
        <f>M12</f>
        <v>0</v>
      </c>
      <c r="E112" s="268" t="str">
        <f t="shared" si="22"/>
        <v>정액</v>
      </c>
      <c r="F112" s="268">
        <f t="shared" si="22"/>
        <v>6</v>
      </c>
      <c r="G112" s="269">
        <f>1/F112</f>
        <v>0.16666666666666666</v>
      </c>
      <c r="H112" s="270"/>
      <c r="I112" s="270"/>
      <c r="J112" s="270"/>
      <c r="K112" s="270"/>
      <c r="L112" s="270"/>
      <c r="M112" s="270"/>
      <c r="N112" s="270"/>
      <c r="O112" s="270"/>
      <c r="P112" s="270"/>
      <c r="Q112" s="270">
        <f>$D112*$G112*(6/12)</f>
        <v>0</v>
      </c>
      <c r="R112" s="270">
        <f>$D112*$G112</f>
        <v>0</v>
      </c>
      <c r="S112" s="270">
        <f>$D112*$G112</f>
        <v>0</v>
      </c>
      <c r="T112" s="270">
        <f>$D112*$G112</f>
        <v>0</v>
      </c>
      <c r="U112" s="270">
        <f>$D112*$G112</f>
        <v>0</v>
      </c>
      <c r="V112" s="270">
        <f>$D112*$G112</f>
        <v>0</v>
      </c>
      <c r="W112" s="271"/>
    </row>
    <row r="113" spans="1:23" s="280" customFormat="1" ht="13.5" customHeight="1">
      <c r="B113" s="719"/>
      <c r="C113" s="282" t="s">
        <v>383</v>
      </c>
      <c r="D113" s="277">
        <f>SUM(D103:D112)</f>
        <v>0</v>
      </c>
      <c r="E113" s="283"/>
      <c r="F113" s="283"/>
      <c r="G113" s="284"/>
      <c r="H113" s="277">
        <f t="shared" ref="H113:V113" si="24">SUM(H103:H112)</f>
        <v>0</v>
      </c>
      <c r="I113" s="277">
        <f t="shared" si="24"/>
        <v>0</v>
      </c>
      <c r="J113" s="277">
        <f t="shared" si="24"/>
        <v>0</v>
      </c>
      <c r="K113" s="277">
        <f t="shared" si="24"/>
        <v>0</v>
      </c>
      <c r="L113" s="277">
        <f t="shared" si="24"/>
        <v>0</v>
      </c>
      <c r="M113" s="277">
        <f t="shared" si="24"/>
        <v>0</v>
      </c>
      <c r="N113" s="277">
        <f t="shared" si="24"/>
        <v>0</v>
      </c>
      <c r="O113" s="277">
        <f t="shared" si="24"/>
        <v>0</v>
      </c>
      <c r="P113" s="277">
        <f t="shared" si="24"/>
        <v>0</v>
      </c>
      <c r="Q113" s="277">
        <f t="shared" si="24"/>
        <v>0</v>
      </c>
      <c r="R113" s="277">
        <f t="shared" si="24"/>
        <v>0</v>
      </c>
      <c r="S113" s="277">
        <f t="shared" si="24"/>
        <v>0</v>
      </c>
      <c r="T113" s="277">
        <f t="shared" si="24"/>
        <v>0</v>
      </c>
      <c r="U113" s="277">
        <f t="shared" si="24"/>
        <v>0</v>
      </c>
      <c r="V113" s="277">
        <f t="shared" si="24"/>
        <v>0</v>
      </c>
      <c r="W113" s="47"/>
    </row>
    <row r="114" spans="1:23">
      <c r="A114" s="285"/>
      <c r="B114" s="285"/>
      <c r="C114" s="286"/>
      <c r="D114" s="285"/>
      <c r="E114" s="285"/>
      <c r="F114" s="285"/>
      <c r="G114" s="285"/>
      <c r="H114" s="285"/>
      <c r="I114" s="285"/>
      <c r="J114" s="287"/>
      <c r="K114" s="287"/>
      <c r="L114" s="287"/>
      <c r="M114" s="287"/>
      <c r="N114" s="287"/>
    </row>
  </sheetData>
  <mergeCells count="14">
    <mergeCell ref="B42:C42"/>
    <mergeCell ref="B5:C5"/>
    <mergeCell ref="B6:B10"/>
    <mergeCell ref="B11:B13"/>
    <mergeCell ref="B14:C14"/>
    <mergeCell ref="B41:C41"/>
    <mergeCell ref="B92:B102"/>
    <mergeCell ref="B103:B113"/>
    <mergeCell ref="B43:C43"/>
    <mergeCell ref="B44:C44"/>
    <mergeCell ref="B48:B58"/>
    <mergeCell ref="B59:B69"/>
    <mergeCell ref="B70:B80"/>
    <mergeCell ref="B81:B91"/>
  </mergeCells>
  <phoneticPr fontId="1" type="noConversion"/>
  <dataValidations count="1">
    <dataValidation type="list" allowBlank="1" showInputMessage="1" showErrorMessage="1" sqref="O14 JK14 TG14 ADC14 AMY14 AWU14 BGQ14 BQM14 CAI14 CKE14 CUA14 DDW14 DNS14 DXO14 EHK14 ERG14 FBC14 FKY14 FUU14 GEQ14 GOM14 GYI14 HIE14 HSA14 IBW14 ILS14 IVO14 JFK14 JPG14 JZC14 KIY14 KSU14 LCQ14 LMM14 LWI14 MGE14 MQA14 MZW14 NJS14 NTO14 ODK14 ONG14 OXC14 PGY14 PQU14 QAQ14 QKM14 QUI14 REE14 ROA14 RXW14 SHS14 SRO14 TBK14 TLG14 TVC14 UEY14 UOU14 UYQ14 VIM14 VSI14 WCE14 WMA14 WVW14 O65550 JK65550 TG65550 ADC65550 AMY65550 AWU65550 BGQ65550 BQM65550 CAI65550 CKE65550 CUA65550 DDW65550 DNS65550 DXO65550 EHK65550 ERG65550 FBC65550 FKY65550 FUU65550 GEQ65550 GOM65550 GYI65550 HIE65550 HSA65550 IBW65550 ILS65550 IVO65550 JFK65550 JPG65550 JZC65550 KIY65550 KSU65550 LCQ65550 LMM65550 LWI65550 MGE65550 MQA65550 MZW65550 NJS65550 NTO65550 ODK65550 ONG65550 OXC65550 PGY65550 PQU65550 QAQ65550 QKM65550 QUI65550 REE65550 ROA65550 RXW65550 SHS65550 SRO65550 TBK65550 TLG65550 TVC65550 UEY65550 UOU65550 UYQ65550 VIM65550 VSI65550 WCE65550 WMA65550 WVW65550 O131086 JK131086 TG131086 ADC131086 AMY131086 AWU131086 BGQ131086 BQM131086 CAI131086 CKE131086 CUA131086 DDW131086 DNS131086 DXO131086 EHK131086 ERG131086 FBC131086 FKY131086 FUU131086 GEQ131086 GOM131086 GYI131086 HIE131086 HSA131086 IBW131086 ILS131086 IVO131086 JFK131086 JPG131086 JZC131086 KIY131086 KSU131086 LCQ131086 LMM131086 LWI131086 MGE131086 MQA131086 MZW131086 NJS131086 NTO131086 ODK131086 ONG131086 OXC131086 PGY131086 PQU131086 QAQ131086 QKM131086 QUI131086 REE131086 ROA131086 RXW131086 SHS131086 SRO131086 TBK131086 TLG131086 TVC131086 UEY131086 UOU131086 UYQ131086 VIM131086 VSI131086 WCE131086 WMA131086 WVW131086 O196622 JK196622 TG196622 ADC196622 AMY196622 AWU196622 BGQ196622 BQM196622 CAI196622 CKE196622 CUA196622 DDW196622 DNS196622 DXO196622 EHK196622 ERG196622 FBC196622 FKY196622 FUU196622 GEQ196622 GOM196622 GYI196622 HIE196622 HSA196622 IBW196622 ILS196622 IVO196622 JFK196622 JPG196622 JZC196622 KIY196622 KSU196622 LCQ196622 LMM196622 LWI196622 MGE196622 MQA196622 MZW196622 NJS196622 NTO196622 ODK196622 ONG196622 OXC196622 PGY196622 PQU196622 QAQ196622 QKM196622 QUI196622 REE196622 ROA196622 RXW196622 SHS196622 SRO196622 TBK196622 TLG196622 TVC196622 UEY196622 UOU196622 UYQ196622 VIM196622 VSI196622 WCE196622 WMA196622 WVW196622 O262158 JK262158 TG262158 ADC262158 AMY262158 AWU262158 BGQ262158 BQM262158 CAI262158 CKE262158 CUA262158 DDW262158 DNS262158 DXO262158 EHK262158 ERG262158 FBC262158 FKY262158 FUU262158 GEQ262158 GOM262158 GYI262158 HIE262158 HSA262158 IBW262158 ILS262158 IVO262158 JFK262158 JPG262158 JZC262158 KIY262158 KSU262158 LCQ262158 LMM262158 LWI262158 MGE262158 MQA262158 MZW262158 NJS262158 NTO262158 ODK262158 ONG262158 OXC262158 PGY262158 PQU262158 QAQ262158 QKM262158 QUI262158 REE262158 ROA262158 RXW262158 SHS262158 SRO262158 TBK262158 TLG262158 TVC262158 UEY262158 UOU262158 UYQ262158 VIM262158 VSI262158 WCE262158 WMA262158 WVW262158 O327694 JK327694 TG327694 ADC327694 AMY327694 AWU327694 BGQ327694 BQM327694 CAI327694 CKE327694 CUA327694 DDW327694 DNS327694 DXO327694 EHK327694 ERG327694 FBC327694 FKY327694 FUU327694 GEQ327694 GOM327694 GYI327694 HIE327694 HSA327694 IBW327694 ILS327694 IVO327694 JFK327694 JPG327694 JZC327694 KIY327694 KSU327694 LCQ327694 LMM327694 LWI327694 MGE327694 MQA327694 MZW327694 NJS327694 NTO327694 ODK327694 ONG327694 OXC327694 PGY327694 PQU327694 QAQ327694 QKM327694 QUI327694 REE327694 ROA327694 RXW327694 SHS327694 SRO327694 TBK327694 TLG327694 TVC327694 UEY327694 UOU327694 UYQ327694 VIM327694 VSI327694 WCE327694 WMA327694 WVW327694 O393230 JK393230 TG393230 ADC393230 AMY393230 AWU393230 BGQ393230 BQM393230 CAI393230 CKE393230 CUA393230 DDW393230 DNS393230 DXO393230 EHK393230 ERG393230 FBC393230 FKY393230 FUU393230 GEQ393230 GOM393230 GYI393230 HIE393230 HSA393230 IBW393230 ILS393230 IVO393230 JFK393230 JPG393230 JZC393230 KIY393230 KSU393230 LCQ393230 LMM393230 LWI393230 MGE393230 MQA393230 MZW393230 NJS393230 NTO393230 ODK393230 ONG393230 OXC393230 PGY393230 PQU393230 QAQ393230 QKM393230 QUI393230 REE393230 ROA393230 RXW393230 SHS393230 SRO393230 TBK393230 TLG393230 TVC393230 UEY393230 UOU393230 UYQ393230 VIM393230 VSI393230 WCE393230 WMA393230 WVW393230 O458766 JK458766 TG458766 ADC458766 AMY458766 AWU458766 BGQ458766 BQM458766 CAI458766 CKE458766 CUA458766 DDW458766 DNS458766 DXO458766 EHK458766 ERG458766 FBC458766 FKY458766 FUU458766 GEQ458766 GOM458766 GYI458766 HIE458766 HSA458766 IBW458766 ILS458766 IVO458766 JFK458766 JPG458766 JZC458766 KIY458766 KSU458766 LCQ458766 LMM458766 LWI458766 MGE458766 MQA458766 MZW458766 NJS458766 NTO458766 ODK458766 ONG458766 OXC458766 PGY458766 PQU458766 QAQ458766 QKM458766 QUI458766 REE458766 ROA458766 RXW458766 SHS458766 SRO458766 TBK458766 TLG458766 TVC458766 UEY458766 UOU458766 UYQ458766 VIM458766 VSI458766 WCE458766 WMA458766 WVW458766 O524302 JK524302 TG524302 ADC524302 AMY524302 AWU524302 BGQ524302 BQM524302 CAI524302 CKE524302 CUA524302 DDW524302 DNS524302 DXO524302 EHK524302 ERG524302 FBC524302 FKY524302 FUU524302 GEQ524302 GOM524302 GYI524302 HIE524302 HSA524302 IBW524302 ILS524302 IVO524302 JFK524302 JPG524302 JZC524302 KIY524302 KSU524302 LCQ524302 LMM524302 LWI524302 MGE524302 MQA524302 MZW524302 NJS524302 NTO524302 ODK524302 ONG524302 OXC524302 PGY524302 PQU524302 QAQ524302 QKM524302 QUI524302 REE524302 ROA524302 RXW524302 SHS524302 SRO524302 TBK524302 TLG524302 TVC524302 UEY524302 UOU524302 UYQ524302 VIM524302 VSI524302 WCE524302 WMA524302 WVW524302 O589838 JK589838 TG589838 ADC589838 AMY589838 AWU589838 BGQ589838 BQM589838 CAI589838 CKE589838 CUA589838 DDW589838 DNS589838 DXO589838 EHK589838 ERG589838 FBC589838 FKY589838 FUU589838 GEQ589838 GOM589838 GYI589838 HIE589838 HSA589838 IBW589838 ILS589838 IVO589838 JFK589838 JPG589838 JZC589838 KIY589838 KSU589838 LCQ589838 LMM589838 LWI589838 MGE589838 MQA589838 MZW589838 NJS589838 NTO589838 ODK589838 ONG589838 OXC589838 PGY589838 PQU589838 QAQ589838 QKM589838 QUI589838 REE589838 ROA589838 RXW589838 SHS589838 SRO589838 TBK589838 TLG589838 TVC589838 UEY589838 UOU589838 UYQ589838 VIM589838 VSI589838 WCE589838 WMA589838 WVW589838 O655374 JK655374 TG655374 ADC655374 AMY655374 AWU655374 BGQ655374 BQM655374 CAI655374 CKE655374 CUA655374 DDW655374 DNS655374 DXO655374 EHK655374 ERG655374 FBC655374 FKY655374 FUU655374 GEQ655374 GOM655374 GYI655374 HIE655374 HSA655374 IBW655374 ILS655374 IVO655374 JFK655374 JPG655374 JZC655374 KIY655374 KSU655374 LCQ655374 LMM655374 LWI655374 MGE655374 MQA655374 MZW655374 NJS655374 NTO655374 ODK655374 ONG655374 OXC655374 PGY655374 PQU655374 QAQ655374 QKM655374 QUI655374 REE655374 ROA655374 RXW655374 SHS655374 SRO655374 TBK655374 TLG655374 TVC655374 UEY655374 UOU655374 UYQ655374 VIM655374 VSI655374 WCE655374 WMA655374 WVW655374 O720910 JK720910 TG720910 ADC720910 AMY720910 AWU720910 BGQ720910 BQM720910 CAI720910 CKE720910 CUA720910 DDW720910 DNS720910 DXO720910 EHK720910 ERG720910 FBC720910 FKY720910 FUU720910 GEQ720910 GOM720910 GYI720910 HIE720910 HSA720910 IBW720910 ILS720910 IVO720910 JFK720910 JPG720910 JZC720910 KIY720910 KSU720910 LCQ720910 LMM720910 LWI720910 MGE720910 MQA720910 MZW720910 NJS720910 NTO720910 ODK720910 ONG720910 OXC720910 PGY720910 PQU720910 QAQ720910 QKM720910 QUI720910 REE720910 ROA720910 RXW720910 SHS720910 SRO720910 TBK720910 TLG720910 TVC720910 UEY720910 UOU720910 UYQ720910 VIM720910 VSI720910 WCE720910 WMA720910 WVW720910 O786446 JK786446 TG786446 ADC786446 AMY786446 AWU786446 BGQ786446 BQM786446 CAI786446 CKE786446 CUA786446 DDW786446 DNS786446 DXO786446 EHK786446 ERG786446 FBC786446 FKY786446 FUU786446 GEQ786446 GOM786446 GYI786446 HIE786446 HSA786446 IBW786446 ILS786446 IVO786446 JFK786446 JPG786446 JZC786446 KIY786446 KSU786446 LCQ786446 LMM786446 LWI786446 MGE786446 MQA786446 MZW786446 NJS786446 NTO786446 ODK786446 ONG786446 OXC786446 PGY786446 PQU786446 QAQ786446 QKM786446 QUI786446 REE786446 ROA786446 RXW786446 SHS786446 SRO786446 TBK786446 TLG786446 TVC786446 UEY786446 UOU786446 UYQ786446 VIM786446 VSI786446 WCE786446 WMA786446 WVW786446 O851982 JK851982 TG851982 ADC851982 AMY851982 AWU851982 BGQ851982 BQM851982 CAI851982 CKE851982 CUA851982 DDW851982 DNS851982 DXO851982 EHK851982 ERG851982 FBC851982 FKY851982 FUU851982 GEQ851982 GOM851982 GYI851982 HIE851982 HSA851982 IBW851982 ILS851982 IVO851982 JFK851982 JPG851982 JZC851982 KIY851982 KSU851982 LCQ851982 LMM851982 LWI851982 MGE851982 MQA851982 MZW851982 NJS851982 NTO851982 ODK851982 ONG851982 OXC851982 PGY851982 PQU851982 QAQ851982 QKM851982 QUI851982 REE851982 ROA851982 RXW851982 SHS851982 SRO851982 TBK851982 TLG851982 TVC851982 UEY851982 UOU851982 UYQ851982 VIM851982 VSI851982 WCE851982 WMA851982 WVW851982 O917518 JK917518 TG917518 ADC917518 AMY917518 AWU917518 BGQ917518 BQM917518 CAI917518 CKE917518 CUA917518 DDW917518 DNS917518 DXO917518 EHK917518 ERG917518 FBC917518 FKY917518 FUU917518 GEQ917518 GOM917518 GYI917518 HIE917518 HSA917518 IBW917518 ILS917518 IVO917518 JFK917518 JPG917518 JZC917518 KIY917518 KSU917518 LCQ917518 LMM917518 LWI917518 MGE917518 MQA917518 MZW917518 NJS917518 NTO917518 ODK917518 ONG917518 OXC917518 PGY917518 PQU917518 QAQ917518 QKM917518 QUI917518 REE917518 ROA917518 RXW917518 SHS917518 SRO917518 TBK917518 TLG917518 TVC917518 UEY917518 UOU917518 UYQ917518 VIM917518 VSI917518 WCE917518 WMA917518 WVW917518 O983054 JK983054 TG983054 ADC983054 AMY983054 AWU983054 BGQ983054 BQM983054 CAI983054 CKE983054 CUA983054 DDW983054 DNS983054 DXO983054 EHK983054 ERG983054 FBC983054 FKY983054 FUU983054 GEQ983054 GOM983054 GYI983054 HIE983054 HSA983054 IBW983054 ILS983054 IVO983054 JFK983054 JPG983054 JZC983054 KIY983054 KSU983054 LCQ983054 LMM983054 LWI983054 MGE983054 MQA983054 MZW983054 NJS983054 NTO983054 ODK983054 ONG983054 OXC983054 PGY983054 PQU983054 QAQ983054 QKM983054 QUI983054 REE983054 ROA983054 RXW983054 SHS983054 SRO983054 TBK983054 TLG983054 TVC983054 UEY983054 UOU983054 UYQ983054 VIM983054 VSI983054 WCE983054 WMA983054 WVW983054 N6:N13 JJ6:JJ13 TF6:TF13 ADB6:ADB13 AMX6:AMX13 AWT6:AWT13 BGP6:BGP13 BQL6:BQL13 CAH6:CAH13 CKD6:CKD13 CTZ6:CTZ13 DDV6:DDV13 DNR6:DNR13 DXN6:DXN13 EHJ6:EHJ13 ERF6:ERF13 FBB6:FBB13 FKX6:FKX13 FUT6:FUT13 GEP6:GEP13 GOL6:GOL13 GYH6:GYH13 HID6:HID13 HRZ6:HRZ13 IBV6:IBV13 ILR6:ILR13 IVN6:IVN13 JFJ6:JFJ13 JPF6:JPF13 JZB6:JZB13 KIX6:KIX13 KST6:KST13 LCP6:LCP13 LML6:LML13 LWH6:LWH13 MGD6:MGD13 MPZ6:MPZ13 MZV6:MZV13 NJR6:NJR13 NTN6:NTN13 ODJ6:ODJ13 ONF6:ONF13 OXB6:OXB13 PGX6:PGX13 PQT6:PQT13 QAP6:QAP13 QKL6:QKL13 QUH6:QUH13 RED6:RED13 RNZ6:RNZ13 RXV6:RXV13 SHR6:SHR13 SRN6:SRN13 TBJ6:TBJ13 TLF6:TLF13 TVB6:TVB13 UEX6:UEX13 UOT6:UOT13 UYP6:UYP13 VIL6:VIL13 VSH6:VSH13 WCD6:WCD13 WLZ6:WLZ13 WVV6:WVV13 N65542:N65549 JJ65542:JJ65549 TF65542:TF65549 ADB65542:ADB65549 AMX65542:AMX65549 AWT65542:AWT65549 BGP65542:BGP65549 BQL65542:BQL65549 CAH65542:CAH65549 CKD65542:CKD65549 CTZ65542:CTZ65549 DDV65542:DDV65549 DNR65542:DNR65549 DXN65542:DXN65549 EHJ65542:EHJ65549 ERF65542:ERF65549 FBB65542:FBB65549 FKX65542:FKX65549 FUT65542:FUT65549 GEP65542:GEP65549 GOL65542:GOL65549 GYH65542:GYH65549 HID65542:HID65549 HRZ65542:HRZ65549 IBV65542:IBV65549 ILR65542:ILR65549 IVN65542:IVN65549 JFJ65542:JFJ65549 JPF65542:JPF65549 JZB65542:JZB65549 KIX65542:KIX65549 KST65542:KST65549 LCP65542:LCP65549 LML65542:LML65549 LWH65542:LWH65549 MGD65542:MGD65549 MPZ65542:MPZ65549 MZV65542:MZV65549 NJR65542:NJR65549 NTN65542:NTN65549 ODJ65542:ODJ65549 ONF65542:ONF65549 OXB65542:OXB65549 PGX65542:PGX65549 PQT65542:PQT65549 QAP65542:QAP65549 QKL65542:QKL65549 QUH65542:QUH65549 RED65542:RED65549 RNZ65542:RNZ65549 RXV65542:RXV65549 SHR65542:SHR65549 SRN65542:SRN65549 TBJ65542:TBJ65549 TLF65542:TLF65549 TVB65542:TVB65549 UEX65542:UEX65549 UOT65542:UOT65549 UYP65542:UYP65549 VIL65542:VIL65549 VSH65542:VSH65549 WCD65542:WCD65549 WLZ65542:WLZ65549 WVV65542:WVV65549 N131078:N131085 JJ131078:JJ131085 TF131078:TF131085 ADB131078:ADB131085 AMX131078:AMX131085 AWT131078:AWT131085 BGP131078:BGP131085 BQL131078:BQL131085 CAH131078:CAH131085 CKD131078:CKD131085 CTZ131078:CTZ131085 DDV131078:DDV131085 DNR131078:DNR131085 DXN131078:DXN131085 EHJ131078:EHJ131085 ERF131078:ERF131085 FBB131078:FBB131085 FKX131078:FKX131085 FUT131078:FUT131085 GEP131078:GEP131085 GOL131078:GOL131085 GYH131078:GYH131085 HID131078:HID131085 HRZ131078:HRZ131085 IBV131078:IBV131085 ILR131078:ILR131085 IVN131078:IVN131085 JFJ131078:JFJ131085 JPF131078:JPF131085 JZB131078:JZB131085 KIX131078:KIX131085 KST131078:KST131085 LCP131078:LCP131085 LML131078:LML131085 LWH131078:LWH131085 MGD131078:MGD131085 MPZ131078:MPZ131085 MZV131078:MZV131085 NJR131078:NJR131085 NTN131078:NTN131085 ODJ131078:ODJ131085 ONF131078:ONF131085 OXB131078:OXB131085 PGX131078:PGX131085 PQT131078:PQT131085 QAP131078:QAP131085 QKL131078:QKL131085 QUH131078:QUH131085 RED131078:RED131085 RNZ131078:RNZ131085 RXV131078:RXV131085 SHR131078:SHR131085 SRN131078:SRN131085 TBJ131078:TBJ131085 TLF131078:TLF131085 TVB131078:TVB131085 UEX131078:UEX131085 UOT131078:UOT131085 UYP131078:UYP131085 VIL131078:VIL131085 VSH131078:VSH131085 WCD131078:WCD131085 WLZ131078:WLZ131085 WVV131078:WVV131085 N196614:N196621 JJ196614:JJ196621 TF196614:TF196621 ADB196614:ADB196621 AMX196614:AMX196621 AWT196614:AWT196621 BGP196614:BGP196621 BQL196614:BQL196621 CAH196614:CAH196621 CKD196614:CKD196621 CTZ196614:CTZ196621 DDV196614:DDV196621 DNR196614:DNR196621 DXN196614:DXN196621 EHJ196614:EHJ196621 ERF196614:ERF196621 FBB196614:FBB196621 FKX196614:FKX196621 FUT196614:FUT196621 GEP196614:GEP196621 GOL196614:GOL196621 GYH196614:GYH196621 HID196614:HID196621 HRZ196614:HRZ196621 IBV196614:IBV196621 ILR196614:ILR196621 IVN196614:IVN196621 JFJ196614:JFJ196621 JPF196614:JPF196621 JZB196614:JZB196621 KIX196614:KIX196621 KST196614:KST196621 LCP196614:LCP196621 LML196614:LML196621 LWH196614:LWH196621 MGD196614:MGD196621 MPZ196614:MPZ196621 MZV196614:MZV196621 NJR196614:NJR196621 NTN196614:NTN196621 ODJ196614:ODJ196621 ONF196614:ONF196621 OXB196614:OXB196621 PGX196614:PGX196621 PQT196614:PQT196621 QAP196614:QAP196621 QKL196614:QKL196621 QUH196614:QUH196621 RED196614:RED196621 RNZ196614:RNZ196621 RXV196614:RXV196621 SHR196614:SHR196621 SRN196614:SRN196621 TBJ196614:TBJ196621 TLF196614:TLF196621 TVB196614:TVB196621 UEX196614:UEX196621 UOT196614:UOT196621 UYP196614:UYP196621 VIL196614:VIL196621 VSH196614:VSH196621 WCD196614:WCD196621 WLZ196614:WLZ196621 WVV196614:WVV196621 N262150:N262157 JJ262150:JJ262157 TF262150:TF262157 ADB262150:ADB262157 AMX262150:AMX262157 AWT262150:AWT262157 BGP262150:BGP262157 BQL262150:BQL262157 CAH262150:CAH262157 CKD262150:CKD262157 CTZ262150:CTZ262157 DDV262150:DDV262157 DNR262150:DNR262157 DXN262150:DXN262157 EHJ262150:EHJ262157 ERF262150:ERF262157 FBB262150:FBB262157 FKX262150:FKX262157 FUT262150:FUT262157 GEP262150:GEP262157 GOL262150:GOL262157 GYH262150:GYH262157 HID262150:HID262157 HRZ262150:HRZ262157 IBV262150:IBV262157 ILR262150:ILR262157 IVN262150:IVN262157 JFJ262150:JFJ262157 JPF262150:JPF262157 JZB262150:JZB262157 KIX262150:KIX262157 KST262150:KST262157 LCP262150:LCP262157 LML262150:LML262157 LWH262150:LWH262157 MGD262150:MGD262157 MPZ262150:MPZ262157 MZV262150:MZV262157 NJR262150:NJR262157 NTN262150:NTN262157 ODJ262150:ODJ262157 ONF262150:ONF262157 OXB262150:OXB262157 PGX262150:PGX262157 PQT262150:PQT262157 QAP262150:QAP262157 QKL262150:QKL262157 QUH262150:QUH262157 RED262150:RED262157 RNZ262150:RNZ262157 RXV262150:RXV262157 SHR262150:SHR262157 SRN262150:SRN262157 TBJ262150:TBJ262157 TLF262150:TLF262157 TVB262150:TVB262157 UEX262150:UEX262157 UOT262150:UOT262157 UYP262150:UYP262157 VIL262150:VIL262157 VSH262150:VSH262157 WCD262150:WCD262157 WLZ262150:WLZ262157 WVV262150:WVV262157 N327686:N327693 JJ327686:JJ327693 TF327686:TF327693 ADB327686:ADB327693 AMX327686:AMX327693 AWT327686:AWT327693 BGP327686:BGP327693 BQL327686:BQL327693 CAH327686:CAH327693 CKD327686:CKD327693 CTZ327686:CTZ327693 DDV327686:DDV327693 DNR327686:DNR327693 DXN327686:DXN327693 EHJ327686:EHJ327693 ERF327686:ERF327693 FBB327686:FBB327693 FKX327686:FKX327693 FUT327686:FUT327693 GEP327686:GEP327693 GOL327686:GOL327693 GYH327686:GYH327693 HID327686:HID327693 HRZ327686:HRZ327693 IBV327686:IBV327693 ILR327686:ILR327693 IVN327686:IVN327693 JFJ327686:JFJ327693 JPF327686:JPF327693 JZB327686:JZB327693 KIX327686:KIX327693 KST327686:KST327693 LCP327686:LCP327693 LML327686:LML327693 LWH327686:LWH327693 MGD327686:MGD327693 MPZ327686:MPZ327693 MZV327686:MZV327693 NJR327686:NJR327693 NTN327686:NTN327693 ODJ327686:ODJ327693 ONF327686:ONF327693 OXB327686:OXB327693 PGX327686:PGX327693 PQT327686:PQT327693 QAP327686:QAP327693 QKL327686:QKL327693 QUH327686:QUH327693 RED327686:RED327693 RNZ327686:RNZ327693 RXV327686:RXV327693 SHR327686:SHR327693 SRN327686:SRN327693 TBJ327686:TBJ327693 TLF327686:TLF327693 TVB327686:TVB327693 UEX327686:UEX327693 UOT327686:UOT327693 UYP327686:UYP327693 VIL327686:VIL327693 VSH327686:VSH327693 WCD327686:WCD327693 WLZ327686:WLZ327693 WVV327686:WVV327693 N393222:N393229 JJ393222:JJ393229 TF393222:TF393229 ADB393222:ADB393229 AMX393222:AMX393229 AWT393222:AWT393229 BGP393222:BGP393229 BQL393222:BQL393229 CAH393222:CAH393229 CKD393222:CKD393229 CTZ393222:CTZ393229 DDV393222:DDV393229 DNR393222:DNR393229 DXN393222:DXN393229 EHJ393222:EHJ393229 ERF393222:ERF393229 FBB393222:FBB393229 FKX393222:FKX393229 FUT393222:FUT393229 GEP393222:GEP393229 GOL393222:GOL393229 GYH393222:GYH393229 HID393222:HID393229 HRZ393222:HRZ393229 IBV393222:IBV393229 ILR393222:ILR393229 IVN393222:IVN393229 JFJ393222:JFJ393229 JPF393222:JPF393229 JZB393222:JZB393229 KIX393222:KIX393229 KST393222:KST393229 LCP393222:LCP393229 LML393222:LML393229 LWH393222:LWH393229 MGD393222:MGD393229 MPZ393222:MPZ393229 MZV393222:MZV393229 NJR393222:NJR393229 NTN393222:NTN393229 ODJ393222:ODJ393229 ONF393222:ONF393229 OXB393222:OXB393229 PGX393222:PGX393229 PQT393222:PQT393229 QAP393222:QAP393229 QKL393222:QKL393229 QUH393222:QUH393229 RED393222:RED393229 RNZ393222:RNZ393229 RXV393222:RXV393229 SHR393222:SHR393229 SRN393222:SRN393229 TBJ393222:TBJ393229 TLF393222:TLF393229 TVB393222:TVB393229 UEX393222:UEX393229 UOT393222:UOT393229 UYP393222:UYP393229 VIL393222:VIL393229 VSH393222:VSH393229 WCD393222:WCD393229 WLZ393222:WLZ393229 WVV393222:WVV393229 N458758:N458765 JJ458758:JJ458765 TF458758:TF458765 ADB458758:ADB458765 AMX458758:AMX458765 AWT458758:AWT458765 BGP458758:BGP458765 BQL458758:BQL458765 CAH458758:CAH458765 CKD458758:CKD458765 CTZ458758:CTZ458765 DDV458758:DDV458765 DNR458758:DNR458765 DXN458758:DXN458765 EHJ458758:EHJ458765 ERF458758:ERF458765 FBB458758:FBB458765 FKX458758:FKX458765 FUT458758:FUT458765 GEP458758:GEP458765 GOL458758:GOL458765 GYH458758:GYH458765 HID458758:HID458765 HRZ458758:HRZ458765 IBV458758:IBV458765 ILR458758:ILR458765 IVN458758:IVN458765 JFJ458758:JFJ458765 JPF458758:JPF458765 JZB458758:JZB458765 KIX458758:KIX458765 KST458758:KST458765 LCP458758:LCP458765 LML458758:LML458765 LWH458758:LWH458765 MGD458758:MGD458765 MPZ458758:MPZ458765 MZV458758:MZV458765 NJR458758:NJR458765 NTN458758:NTN458765 ODJ458758:ODJ458765 ONF458758:ONF458765 OXB458758:OXB458765 PGX458758:PGX458765 PQT458758:PQT458765 QAP458758:QAP458765 QKL458758:QKL458765 QUH458758:QUH458765 RED458758:RED458765 RNZ458758:RNZ458765 RXV458758:RXV458765 SHR458758:SHR458765 SRN458758:SRN458765 TBJ458758:TBJ458765 TLF458758:TLF458765 TVB458758:TVB458765 UEX458758:UEX458765 UOT458758:UOT458765 UYP458758:UYP458765 VIL458758:VIL458765 VSH458758:VSH458765 WCD458758:WCD458765 WLZ458758:WLZ458765 WVV458758:WVV458765 N524294:N524301 JJ524294:JJ524301 TF524294:TF524301 ADB524294:ADB524301 AMX524294:AMX524301 AWT524294:AWT524301 BGP524294:BGP524301 BQL524294:BQL524301 CAH524294:CAH524301 CKD524294:CKD524301 CTZ524294:CTZ524301 DDV524294:DDV524301 DNR524294:DNR524301 DXN524294:DXN524301 EHJ524294:EHJ524301 ERF524294:ERF524301 FBB524294:FBB524301 FKX524294:FKX524301 FUT524294:FUT524301 GEP524294:GEP524301 GOL524294:GOL524301 GYH524294:GYH524301 HID524294:HID524301 HRZ524294:HRZ524301 IBV524294:IBV524301 ILR524294:ILR524301 IVN524294:IVN524301 JFJ524294:JFJ524301 JPF524294:JPF524301 JZB524294:JZB524301 KIX524294:KIX524301 KST524294:KST524301 LCP524294:LCP524301 LML524294:LML524301 LWH524294:LWH524301 MGD524294:MGD524301 MPZ524294:MPZ524301 MZV524294:MZV524301 NJR524294:NJR524301 NTN524294:NTN524301 ODJ524294:ODJ524301 ONF524294:ONF524301 OXB524294:OXB524301 PGX524294:PGX524301 PQT524294:PQT524301 QAP524294:QAP524301 QKL524294:QKL524301 QUH524294:QUH524301 RED524294:RED524301 RNZ524294:RNZ524301 RXV524294:RXV524301 SHR524294:SHR524301 SRN524294:SRN524301 TBJ524294:TBJ524301 TLF524294:TLF524301 TVB524294:TVB524301 UEX524294:UEX524301 UOT524294:UOT524301 UYP524294:UYP524301 VIL524294:VIL524301 VSH524294:VSH524301 WCD524294:WCD524301 WLZ524294:WLZ524301 WVV524294:WVV524301 N589830:N589837 JJ589830:JJ589837 TF589830:TF589837 ADB589830:ADB589837 AMX589830:AMX589837 AWT589830:AWT589837 BGP589830:BGP589837 BQL589830:BQL589837 CAH589830:CAH589837 CKD589830:CKD589837 CTZ589830:CTZ589837 DDV589830:DDV589837 DNR589830:DNR589837 DXN589830:DXN589837 EHJ589830:EHJ589837 ERF589830:ERF589837 FBB589830:FBB589837 FKX589830:FKX589837 FUT589830:FUT589837 GEP589830:GEP589837 GOL589830:GOL589837 GYH589830:GYH589837 HID589830:HID589837 HRZ589830:HRZ589837 IBV589830:IBV589837 ILR589830:ILR589837 IVN589830:IVN589837 JFJ589830:JFJ589837 JPF589830:JPF589837 JZB589830:JZB589837 KIX589830:KIX589837 KST589830:KST589837 LCP589830:LCP589837 LML589830:LML589837 LWH589830:LWH589837 MGD589830:MGD589837 MPZ589830:MPZ589837 MZV589830:MZV589837 NJR589830:NJR589837 NTN589830:NTN589837 ODJ589830:ODJ589837 ONF589830:ONF589837 OXB589830:OXB589837 PGX589830:PGX589837 PQT589830:PQT589837 QAP589830:QAP589837 QKL589830:QKL589837 QUH589830:QUH589837 RED589830:RED589837 RNZ589830:RNZ589837 RXV589830:RXV589837 SHR589830:SHR589837 SRN589830:SRN589837 TBJ589830:TBJ589837 TLF589830:TLF589837 TVB589830:TVB589837 UEX589830:UEX589837 UOT589830:UOT589837 UYP589830:UYP589837 VIL589830:VIL589837 VSH589830:VSH589837 WCD589830:WCD589837 WLZ589830:WLZ589837 WVV589830:WVV589837 N655366:N655373 JJ655366:JJ655373 TF655366:TF655373 ADB655366:ADB655373 AMX655366:AMX655373 AWT655366:AWT655373 BGP655366:BGP655373 BQL655366:BQL655373 CAH655366:CAH655373 CKD655366:CKD655373 CTZ655366:CTZ655373 DDV655366:DDV655373 DNR655366:DNR655373 DXN655366:DXN655373 EHJ655366:EHJ655373 ERF655366:ERF655373 FBB655366:FBB655373 FKX655366:FKX655373 FUT655366:FUT655373 GEP655366:GEP655373 GOL655366:GOL655373 GYH655366:GYH655373 HID655366:HID655373 HRZ655366:HRZ655373 IBV655366:IBV655373 ILR655366:ILR655373 IVN655366:IVN655373 JFJ655366:JFJ655373 JPF655366:JPF655373 JZB655366:JZB655373 KIX655366:KIX655373 KST655366:KST655373 LCP655366:LCP655373 LML655366:LML655373 LWH655366:LWH655373 MGD655366:MGD655373 MPZ655366:MPZ655373 MZV655366:MZV655373 NJR655366:NJR655373 NTN655366:NTN655373 ODJ655366:ODJ655373 ONF655366:ONF655373 OXB655366:OXB655373 PGX655366:PGX655373 PQT655366:PQT655373 QAP655366:QAP655373 QKL655366:QKL655373 QUH655366:QUH655373 RED655366:RED655373 RNZ655366:RNZ655373 RXV655366:RXV655373 SHR655366:SHR655373 SRN655366:SRN655373 TBJ655366:TBJ655373 TLF655366:TLF655373 TVB655366:TVB655373 UEX655366:UEX655373 UOT655366:UOT655373 UYP655366:UYP655373 VIL655366:VIL655373 VSH655366:VSH655373 WCD655366:WCD655373 WLZ655366:WLZ655373 WVV655366:WVV655373 N720902:N720909 JJ720902:JJ720909 TF720902:TF720909 ADB720902:ADB720909 AMX720902:AMX720909 AWT720902:AWT720909 BGP720902:BGP720909 BQL720902:BQL720909 CAH720902:CAH720909 CKD720902:CKD720909 CTZ720902:CTZ720909 DDV720902:DDV720909 DNR720902:DNR720909 DXN720902:DXN720909 EHJ720902:EHJ720909 ERF720902:ERF720909 FBB720902:FBB720909 FKX720902:FKX720909 FUT720902:FUT720909 GEP720902:GEP720909 GOL720902:GOL720909 GYH720902:GYH720909 HID720902:HID720909 HRZ720902:HRZ720909 IBV720902:IBV720909 ILR720902:ILR720909 IVN720902:IVN720909 JFJ720902:JFJ720909 JPF720902:JPF720909 JZB720902:JZB720909 KIX720902:KIX720909 KST720902:KST720909 LCP720902:LCP720909 LML720902:LML720909 LWH720902:LWH720909 MGD720902:MGD720909 MPZ720902:MPZ720909 MZV720902:MZV720909 NJR720902:NJR720909 NTN720902:NTN720909 ODJ720902:ODJ720909 ONF720902:ONF720909 OXB720902:OXB720909 PGX720902:PGX720909 PQT720902:PQT720909 QAP720902:QAP720909 QKL720902:QKL720909 QUH720902:QUH720909 RED720902:RED720909 RNZ720902:RNZ720909 RXV720902:RXV720909 SHR720902:SHR720909 SRN720902:SRN720909 TBJ720902:TBJ720909 TLF720902:TLF720909 TVB720902:TVB720909 UEX720902:UEX720909 UOT720902:UOT720909 UYP720902:UYP720909 VIL720902:VIL720909 VSH720902:VSH720909 WCD720902:WCD720909 WLZ720902:WLZ720909 WVV720902:WVV720909 N786438:N786445 JJ786438:JJ786445 TF786438:TF786445 ADB786438:ADB786445 AMX786438:AMX786445 AWT786438:AWT786445 BGP786438:BGP786445 BQL786438:BQL786445 CAH786438:CAH786445 CKD786438:CKD786445 CTZ786438:CTZ786445 DDV786438:DDV786445 DNR786438:DNR786445 DXN786438:DXN786445 EHJ786438:EHJ786445 ERF786438:ERF786445 FBB786438:FBB786445 FKX786438:FKX786445 FUT786438:FUT786445 GEP786438:GEP786445 GOL786438:GOL786445 GYH786438:GYH786445 HID786438:HID786445 HRZ786438:HRZ786445 IBV786438:IBV786445 ILR786438:ILR786445 IVN786438:IVN786445 JFJ786438:JFJ786445 JPF786438:JPF786445 JZB786438:JZB786445 KIX786438:KIX786445 KST786438:KST786445 LCP786438:LCP786445 LML786438:LML786445 LWH786438:LWH786445 MGD786438:MGD786445 MPZ786438:MPZ786445 MZV786438:MZV786445 NJR786438:NJR786445 NTN786438:NTN786445 ODJ786438:ODJ786445 ONF786438:ONF786445 OXB786438:OXB786445 PGX786438:PGX786445 PQT786438:PQT786445 QAP786438:QAP786445 QKL786438:QKL786445 QUH786438:QUH786445 RED786438:RED786445 RNZ786438:RNZ786445 RXV786438:RXV786445 SHR786438:SHR786445 SRN786438:SRN786445 TBJ786438:TBJ786445 TLF786438:TLF786445 TVB786438:TVB786445 UEX786438:UEX786445 UOT786438:UOT786445 UYP786438:UYP786445 VIL786438:VIL786445 VSH786438:VSH786445 WCD786438:WCD786445 WLZ786438:WLZ786445 WVV786438:WVV786445 N851974:N851981 JJ851974:JJ851981 TF851974:TF851981 ADB851974:ADB851981 AMX851974:AMX851981 AWT851974:AWT851981 BGP851974:BGP851981 BQL851974:BQL851981 CAH851974:CAH851981 CKD851974:CKD851981 CTZ851974:CTZ851981 DDV851974:DDV851981 DNR851974:DNR851981 DXN851974:DXN851981 EHJ851974:EHJ851981 ERF851974:ERF851981 FBB851974:FBB851981 FKX851974:FKX851981 FUT851974:FUT851981 GEP851974:GEP851981 GOL851974:GOL851981 GYH851974:GYH851981 HID851974:HID851981 HRZ851974:HRZ851981 IBV851974:IBV851981 ILR851974:ILR851981 IVN851974:IVN851981 JFJ851974:JFJ851981 JPF851974:JPF851981 JZB851974:JZB851981 KIX851974:KIX851981 KST851974:KST851981 LCP851974:LCP851981 LML851974:LML851981 LWH851974:LWH851981 MGD851974:MGD851981 MPZ851974:MPZ851981 MZV851974:MZV851981 NJR851974:NJR851981 NTN851974:NTN851981 ODJ851974:ODJ851981 ONF851974:ONF851981 OXB851974:OXB851981 PGX851974:PGX851981 PQT851974:PQT851981 QAP851974:QAP851981 QKL851974:QKL851981 QUH851974:QUH851981 RED851974:RED851981 RNZ851974:RNZ851981 RXV851974:RXV851981 SHR851974:SHR851981 SRN851974:SRN851981 TBJ851974:TBJ851981 TLF851974:TLF851981 TVB851974:TVB851981 UEX851974:UEX851981 UOT851974:UOT851981 UYP851974:UYP851981 VIL851974:VIL851981 VSH851974:VSH851981 WCD851974:WCD851981 WLZ851974:WLZ851981 WVV851974:WVV851981 N917510:N917517 JJ917510:JJ917517 TF917510:TF917517 ADB917510:ADB917517 AMX917510:AMX917517 AWT917510:AWT917517 BGP917510:BGP917517 BQL917510:BQL917517 CAH917510:CAH917517 CKD917510:CKD917517 CTZ917510:CTZ917517 DDV917510:DDV917517 DNR917510:DNR917517 DXN917510:DXN917517 EHJ917510:EHJ917517 ERF917510:ERF917517 FBB917510:FBB917517 FKX917510:FKX917517 FUT917510:FUT917517 GEP917510:GEP917517 GOL917510:GOL917517 GYH917510:GYH917517 HID917510:HID917517 HRZ917510:HRZ917517 IBV917510:IBV917517 ILR917510:ILR917517 IVN917510:IVN917517 JFJ917510:JFJ917517 JPF917510:JPF917517 JZB917510:JZB917517 KIX917510:KIX917517 KST917510:KST917517 LCP917510:LCP917517 LML917510:LML917517 LWH917510:LWH917517 MGD917510:MGD917517 MPZ917510:MPZ917517 MZV917510:MZV917517 NJR917510:NJR917517 NTN917510:NTN917517 ODJ917510:ODJ917517 ONF917510:ONF917517 OXB917510:OXB917517 PGX917510:PGX917517 PQT917510:PQT917517 QAP917510:QAP917517 QKL917510:QKL917517 QUH917510:QUH917517 RED917510:RED917517 RNZ917510:RNZ917517 RXV917510:RXV917517 SHR917510:SHR917517 SRN917510:SRN917517 TBJ917510:TBJ917517 TLF917510:TLF917517 TVB917510:TVB917517 UEX917510:UEX917517 UOT917510:UOT917517 UYP917510:UYP917517 VIL917510:VIL917517 VSH917510:VSH917517 WCD917510:WCD917517 WLZ917510:WLZ917517 WVV917510:WVV917517 N983046:N983053 JJ983046:JJ983053 TF983046:TF983053 ADB983046:ADB983053 AMX983046:AMX983053 AWT983046:AWT983053 BGP983046:BGP983053 BQL983046:BQL983053 CAH983046:CAH983053 CKD983046:CKD983053 CTZ983046:CTZ983053 DDV983046:DDV983053 DNR983046:DNR983053 DXN983046:DXN983053 EHJ983046:EHJ983053 ERF983046:ERF983053 FBB983046:FBB983053 FKX983046:FKX983053 FUT983046:FUT983053 GEP983046:GEP983053 GOL983046:GOL983053 GYH983046:GYH983053 HID983046:HID983053 HRZ983046:HRZ983053 IBV983046:IBV983053 ILR983046:ILR983053 IVN983046:IVN983053 JFJ983046:JFJ983053 JPF983046:JPF983053 JZB983046:JZB983053 KIX983046:KIX983053 KST983046:KST983053 LCP983046:LCP983053 LML983046:LML983053 LWH983046:LWH983053 MGD983046:MGD983053 MPZ983046:MPZ983053 MZV983046:MZV983053 NJR983046:NJR983053 NTN983046:NTN983053 ODJ983046:ODJ983053 ONF983046:ONF983053 OXB983046:OXB983053 PGX983046:PGX983053 PQT983046:PQT983053 QAP983046:QAP983053 QKL983046:QKL983053 QUH983046:QUH983053 RED983046:RED983053 RNZ983046:RNZ983053 RXV983046:RXV983053 SHR983046:SHR983053 SRN983046:SRN983053 TBJ983046:TBJ983053 TLF983046:TLF983053 TVB983046:TVB983053 UEX983046:UEX983053 UOT983046:UOT983053 UYP983046:UYP983053 VIL983046:VIL983053 VSH983046:VSH983053 WCD983046:WCD983053 WLZ983046:WLZ983053 WVV983046:WVV983053">
      <formula1>"정률,정액"</formula1>
    </dataValidation>
  </dataValidations>
  <hyperlinks>
    <hyperlink ref="A1" location="HOME!A1" display="HOME"/>
  </hyperlinks>
  <pageMargins left="0.7" right="0.7" top="0.75" bottom="0.75" header="0.3" footer="0.3"/>
  <pageSetup paperSize="9" orientation="portrait" horizontalDpi="300" verticalDpi="30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5_Sheet">
    <tabColor theme="4" tint="0.59999389629810485"/>
  </sheetPr>
  <dimension ref="A1:S32"/>
  <sheetViews>
    <sheetView zoomScale="70" zoomScaleNormal="70" workbookViewId="0">
      <selection activeCell="I5" sqref="I5"/>
    </sheetView>
  </sheetViews>
  <sheetFormatPr defaultRowHeight="17.399999999999999"/>
  <cols>
    <col min="6" max="6" width="16.59765625" bestFit="1" customWidth="1"/>
    <col min="7" max="7" width="17.8984375" bestFit="1" customWidth="1"/>
    <col min="8" max="13" width="16.59765625" bestFit="1" customWidth="1"/>
    <col min="14" max="15" width="3.5" bestFit="1" customWidth="1"/>
  </cols>
  <sheetData>
    <row r="1" spans="1:19">
      <c r="A1" s="70" t="s">
        <v>279</v>
      </c>
      <c r="B1" s="164"/>
      <c r="C1" s="164"/>
      <c r="D1" s="165"/>
      <c r="E1" s="165"/>
      <c r="F1" s="164"/>
      <c r="G1" s="164"/>
      <c r="H1" s="166"/>
      <c r="I1" s="164"/>
      <c r="J1" s="164"/>
      <c r="K1" s="164"/>
      <c r="L1" s="164"/>
      <c r="M1" s="164"/>
      <c r="N1" s="164"/>
      <c r="O1" s="164"/>
      <c r="P1" s="164"/>
      <c r="Q1" s="164"/>
      <c r="R1" s="167"/>
      <c r="S1" s="164"/>
    </row>
    <row r="2" spans="1:19" ht="27.6">
      <c r="A2" s="168"/>
      <c r="B2" s="168" t="s">
        <v>369</v>
      </c>
      <c r="C2" s="169"/>
      <c r="D2" s="169"/>
      <c r="E2" s="169"/>
      <c r="F2" s="170"/>
      <c r="G2" s="169"/>
      <c r="H2" s="171"/>
      <c r="I2" s="164"/>
      <c r="J2" s="164"/>
      <c r="K2" s="164"/>
      <c r="L2" s="164"/>
      <c r="M2" s="166"/>
      <c r="N2" s="164"/>
      <c r="O2" s="164"/>
      <c r="P2" s="164"/>
      <c r="Q2" s="164"/>
      <c r="R2" s="164"/>
      <c r="S2" s="164"/>
    </row>
    <row r="3" spans="1:19" ht="27.6">
      <c r="A3" s="165"/>
      <c r="B3" s="172" t="s">
        <v>370</v>
      </c>
      <c r="C3" s="169"/>
      <c r="D3" s="169"/>
      <c r="E3" s="169"/>
      <c r="F3" s="169"/>
      <c r="G3" s="169"/>
      <c r="H3" s="173"/>
      <c r="I3" s="173"/>
      <c r="J3" s="173"/>
      <c r="K3" s="173"/>
      <c r="L3" s="173"/>
      <c r="M3" s="173"/>
      <c r="N3" s="174"/>
      <c r="O3" s="164"/>
      <c r="P3" s="164"/>
      <c r="Q3" s="164"/>
      <c r="R3" s="164"/>
      <c r="S3" s="164"/>
    </row>
    <row r="4" spans="1:19" ht="27.6">
      <c r="A4" s="168"/>
      <c r="B4" s="175"/>
      <c r="C4" s="169"/>
      <c r="D4" s="169"/>
      <c r="E4" s="169"/>
      <c r="F4" s="169"/>
      <c r="G4" s="169"/>
      <c r="H4" s="169"/>
      <c r="I4" s="164"/>
      <c r="J4" s="164"/>
      <c r="K4" s="164"/>
      <c r="L4" s="164"/>
      <c r="M4" s="164"/>
      <c r="N4" s="164"/>
      <c r="O4" s="164"/>
      <c r="P4" s="164"/>
      <c r="Q4" s="164"/>
      <c r="R4" s="164"/>
      <c r="S4" s="164"/>
    </row>
    <row r="5" spans="1:19" ht="19.8" thickBot="1">
      <c r="A5" s="176"/>
      <c r="B5" s="177"/>
      <c r="C5" s="164"/>
      <c r="D5" s="165"/>
      <c r="E5" s="165"/>
      <c r="F5" s="164"/>
      <c r="G5" s="164"/>
      <c r="H5" s="164"/>
      <c r="I5" s="164"/>
      <c r="J5" s="164"/>
      <c r="K5" s="178"/>
      <c r="L5" s="178"/>
      <c r="M5" s="178"/>
      <c r="N5" s="178"/>
      <c r="O5" s="178"/>
      <c r="P5" s="164"/>
      <c r="Q5" s="178" t="s">
        <v>371</v>
      </c>
      <c r="R5" s="164"/>
      <c r="S5" s="164"/>
    </row>
    <row r="6" spans="1:19">
      <c r="A6" s="164"/>
      <c r="B6" s="677" t="s">
        <v>372</v>
      </c>
      <c r="C6" s="678"/>
      <c r="D6" s="679" t="s">
        <v>373</v>
      </c>
      <c r="E6" s="680"/>
      <c r="F6" s="179" t="s">
        <v>374</v>
      </c>
      <c r="G6" s="179" t="s">
        <v>333</v>
      </c>
      <c r="H6" s="179" t="s">
        <v>232</v>
      </c>
      <c r="I6" s="179" t="s">
        <v>233</v>
      </c>
      <c r="J6" s="179" t="s">
        <v>234</v>
      </c>
      <c r="K6" s="179" t="s">
        <v>235</v>
      </c>
      <c r="L6" s="179" t="s">
        <v>236</v>
      </c>
      <c r="M6" s="179" t="s">
        <v>237</v>
      </c>
      <c r="N6" s="179" t="s">
        <v>238</v>
      </c>
      <c r="O6" s="179" t="s">
        <v>239</v>
      </c>
      <c r="P6" s="681" t="s">
        <v>375</v>
      </c>
      <c r="Q6" s="681"/>
      <c r="R6" s="682"/>
      <c r="S6" s="180"/>
    </row>
    <row r="7" spans="1:19">
      <c r="A7" s="164"/>
      <c r="B7" s="683" t="s">
        <v>343</v>
      </c>
      <c r="C7" s="687" t="s">
        <v>376</v>
      </c>
      <c r="D7" s="690" t="s">
        <v>377</v>
      </c>
      <c r="E7" s="691"/>
      <c r="F7" s="181">
        <v>15600000</v>
      </c>
      <c r="G7" s="181">
        <v>178780500</v>
      </c>
      <c r="H7" s="181">
        <v>178780500</v>
      </c>
      <c r="I7" s="181">
        <v>178780500</v>
      </c>
      <c r="J7" s="181">
        <v>178780500</v>
      </c>
      <c r="K7" s="181">
        <v>178780500</v>
      </c>
      <c r="L7" s="181">
        <v>178780500</v>
      </c>
      <c r="M7" s="181">
        <v>0</v>
      </c>
      <c r="N7" s="182"/>
      <c r="O7" s="182"/>
      <c r="P7" s="692" t="s">
        <v>378</v>
      </c>
      <c r="Q7" s="693"/>
      <c r="R7" s="694"/>
      <c r="S7" s="180"/>
    </row>
    <row r="8" spans="1:19">
      <c r="A8" s="164"/>
      <c r="B8" s="684"/>
      <c r="C8" s="688"/>
      <c r="D8" s="690" t="s">
        <v>379</v>
      </c>
      <c r="E8" s="691"/>
      <c r="F8" s="183">
        <v>4806607788.4835911</v>
      </c>
      <c r="G8" s="183">
        <v>4581290726.8450003</v>
      </c>
      <c r="H8" s="183">
        <v>4280458483.9063249</v>
      </c>
      <c r="I8" s="183">
        <v>4123718006.4876471</v>
      </c>
      <c r="J8" s="183">
        <v>3953416288.7299218</v>
      </c>
      <c r="K8" s="183">
        <v>3848050785.1491747</v>
      </c>
      <c r="L8" s="183">
        <v>3903596760.5510283</v>
      </c>
      <c r="M8" s="181">
        <v>0</v>
      </c>
      <c r="N8" s="182"/>
      <c r="O8" s="182"/>
      <c r="P8" s="695"/>
      <c r="Q8" s="696"/>
      <c r="R8" s="697"/>
      <c r="S8" s="180"/>
    </row>
    <row r="9" spans="1:19">
      <c r="A9" s="164"/>
      <c r="B9" s="684"/>
      <c r="C9" s="688"/>
      <c r="D9" s="701" t="s">
        <v>380</v>
      </c>
      <c r="E9" s="702"/>
      <c r="F9" s="183">
        <v>4122148935.9110465</v>
      </c>
      <c r="G9" s="183">
        <v>3172068923.5528708</v>
      </c>
      <c r="H9" s="183">
        <v>2874453292.4590735</v>
      </c>
      <c r="I9" s="183">
        <v>2869770795.6518164</v>
      </c>
      <c r="J9" s="183">
        <v>2831583342.2522488</v>
      </c>
      <c r="K9" s="183">
        <v>2767715616.581336</v>
      </c>
      <c r="L9" s="183">
        <v>2733012285.39399</v>
      </c>
      <c r="M9" s="181">
        <v>0</v>
      </c>
      <c r="N9" s="182"/>
      <c r="O9" s="182"/>
      <c r="P9" s="695"/>
      <c r="Q9" s="696"/>
      <c r="R9" s="697"/>
      <c r="S9" s="180"/>
    </row>
    <row r="10" spans="1:19">
      <c r="A10" s="164"/>
      <c r="B10" s="684"/>
      <c r="C10" s="688"/>
      <c r="D10" s="703" t="s">
        <v>381</v>
      </c>
      <c r="E10" s="704"/>
      <c r="F10" s="181">
        <v>579903446.40602899</v>
      </c>
      <c r="G10" s="181">
        <v>336542577.19735622</v>
      </c>
      <c r="H10" s="181">
        <v>227040489.31509945</v>
      </c>
      <c r="I10" s="181">
        <v>228471022.18720093</v>
      </c>
      <c r="J10" s="181">
        <v>229923013.05238396</v>
      </c>
      <c r="K10" s="181">
        <v>231396783.7805447</v>
      </c>
      <c r="L10" s="181">
        <v>232892661.06962782</v>
      </c>
      <c r="M10" s="181">
        <v>0</v>
      </c>
      <c r="N10" s="182"/>
      <c r="O10" s="182"/>
      <c r="P10" s="695"/>
      <c r="Q10" s="696"/>
      <c r="R10" s="697"/>
      <c r="S10" s="180"/>
    </row>
    <row r="11" spans="1:19">
      <c r="A11" s="164"/>
      <c r="B11" s="684"/>
      <c r="C11" s="688"/>
      <c r="D11" s="703" t="s">
        <v>382</v>
      </c>
      <c r="E11" s="704"/>
      <c r="F11" s="184">
        <v>5148000</v>
      </c>
      <c r="G11" s="184">
        <v>10296000</v>
      </c>
      <c r="H11" s="184">
        <v>82434534</v>
      </c>
      <c r="I11" s="184">
        <v>82434534</v>
      </c>
      <c r="J11" s="184">
        <v>101163495.19999999</v>
      </c>
      <c r="K11" s="184">
        <v>101163495.19999999</v>
      </c>
      <c r="L11" s="184">
        <v>101163495.19999999</v>
      </c>
      <c r="M11" s="184">
        <v>0</v>
      </c>
      <c r="N11" s="185"/>
      <c r="O11" s="185"/>
      <c r="P11" s="695"/>
      <c r="Q11" s="696"/>
      <c r="R11" s="697"/>
      <c r="S11" s="180"/>
    </row>
    <row r="12" spans="1:19" ht="18" thickBot="1">
      <c r="A12" s="164"/>
      <c r="B12" s="684"/>
      <c r="C12" s="689"/>
      <c r="D12" s="652" t="s">
        <v>383</v>
      </c>
      <c r="E12" s="652"/>
      <c r="F12" s="186">
        <v>9529408170.8006668</v>
      </c>
      <c r="G12" s="186">
        <v>8278978727.5952272</v>
      </c>
      <c r="H12" s="186">
        <v>7643167299.6804981</v>
      </c>
      <c r="I12" s="186">
        <v>7483174858.326664</v>
      </c>
      <c r="J12" s="186">
        <v>7294866639.2345543</v>
      </c>
      <c r="K12" s="186">
        <v>7127107180.7110548</v>
      </c>
      <c r="L12" s="186">
        <v>7149445702.2146463</v>
      </c>
      <c r="M12" s="186">
        <v>0</v>
      </c>
      <c r="N12" s="186">
        <v>0</v>
      </c>
      <c r="O12" s="186">
        <v>0</v>
      </c>
      <c r="P12" s="698"/>
      <c r="Q12" s="699"/>
      <c r="R12" s="700"/>
      <c r="S12" s="180"/>
    </row>
    <row r="13" spans="1:19" ht="18.600000000000001" thickTop="1" thickBot="1">
      <c r="A13" s="187">
        <v>4.9000000000000002E-2</v>
      </c>
      <c r="B13" s="685"/>
      <c r="C13" s="666" t="s">
        <v>384</v>
      </c>
      <c r="D13" s="673" t="s">
        <v>385</v>
      </c>
      <c r="E13" s="662"/>
      <c r="F13" s="183">
        <v>441936224.59533721</v>
      </c>
      <c r="G13" s="183">
        <v>442174291.67529821</v>
      </c>
      <c r="H13" s="183">
        <v>460643698.90380377</v>
      </c>
      <c r="I13" s="183">
        <v>479888278.14002889</v>
      </c>
      <c r="J13" s="183">
        <v>499939582.75001472</v>
      </c>
      <c r="K13" s="183">
        <v>520830387.86009699</v>
      </c>
      <c r="L13" s="183">
        <v>542796333.65522313</v>
      </c>
      <c r="M13" s="181">
        <v>0</v>
      </c>
      <c r="N13" s="182"/>
      <c r="O13" s="182"/>
      <c r="P13" s="705" t="s">
        <v>386</v>
      </c>
      <c r="Q13" s="706"/>
      <c r="R13" s="707"/>
      <c r="S13" s="180"/>
    </row>
    <row r="14" spans="1:19" ht="18" thickTop="1">
      <c r="A14" s="164"/>
      <c r="B14" s="684"/>
      <c r="C14" s="666"/>
      <c r="D14" s="673" t="s">
        <v>387</v>
      </c>
      <c r="E14" s="662"/>
      <c r="F14" s="181">
        <v>225000000</v>
      </c>
      <c r="G14" s="181">
        <v>0</v>
      </c>
      <c r="H14" s="181">
        <v>0</v>
      </c>
      <c r="I14" s="181">
        <v>0</v>
      </c>
      <c r="J14" s="181">
        <v>0</v>
      </c>
      <c r="K14" s="181">
        <v>0</v>
      </c>
      <c r="L14" s="181">
        <v>0</v>
      </c>
      <c r="M14" s="181">
        <v>0</v>
      </c>
      <c r="N14" s="182"/>
      <c r="O14" s="182"/>
      <c r="P14" s="706"/>
      <c r="Q14" s="706"/>
      <c r="R14" s="707"/>
      <c r="S14" s="180"/>
    </row>
    <row r="15" spans="1:19">
      <c r="A15" s="164"/>
      <c r="B15" s="684"/>
      <c r="C15" s="666"/>
      <c r="D15" s="660" t="s">
        <v>410</v>
      </c>
      <c r="E15" s="661"/>
      <c r="F15" s="188"/>
      <c r="G15" s="188">
        <v>0</v>
      </c>
      <c r="H15" s="188">
        <v>0</v>
      </c>
      <c r="I15" s="188">
        <v>0</v>
      </c>
      <c r="J15" s="188">
        <v>0</v>
      </c>
      <c r="K15" s="188">
        <v>0</v>
      </c>
      <c r="L15" s="188">
        <v>0</v>
      </c>
      <c r="M15" s="188">
        <v>0</v>
      </c>
      <c r="N15" s="182"/>
      <c r="O15" s="182"/>
      <c r="P15" s="706"/>
      <c r="Q15" s="706"/>
      <c r="R15" s="707"/>
      <c r="S15" s="180"/>
    </row>
    <row r="16" spans="1:19">
      <c r="A16" s="164"/>
      <c r="B16" s="684"/>
      <c r="C16" s="666"/>
      <c r="D16" s="662" t="s">
        <v>388</v>
      </c>
      <c r="E16" s="662"/>
      <c r="F16" s="182"/>
      <c r="G16" s="182"/>
      <c r="H16" s="182"/>
      <c r="I16" s="182"/>
      <c r="J16" s="182"/>
      <c r="K16" s="182"/>
      <c r="L16" s="182"/>
      <c r="M16" s="182"/>
      <c r="N16" s="182"/>
      <c r="O16" s="182"/>
      <c r="P16" s="706"/>
      <c r="Q16" s="706"/>
      <c r="R16" s="707"/>
      <c r="S16" s="180"/>
    </row>
    <row r="17" spans="1:19">
      <c r="A17" s="164"/>
      <c r="B17" s="684"/>
      <c r="C17" s="666"/>
      <c r="D17" s="652" t="s">
        <v>383</v>
      </c>
      <c r="E17" s="652"/>
      <c r="F17" s="186">
        <v>666936224.59533715</v>
      </c>
      <c r="G17" s="186">
        <v>442174291.67529821</v>
      </c>
      <c r="H17" s="186">
        <v>460643698.90380377</v>
      </c>
      <c r="I17" s="186">
        <v>479888278.14002889</v>
      </c>
      <c r="J17" s="186">
        <v>499939582.75001472</v>
      </c>
      <c r="K17" s="186">
        <v>520830387.86009699</v>
      </c>
      <c r="L17" s="186">
        <v>542796333.65522313</v>
      </c>
      <c r="M17" s="186">
        <v>0</v>
      </c>
      <c r="N17" s="186">
        <v>0</v>
      </c>
      <c r="O17" s="186">
        <v>0</v>
      </c>
      <c r="P17" s="706"/>
      <c r="Q17" s="706"/>
      <c r="R17" s="707"/>
      <c r="S17" s="180"/>
    </row>
    <row r="18" spans="1:19">
      <c r="A18" s="164"/>
      <c r="B18" s="684"/>
      <c r="C18" s="666" t="s">
        <v>389</v>
      </c>
      <c r="D18" s="662" t="s">
        <v>390</v>
      </c>
      <c r="E18" s="662"/>
      <c r="F18" s="182"/>
      <c r="G18" s="182"/>
      <c r="H18" s="182"/>
      <c r="I18" s="182"/>
      <c r="J18" s="182"/>
      <c r="K18" s="182"/>
      <c r="L18" s="182"/>
      <c r="M18" s="182"/>
      <c r="N18" s="182"/>
      <c r="O18" s="182"/>
      <c r="P18" s="667" t="s">
        <v>391</v>
      </c>
      <c r="Q18" s="668"/>
      <c r="R18" s="669"/>
      <c r="S18" s="165"/>
    </row>
    <row r="19" spans="1:19">
      <c r="A19" s="164"/>
      <c r="B19" s="684"/>
      <c r="C19" s="666"/>
      <c r="D19" s="662" t="s">
        <v>392</v>
      </c>
      <c r="E19" s="662"/>
      <c r="F19" s="182"/>
      <c r="G19" s="182"/>
      <c r="H19" s="182"/>
      <c r="I19" s="182"/>
      <c r="J19" s="182"/>
      <c r="K19" s="182"/>
      <c r="L19" s="182"/>
      <c r="M19" s="182"/>
      <c r="N19" s="182"/>
      <c r="O19" s="182"/>
      <c r="P19" s="668"/>
      <c r="Q19" s="668"/>
      <c r="R19" s="669"/>
      <c r="S19" s="165"/>
    </row>
    <row r="20" spans="1:19">
      <c r="A20" s="164"/>
      <c r="B20" s="684"/>
      <c r="C20" s="666"/>
      <c r="D20" s="652" t="s">
        <v>393</v>
      </c>
      <c r="E20" s="652"/>
      <c r="F20" s="189">
        <v>0</v>
      </c>
      <c r="G20" s="189">
        <v>0</v>
      </c>
      <c r="H20" s="189">
        <v>0</v>
      </c>
      <c r="I20" s="189">
        <v>0</v>
      </c>
      <c r="J20" s="189">
        <v>0</v>
      </c>
      <c r="K20" s="189">
        <v>0</v>
      </c>
      <c r="L20" s="189">
        <v>0</v>
      </c>
      <c r="M20" s="189">
        <v>0</v>
      </c>
      <c r="N20" s="189">
        <v>0</v>
      </c>
      <c r="O20" s="189">
        <v>0</v>
      </c>
      <c r="P20" s="668"/>
      <c r="Q20" s="668"/>
      <c r="R20" s="669"/>
      <c r="S20" s="165"/>
    </row>
    <row r="21" spans="1:19">
      <c r="A21" s="164"/>
      <c r="B21" s="684"/>
      <c r="C21" s="670" t="s">
        <v>394</v>
      </c>
      <c r="D21" s="673" t="s">
        <v>395</v>
      </c>
      <c r="E21" s="662"/>
      <c r="F21" s="182"/>
      <c r="G21" s="182"/>
      <c r="H21" s="182"/>
      <c r="I21" s="182"/>
      <c r="J21" s="182"/>
      <c r="K21" s="182"/>
      <c r="L21" s="182"/>
      <c r="M21" s="182"/>
      <c r="N21" s="182"/>
      <c r="O21" s="182"/>
      <c r="P21" s="674" t="s">
        <v>396</v>
      </c>
      <c r="Q21" s="675"/>
      <c r="R21" s="676"/>
      <c r="S21" s="165"/>
    </row>
    <row r="22" spans="1:19">
      <c r="A22" s="164"/>
      <c r="B22" s="684"/>
      <c r="C22" s="671"/>
      <c r="D22" s="673" t="s">
        <v>397</v>
      </c>
      <c r="E22" s="662"/>
      <c r="F22" s="182">
        <v>167142885.71428573</v>
      </c>
      <c r="G22" s="182">
        <v>77726605.714285716</v>
      </c>
      <c r="H22" s="182">
        <v>83076661.714285731</v>
      </c>
      <c r="I22" s="182">
        <v>83076661.714285731</v>
      </c>
      <c r="J22" s="182">
        <v>83076661.714285731</v>
      </c>
      <c r="K22" s="182">
        <v>83076661.714285731</v>
      </c>
      <c r="L22" s="182">
        <v>84076661.714285731</v>
      </c>
      <c r="M22" s="182">
        <v>0</v>
      </c>
      <c r="N22" s="182"/>
      <c r="O22" s="182"/>
      <c r="P22" s="675"/>
      <c r="Q22" s="675"/>
      <c r="R22" s="676"/>
      <c r="S22" s="165"/>
    </row>
    <row r="23" spans="1:19">
      <c r="A23" s="164"/>
      <c r="B23" s="684"/>
      <c r="C23" s="671"/>
      <c r="D23" s="673" t="s">
        <v>398</v>
      </c>
      <c r="E23" s="662"/>
      <c r="F23" s="182">
        <v>0</v>
      </c>
      <c r="G23" s="182">
        <v>145786732.74443725</v>
      </c>
      <c r="H23" s="182">
        <v>187734262.010986</v>
      </c>
      <c r="I23" s="182">
        <v>233002541.05131567</v>
      </c>
      <c r="J23" s="182">
        <v>281792816.86228812</v>
      </c>
      <c r="K23" s="182">
        <v>334316856.95083588</v>
      </c>
      <c r="L23" s="182">
        <v>391419019.13441128</v>
      </c>
      <c r="M23" s="182">
        <v>0</v>
      </c>
      <c r="N23" s="182"/>
      <c r="O23" s="182"/>
      <c r="P23" s="675"/>
      <c r="Q23" s="675"/>
      <c r="R23" s="676"/>
      <c r="S23" s="164"/>
    </row>
    <row r="24" spans="1:19">
      <c r="A24" s="164"/>
      <c r="B24" s="684"/>
      <c r="C24" s="671"/>
      <c r="D24" s="662" t="s">
        <v>399</v>
      </c>
      <c r="E24" s="662"/>
      <c r="F24" s="182">
        <v>300000000</v>
      </c>
      <c r="G24" s="182">
        <v>0</v>
      </c>
      <c r="H24" s="182">
        <v>0</v>
      </c>
      <c r="I24" s="182">
        <v>0</v>
      </c>
      <c r="J24" s="182">
        <v>0</v>
      </c>
      <c r="K24" s="182">
        <v>0</v>
      </c>
      <c r="L24" s="182">
        <v>0</v>
      </c>
      <c r="M24" s="182">
        <v>0</v>
      </c>
      <c r="N24" s="182"/>
      <c r="O24" s="182"/>
      <c r="P24" s="675"/>
      <c r="Q24" s="675"/>
      <c r="R24" s="676"/>
      <c r="S24" s="164"/>
    </row>
    <row r="25" spans="1:19">
      <c r="A25" s="164"/>
      <c r="B25" s="684"/>
      <c r="C25" s="672"/>
      <c r="D25" s="652" t="s">
        <v>393</v>
      </c>
      <c r="E25" s="652"/>
      <c r="F25" s="189">
        <v>467142885.71428573</v>
      </c>
      <c r="G25" s="189">
        <v>223513338.45872295</v>
      </c>
      <c r="H25" s="189">
        <v>270810923.7252717</v>
      </c>
      <c r="I25" s="189">
        <v>316079202.7656014</v>
      </c>
      <c r="J25" s="189">
        <v>364869478.57657385</v>
      </c>
      <c r="K25" s="189">
        <v>417393518.66512161</v>
      </c>
      <c r="L25" s="189">
        <v>475495680.84869701</v>
      </c>
      <c r="M25" s="189">
        <v>0</v>
      </c>
      <c r="N25" s="189">
        <v>0</v>
      </c>
      <c r="O25" s="189">
        <v>0</v>
      </c>
      <c r="P25" s="653"/>
      <c r="Q25" s="654"/>
      <c r="R25" s="655"/>
      <c r="S25" s="164"/>
    </row>
    <row r="26" spans="1:19">
      <c r="A26" s="164"/>
      <c r="B26" s="686"/>
      <c r="C26" s="190" t="s">
        <v>400</v>
      </c>
      <c r="D26" s="656" t="s">
        <v>401</v>
      </c>
      <c r="E26" s="656"/>
      <c r="F26" s="191">
        <v>43331116.055555567</v>
      </c>
      <c r="G26" s="191">
        <v>519973392.66666681</v>
      </c>
      <c r="H26" s="191">
        <v>519973392.66666681</v>
      </c>
      <c r="I26" s="191">
        <v>519973392.66666681</v>
      </c>
      <c r="J26" s="191">
        <v>519973392.66666681</v>
      </c>
      <c r="K26" s="191">
        <v>519973392.66666681</v>
      </c>
      <c r="L26" s="191">
        <v>476642276.61111122</v>
      </c>
      <c r="M26" s="191">
        <v>0</v>
      </c>
      <c r="N26" s="191">
        <v>0</v>
      </c>
      <c r="O26" s="191">
        <v>0</v>
      </c>
      <c r="P26" s="650" t="s">
        <v>402</v>
      </c>
      <c r="Q26" s="650"/>
      <c r="R26" s="651"/>
      <c r="S26" s="165"/>
    </row>
    <row r="27" spans="1:19">
      <c r="A27" s="164"/>
      <c r="B27" s="657" t="s">
        <v>403</v>
      </c>
      <c r="C27" s="658"/>
      <c r="D27" s="658"/>
      <c r="E27" s="659"/>
      <c r="F27" s="192">
        <v>10706818397.165844</v>
      </c>
      <c r="G27" s="192">
        <v>9464639750.3959141</v>
      </c>
      <c r="H27" s="192">
        <v>8894595314.9762402</v>
      </c>
      <c r="I27" s="192">
        <v>8799115731.8989601</v>
      </c>
      <c r="J27" s="192">
        <v>8679649093.227808</v>
      </c>
      <c r="K27" s="192">
        <v>8585304479.9029408</v>
      </c>
      <c r="L27" s="192">
        <v>8644379993.3296776</v>
      </c>
      <c r="M27" s="192">
        <v>0</v>
      </c>
      <c r="N27" s="192">
        <v>0</v>
      </c>
      <c r="O27" s="192">
        <v>0</v>
      </c>
      <c r="P27" s="663"/>
      <c r="Q27" s="664"/>
      <c r="R27" s="665"/>
      <c r="S27" s="165"/>
    </row>
    <row r="28" spans="1:19">
      <c r="A28" s="164"/>
      <c r="B28" s="639" t="s">
        <v>404</v>
      </c>
      <c r="C28" s="641" t="s">
        <v>405</v>
      </c>
      <c r="D28" s="642"/>
      <c r="E28" s="643"/>
      <c r="F28" s="193"/>
      <c r="G28" s="193"/>
      <c r="H28" s="193"/>
      <c r="I28" s="193"/>
      <c r="J28" s="193"/>
      <c r="K28" s="193"/>
      <c r="L28" s="193"/>
      <c r="M28" s="193"/>
      <c r="N28" s="193"/>
      <c r="O28" s="193"/>
      <c r="P28" s="644"/>
      <c r="Q28" s="645"/>
      <c r="R28" s="646"/>
      <c r="S28" s="165"/>
    </row>
    <row r="29" spans="1:19">
      <c r="A29" s="164"/>
      <c r="B29" s="640"/>
      <c r="C29" s="641" t="s">
        <v>406</v>
      </c>
      <c r="D29" s="642"/>
      <c r="E29" s="643"/>
      <c r="F29" s="193"/>
      <c r="G29" s="193"/>
      <c r="H29" s="193"/>
      <c r="I29" s="193"/>
      <c r="J29" s="193"/>
      <c r="K29" s="193"/>
      <c r="L29" s="193"/>
      <c r="M29" s="193"/>
      <c r="N29" s="193"/>
      <c r="O29" s="193"/>
      <c r="P29" s="644"/>
      <c r="Q29" s="645"/>
      <c r="R29" s="646"/>
      <c r="S29" s="165"/>
    </row>
    <row r="30" spans="1:19">
      <c r="A30" s="164"/>
      <c r="B30" s="640"/>
      <c r="C30" s="647" t="s">
        <v>407</v>
      </c>
      <c r="D30" s="648"/>
      <c r="E30" s="649"/>
      <c r="F30" s="191">
        <v>0</v>
      </c>
      <c r="G30" s="191">
        <v>0</v>
      </c>
      <c r="H30" s="191">
        <v>0</v>
      </c>
      <c r="I30" s="191">
        <v>0</v>
      </c>
      <c r="J30" s="191">
        <v>0</v>
      </c>
      <c r="K30" s="191">
        <v>0</v>
      </c>
      <c r="L30" s="191">
        <v>0</v>
      </c>
      <c r="M30" s="191">
        <v>0</v>
      </c>
      <c r="N30" s="191">
        <v>0</v>
      </c>
      <c r="O30" s="191">
        <v>0</v>
      </c>
      <c r="P30" s="650" t="s">
        <v>402</v>
      </c>
      <c r="Q30" s="650"/>
      <c r="R30" s="651"/>
      <c r="S30" s="165"/>
    </row>
    <row r="31" spans="1:19">
      <c r="A31" s="164"/>
      <c r="B31" s="657" t="s">
        <v>408</v>
      </c>
      <c r="C31" s="658"/>
      <c r="D31" s="658"/>
      <c r="E31" s="659"/>
      <c r="F31" s="192">
        <v>0</v>
      </c>
      <c r="G31" s="192">
        <v>0</v>
      </c>
      <c r="H31" s="192">
        <v>0</v>
      </c>
      <c r="I31" s="192">
        <v>0</v>
      </c>
      <c r="J31" s="192">
        <v>0</v>
      </c>
      <c r="K31" s="192">
        <v>0</v>
      </c>
      <c r="L31" s="192">
        <v>0</v>
      </c>
      <c r="M31" s="192">
        <v>0</v>
      </c>
      <c r="N31" s="192">
        <v>0</v>
      </c>
      <c r="O31" s="192">
        <v>0</v>
      </c>
      <c r="P31" s="644"/>
      <c r="Q31" s="645"/>
      <c r="R31" s="646"/>
      <c r="S31" s="165"/>
    </row>
    <row r="32" spans="1:19" ht="18" thickBot="1">
      <c r="A32" s="164"/>
      <c r="B32" s="633" t="s">
        <v>409</v>
      </c>
      <c r="C32" s="634"/>
      <c r="D32" s="634"/>
      <c r="E32" s="635"/>
      <c r="F32" s="194">
        <v>10706818397.165844</v>
      </c>
      <c r="G32" s="194">
        <v>9464639750.3959141</v>
      </c>
      <c r="H32" s="194">
        <v>8894595314.9762402</v>
      </c>
      <c r="I32" s="194">
        <v>8799115731.8989601</v>
      </c>
      <c r="J32" s="194">
        <v>8679649093.227808</v>
      </c>
      <c r="K32" s="194">
        <v>8585304479.9029408</v>
      </c>
      <c r="L32" s="194">
        <v>8644379993.3296776</v>
      </c>
      <c r="M32" s="194">
        <v>0</v>
      </c>
      <c r="N32" s="194">
        <v>0</v>
      </c>
      <c r="O32" s="194">
        <v>0</v>
      </c>
      <c r="P32" s="636"/>
      <c r="Q32" s="637"/>
      <c r="R32" s="638"/>
      <c r="S32" s="165"/>
    </row>
  </sheetData>
  <mergeCells count="47">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D25:E25"/>
    <mergeCell ref="P25:R25"/>
    <mergeCell ref="D26:E26"/>
    <mergeCell ref="P26:R26"/>
    <mergeCell ref="B31:E31"/>
    <mergeCell ref="P31:R31"/>
    <mergeCell ref="B32:E32"/>
    <mergeCell ref="P32:R32"/>
    <mergeCell ref="B28:B30"/>
    <mergeCell ref="C28:E28"/>
    <mergeCell ref="P28:R28"/>
    <mergeCell ref="C29:E29"/>
    <mergeCell ref="P29:R29"/>
    <mergeCell ref="C30:E30"/>
    <mergeCell ref="P30:R30"/>
  </mergeCells>
  <phoneticPr fontId="1" type="noConversion"/>
  <hyperlinks>
    <hyperlink ref="A1" location="HOME!A1" display="HOME"/>
  </hyperlink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59"/>
  <sheetViews>
    <sheetView topLeftCell="A31" zoomScale="85" zoomScaleNormal="85" workbookViewId="0">
      <selection activeCell="F45" sqref="F45"/>
    </sheetView>
  </sheetViews>
  <sheetFormatPr defaultRowHeight="17.399999999999999"/>
  <cols>
    <col min="4" max="4" width="14.19921875" bestFit="1" customWidth="1"/>
    <col min="5" max="5" width="16.69921875" bestFit="1" customWidth="1"/>
    <col min="6" max="6" width="16.19921875" bestFit="1" customWidth="1"/>
    <col min="7" max="7" width="8.8984375" bestFit="1" customWidth="1"/>
    <col min="9" max="9" width="8.8984375" bestFit="1" customWidth="1"/>
    <col min="11" max="12" width="8.8984375" bestFit="1" customWidth="1"/>
    <col min="14" max="14" width="8.8984375" bestFit="1" customWidth="1"/>
  </cols>
  <sheetData>
    <row r="1" spans="1:15">
      <c r="A1" s="732" t="s">
        <v>372</v>
      </c>
      <c r="B1" s="732"/>
      <c r="C1" s="732"/>
      <c r="D1" s="732"/>
      <c r="E1" s="732"/>
      <c r="F1" s="351" t="s">
        <v>847</v>
      </c>
      <c r="G1" s="732" t="s">
        <v>848</v>
      </c>
      <c r="H1" s="732"/>
      <c r="I1" s="732"/>
      <c r="J1" s="732"/>
      <c r="K1" s="732"/>
      <c r="L1" s="732"/>
      <c r="M1" s="732"/>
      <c r="N1" s="732"/>
      <c r="O1" s="732"/>
    </row>
    <row r="2" spans="1:15">
      <c r="A2" s="733" t="s">
        <v>849</v>
      </c>
      <c r="B2" s="734" t="s">
        <v>849</v>
      </c>
      <c r="C2" s="734"/>
      <c r="D2" s="734"/>
      <c r="E2" s="734"/>
      <c r="F2" s="366">
        <v>69570048694</v>
      </c>
      <c r="G2" s="735" t="s">
        <v>850</v>
      </c>
      <c r="H2" s="735"/>
      <c r="I2" s="736">
        <v>44197</v>
      </c>
      <c r="J2" s="736"/>
      <c r="K2" s="352" t="s">
        <v>851</v>
      </c>
      <c r="L2" s="353">
        <v>84</v>
      </c>
      <c r="M2" s="352" t="s">
        <v>852</v>
      </c>
      <c r="N2" s="737" t="s">
        <v>853</v>
      </c>
      <c r="O2" s="737"/>
    </row>
    <row r="3" spans="1:15">
      <c r="A3" s="733"/>
      <c r="B3" s="733" t="s">
        <v>854</v>
      </c>
      <c r="C3" s="733"/>
      <c r="D3" s="733"/>
      <c r="E3" s="733"/>
      <c r="F3" s="370" t="s">
        <v>855</v>
      </c>
      <c r="G3" s="733"/>
      <c r="H3" s="733"/>
      <c r="I3" s="733"/>
      <c r="J3" s="733"/>
      <c r="K3" s="733"/>
      <c r="L3" s="733"/>
      <c r="M3" s="733"/>
      <c r="N3" s="733"/>
      <c r="O3" s="733"/>
    </row>
    <row r="4" spans="1:15">
      <c r="A4" s="753" t="s">
        <v>343</v>
      </c>
      <c r="B4" s="351" t="s">
        <v>856</v>
      </c>
      <c r="C4" s="734" t="s">
        <v>858</v>
      </c>
      <c r="D4" s="734" t="s">
        <v>859</v>
      </c>
      <c r="E4" s="352" t="s">
        <v>539</v>
      </c>
      <c r="F4" s="366">
        <v>2283417500</v>
      </c>
      <c r="G4" s="737" t="s">
        <v>860</v>
      </c>
      <c r="H4" s="737"/>
      <c r="I4" s="737"/>
      <c r="J4" s="737"/>
      <c r="K4" s="737"/>
      <c r="L4" s="737"/>
      <c r="M4" s="737"/>
      <c r="N4" s="737"/>
      <c r="O4" s="737"/>
    </row>
    <row r="5" spans="1:15">
      <c r="A5" s="753"/>
      <c r="B5" s="351" t="s">
        <v>857</v>
      </c>
      <c r="C5" s="734"/>
      <c r="D5" s="734"/>
      <c r="E5" s="352" t="s">
        <v>861</v>
      </c>
      <c r="F5" s="366">
        <v>502986216</v>
      </c>
      <c r="G5" s="737"/>
      <c r="H5" s="737"/>
      <c r="I5" s="737"/>
      <c r="J5" s="737"/>
      <c r="K5" s="737"/>
      <c r="L5" s="737"/>
      <c r="M5" s="737"/>
      <c r="N5" s="737"/>
      <c r="O5" s="737"/>
    </row>
    <row r="6" spans="1:15">
      <c r="A6" s="753"/>
      <c r="B6" s="354"/>
      <c r="C6" s="734"/>
      <c r="D6" s="734"/>
      <c r="E6" s="352" t="s">
        <v>862</v>
      </c>
      <c r="F6" s="366">
        <v>1185523410</v>
      </c>
      <c r="G6" s="737"/>
      <c r="H6" s="737"/>
      <c r="I6" s="737"/>
      <c r="J6" s="737"/>
      <c r="K6" s="737"/>
      <c r="L6" s="737"/>
      <c r="M6" s="737"/>
      <c r="N6" s="737"/>
      <c r="O6" s="737"/>
    </row>
    <row r="7" spans="1:15">
      <c r="A7" s="753"/>
      <c r="B7" s="354"/>
      <c r="C7" s="734"/>
      <c r="D7" s="734" t="s">
        <v>863</v>
      </c>
      <c r="E7" s="352" t="s">
        <v>864</v>
      </c>
      <c r="F7" s="366">
        <v>945000000</v>
      </c>
      <c r="G7" s="737" t="s">
        <v>865</v>
      </c>
      <c r="H7" s="737"/>
      <c r="I7" s="737"/>
      <c r="J7" s="737"/>
      <c r="K7" s="737"/>
      <c r="L7" s="737"/>
      <c r="M7" s="737"/>
      <c r="N7" s="737"/>
      <c r="O7" s="737"/>
    </row>
    <row r="8" spans="1:15">
      <c r="A8" s="753"/>
      <c r="B8" s="354"/>
      <c r="C8" s="734"/>
      <c r="D8" s="734"/>
      <c r="E8" s="352" t="s">
        <v>866</v>
      </c>
      <c r="F8" s="366">
        <v>51290822408</v>
      </c>
      <c r="G8" s="737"/>
      <c r="H8" s="737"/>
      <c r="I8" s="737"/>
      <c r="J8" s="737"/>
      <c r="K8" s="737"/>
      <c r="L8" s="737"/>
      <c r="M8" s="737"/>
      <c r="N8" s="737"/>
      <c r="O8" s="737"/>
    </row>
    <row r="9" spans="1:15">
      <c r="A9" s="753"/>
      <c r="B9" s="354"/>
      <c r="C9" s="734"/>
      <c r="D9" s="734"/>
      <c r="E9" s="355"/>
      <c r="F9" s="371"/>
      <c r="G9" s="737"/>
      <c r="H9" s="737"/>
      <c r="I9" s="737"/>
      <c r="J9" s="737"/>
      <c r="K9" s="737"/>
      <c r="L9" s="737"/>
      <c r="M9" s="737"/>
      <c r="N9" s="737"/>
      <c r="O9" s="737"/>
    </row>
    <row r="10" spans="1:15">
      <c r="A10" s="753"/>
      <c r="B10" s="354"/>
      <c r="C10" s="734"/>
      <c r="D10" s="734" t="s">
        <v>867</v>
      </c>
      <c r="E10" s="355"/>
      <c r="F10" s="371"/>
      <c r="G10" s="737" t="s">
        <v>868</v>
      </c>
      <c r="H10" s="737"/>
      <c r="I10" s="737"/>
      <c r="J10" s="737"/>
      <c r="K10" s="737"/>
      <c r="L10" s="737"/>
      <c r="M10" s="737"/>
      <c r="N10" s="737"/>
      <c r="O10" s="737"/>
    </row>
    <row r="11" spans="1:15">
      <c r="A11" s="753"/>
      <c r="B11" s="354"/>
      <c r="C11" s="734"/>
      <c r="D11" s="734"/>
      <c r="E11" s="355"/>
      <c r="F11" s="371"/>
      <c r="G11" s="737"/>
      <c r="H11" s="737"/>
      <c r="I11" s="737"/>
      <c r="J11" s="737"/>
      <c r="K11" s="737"/>
      <c r="L11" s="737"/>
      <c r="M11" s="737"/>
      <c r="N11" s="737"/>
      <c r="O11" s="737"/>
    </row>
    <row r="12" spans="1:15">
      <c r="A12" s="753"/>
      <c r="B12" s="354"/>
      <c r="C12" s="734"/>
      <c r="D12" s="734"/>
      <c r="E12" s="355"/>
      <c r="F12" s="371"/>
      <c r="G12" s="737"/>
      <c r="H12" s="737"/>
      <c r="I12" s="737"/>
      <c r="J12" s="737"/>
      <c r="K12" s="737"/>
      <c r="L12" s="737"/>
      <c r="M12" s="737"/>
      <c r="N12" s="737"/>
      <c r="O12" s="737"/>
    </row>
    <row r="13" spans="1:15">
      <c r="A13" s="753"/>
      <c r="B13" s="354"/>
      <c r="C13" s="732" t="s">
        <v>869</v>
      </c>
      <c r="D13" s="732"/>
      <c r="E13" s="732"/>
      <c r="F13" s="369">
        <v>56207749534</v>
      </c>
      <c r="G13" s="739" t="s">
        <v>870</v>
      </c>
      <c r="H13" s="739"/>
      <c r="I13" s="740">
        <v>0.80800000000000005</v>
      </c>
      <c r="J13" s="740"/>
      <c r="K13" s="732"/>
      <c r="L13" s="732"/>
      <c r="M13" s="732"/>
      <c r="N13" s="732"/>
      <c r="O13" s="732"/>
    </row>
    <row r="14" spans="1:15" ht="26.4" customHeight="1">
      <c r="A14" s="753"/>
      <c r="B14" s="354"/>
      <c r="C14" s="734" t="s">
        <v>248</v>
      </c>
      <c r="D14" s="734" t="s">
        <v>871</v>
      </c>
      <c r="E14" s="734" t="s">
        <v>872</v>
      </c>
      <c r="F14" s="738" t="s">
        <v>873</v>
      </c>
      <c r="G14" s="737" t="s">
        <v>874</v>
      </c>
      <c r="H14" s="737"/>
      <c r="I14" s="737"/>
      <c r="J14" s="737"/>
      <c r="K14" s="737"/>
      <c r="L14" s="737"/>
      <c r="M14" s="737"/>
      <c r="N14" s="737"/>
      <c r="O14" s="737"/>
    </row>
    <row r="15" spans="1:15">
      <c r="A15" s="753"/>
      <c r="B15" s="354"/>
      <c r="C15" s="734"/>
      <c r="D15" s="734"/>
      <c r="E15" s="734"/>
      <c r="F15" s="738"/>
      <c r="G15" s="737" t="s">
        <v>875</v>
      </c>
      <c r="H15" s="737"/>
      <c r="I15" s="737"/>
      <c r="J15" s="737"/>
      <c r="K15" s="737"/>
      <c r="L15" s="737"/>
      <c r="M15" s="737"/>
      <c r="N15" s="737"/>
      <c r="O15" s="737"/>
    </row>
    <row r="16" spans="1:15">
      <c r="A16" s="753"/>
      <c r="B16" s="354"/>
      <c r="C16" s="734"/>
      <c r="D16" s="734" t="s">
        <v>876</v>
      </c>
      <c r="E16" s="353" t="s">
        <v>877</v>
      </c>
      <c r="F16" s="368"/>
      <c r="G16" s="737" t="s">
        <v>878</v>
      </c>
      <c r="H16" s="737"/>
      <c r="I16" s="737"/>
      <c r="J16" s="737"/>
      <c r="K16" s="737"/>
      <c r="L16" s="737"/>
      <c r="M16" s="737"/>
      <c r="N16" s="737"/>
      <c r="O16" s="737"/>
    </row>
    <row r="17" spans="1:15">
      <c r="A17" s="753"/>
      <c r="B17" s="354"/>
      <c r="C17" s="734"/>
      <c r="D17" s="734"/>
      <c r="E17" s="353" t="s">
        <v>879</v>
      </c>
      <c r="F17" s="368">
        <v>28100000</v>
      </c>
      <c r="G17" s="737" t="s">
        <v>880</v>
      </c>
      <c r="H17" s="737"/>
      <c r="I17" s="737"/>
      <c r="J17" s="737"/>
      <c r="K17" s="737"/>
      <c r="L17" s="737"/>
      <c r="M17" s="737"/>
      <c r="N17" s="737"/>
      <c r="O17" s="737"/>
    </row>
    <row r="18" spans="1:15">
      <c r="A18" s="753"/>
      <c r="B18" s="354"/>
      <c r="C18" s="734"/>
      <c r="D18" s="734"/>
      <c r="E18" s="353" t="s">
        <v>881</v>
      </c>
      <c r="F18" s="368">
        <v>91000000</v>
      </c>
      <c r="G18" s="737" t="s">
        <v>882</v>
      </c>
      <c r="H18" s="737"/>
      <c r="I18" s="737"/>
      <c r="J18" s="737"/>
      <c r="K18" s="737"/>
      <c r="L18" s="737"/>
      <c r="M18" s="737"/>
      <c r="N18" s="737"/>
      <c r="O18" s="737"/>
    </row>
    <row r="19" spans="1:15">
      <c r="A19" s="753"/>
      <c r="B19" s="354"/>
      <c r="C19" s="734"/>
      <c r="D19" s="734"/>
      <c r="E19" s="353" t="s">
        <v>883</v>
      </c>
      <c r="F19" s="368">
        <v>32000000</v>
      </c>
      <c r="G19" s="737" t="s">
        <v>884</v>
      </c>
      <c r="H19" s="737"/>
      <c r="I19" s="737"/>
      <c r="J19" s="737"/>
      <c r="K19" s="737"/>
      <c r="L19" s="737"/>
      <c r="M19" s="737"/>
      <c r="N19" s="737"/>
      <c r="O19" s="737"/>
    </row>
    <row r="20" spans="1:15">
      <c r="A20" s="753"/>
      <c r="B20" s="354"/>
      <c r="C20" s="734"/>
      <c r="D20" s="734"/>
      <c r="E20" s="353" t="s">
        <v>885</v>
      </c>
      <c r="F20" s="368">
        <v>14000000</v>
      </c>
      <c r="G20" s="737" t="s">
        <v>886</v>
      </c>
      <c r="H20" s="737"/>
      <c r="I20" s="737"/>
      <c r="J20" s="737"/>
      <c r="K20" s="737"/>
      <c r="L20" s="737"/>
      <c r="M20" s="737"/>
      <c r="N20" s="737"/>
      <c r="O20" s="737"/>
    </row>
    <row r="21" spans="1:15">
      <c r="A21" s="753"/>
      <c r="B21" s="354"/>
      <c r="C21" s="734"/>
      <c r="D21" s="734"/>
      <c r="E21" s="353" t="s">
        <v>887</v>
      </c>
      <c r="F21" s="368">
        <v>18800000</v>
      </c>
      <c r="G21" s="737" t="s">
        <v>888</v>
      </c>
      <c r="H21" s="737"/>
      <c r="I21" s="737"/>
      <c r="J21" s="737"/>
      <c r="K21" s="737"/>
      <c r="L21" s="737"/>
      <c r="M21" s="737"/>
      <c r="N21" s="737"/>
      <c r="O21" s="737"/>
    </row>
    <row r="22" spans="1:15">
      <c r="A22" s="753"/>
      <c r="B22" s="354"/>
      <c r="C22" s="734"/>
      <c r="D22" s="734"/>
      <c r="E22" s="353" t="s">
        <v>889</v>
      </c>
      <c r="F22" s="368"/>
      <c r="G22" s="737" t="s">
        <v>890</v>
      </c>
      <c r="H22" s="737"/>
      <c r="I22" s="737"/>
      <c r="J22" s="737"/>
      <c r="K22" s="737"/>
      <c r="L22" s="737"/>
      <c r="M22" s="737"/>
      <c r="N22" s="737"/>
      <c r="O22" s="737"/>
    </row>
    <row r="23" spans="1:15">
      <c r="A23" s="753"/>
      <c r="B23" s="354"/>
      <c r="C23" s="734"/>
      <c r="D23" s="353" t="s">
        <v>825</v>
      </c>
      <c r="E23" s="353" t="s">
        <v>891</v>
      </c>
      <c r="F23" s="368">
        <v>23450000</v>
      </c>
      <c r="G23" s="737" t="s">
        <v>892</v>
      </c>
      <c r="H23" s="737"/>
      <c r="I23" s="737"/>
      <c r="J23" s="737"/>
      <c r="K23" s="737"/>
      <c r="L23" s="737"/>
      <c r="M23" s="737"/>
      <c r="N23" s="737"/>
      <c r="O23" s="737"/>
    </row>
    <row r="24" spans="1:15">
      <c r="A24" s="753"/>
      <c r="B24" s="354"/>
      <c r="C24" s="732" t="s">
        <v>893</v>
      </c>
      <c r="D24" s="732"/>
      <c r="E24" s="732"/>
      <c r="F24" s="369" t="s">
        <v>894</v>
      </c>
      <c r="G24" s="741"/>
      <c r="H24" s="741"/>
      <c r="I24" s="741"/>
      <c r="J24" s="741"/>
      <c r="K24" s="741"/>
      <c r="L24" s="741"/>
      <c r="M24" s="741"/>
      <c r="N24" s="741"/>
      <c r="O24" s="741"/>
    </row>
    <row r="25" spans="1:15">
      <c r="A25" s="753"/>
      <c r="B25" s="354"/>
      <c r="C25" s="734" t="s">
        <v>895</v>
      </c>
      <c r="D25" s="734" t="s">
        <v>896</v>
      </c>
      <c r="E25" s="353" t="s">
        <v>897</v>
      </c>
      <c r="F25" s="353" t="s">
        <v>898</v>
      </c>
      <c r="G25" s="367">
        <v>1</v>
      </c>
      <c r="H25" s="352" t="s">
        <v>899</v>
      </c>
      <c r="I25" s="367">
        <v>94</v>
      </c>
      <c r="J25" s="352" t="s">
        <v>852</v>
      </c>
      <c r="K25" s="742" t="s">
        <v>900</v>
      </c>
      <c r="L25" s="742"/>
      <c r="M25" s="742"/>
      <c r="N25" s="742"/>
      <c r="O25" s="742"/>
    </row>
    <row r="26" spans="1:15">
      <c r="A26" s="753"/>
      <c r="B26" s="354"/>
      <c r="C26" s="734"/>
      <c r="D26" s="734"/>
      <c r="E26" s="734" t="s">
        <v>901</v>
      </c>
      <c r="F26" s="353" t="s">
        <v>902</v>
      </c>
      <c r="G26" s="367">
        <v>1</v>
      </c>
      <c r="H26" s="352" t="s">
        <v>899</v>
      </c>
      <c r="I26" s="367">
        <v>12</v>
      </c>
      <c r="J26" s="352" t="s">
        <v>852</v>
      </c>
      <c r="K26" s="742" t="s">
        <v>903</v>
      </c>
      <c r="L26" s="742"/>
      <c r="M26" s="742"/>
      <c r="N26" s="742"/>
      <c r="O26" s="742"/>
    </row>
    <row r="27" spans="1:15" ht="31.2">
      <c r="A27" s="753"/>
      <c r="B27" s="354"/>
      <c r="C27" s="734"/>
      <c r="D27" s="734"/>
      <c r="E27" s="734"/>
      <c r="F27" s="353" t="s">
        <v>904</v>
      </c>
      <c r="G27" s="367">
        <v>1</v>
      </c>
      <c r="H27" s="352" t="s">
        <v>899</v>
      </c>
      <c r="I27" s="367">
        <v>10</v>
      </c>
      <c r="J27" s="352" t="s">
        <v>852</v>
      </c>
      <c r="K27" s="357"/>
      <c r="L27" s="357" t="s">
        <v>905</v>
      </c>
      <c r="M27" s="357"/>
      <c r="N27" s="357"/>
      <c r="O27" s="357"/>
    </row>
    <row r="28" spans="1:15" ht="31.2">
      <c r="A28" s="753"/>
      <c r="B28" s="354"/>
      <c r="C28" s="734"/>
      <c r="D28" s="734"/>
      <c r="E28" s="734"/>
      <c r="F28" s="353" t="s">
        <v>906</v>
      </c>
      <c r="G28" s="367">
        <v>1</v>
      </c>
      <c r="H28" s="352" t="s">
        <v>899</v>
      </c>
      <c r="I28" s="367">
        <v>24</v>
      </c>
      <c r="J28" s="352" t="s">
        <v>852</v>
      </c>
      <c r="K28" s="357"/>
      <c r="L28" s="357" t="s">
        <v>907</v>
      </c>
      <c r="M28" s="357"/>
      <c r="N28" s="357"/>
      <c r="O28" s="357"/>
    </row>
    <row r="29" spans="1:15" ht="46.8">
      <c r="A29" s="753"/>
      <c r="B29" s="354"/>
      <c r="C29" s="734"/>
      <c r="D29" s="734"/>
      <c r="E29" s="734"/>
      <c r="F29" s="353" t="s">
        <v>908</v>
      </c>
      <c r="G29" s="367">
        <v>1</v>
      </c>
      <c r="H29" s="352" t="s">
        <v>899</v>
      </c>
      <c r="I29" s="367">
        <v>72</v>
      </c>
      <c r="J29" s="352" t="s">
        <v>852</v>
      </c>
      <c r="K29" s="357"/>
      <c r="L29" s="357" t="s">
        <v>909</v>
      </c>
      <c r="M29" s="357"/>
      <c r="N29" s="357" t="s">
        <v>910</v>
      </c>
      <c r="O29" s="357"/>
    </row>
    <row r="30" spans="1:15">
      <c r="A30" s="753"/>
      <c r="B30" s="354"/>
      <c r="C30" s="734"/>
      <c r="D30" s="353" t="s">
        <v>911</v>
      </c>
      <c r="E30" s="358" t="s">
        <v>912</v>
      </c>
      <c r="F30" s="373">
        <v>82400000</v>
      </c>
      <c r="G30" s="737" t="s">
        <v>913</v>
      </c>
      <c r="H30" s="737"/>
      <c r="I30" s="737"/>
      <c r="J30" s="737"/>
      <c r="K30" s="737"/>
      <c r="L30" s="737"/>
      <c r="M30" s="737"/>
      <c r="N30" s="737"/>
      <c r="O30" s="737"/>
    </row>
    <row r="31" spans="1:15">
      <c r="A31" s="753"/>
      <c r="B31" s="354"/>
      <c r="C31" s="734"/>
      <c r="D31" s="734" t="s">
        <v>914</v>
      </c>
      <c r="E31" s="358" t="s">
        <v>915</v>
      </c>
      <c r="F31" s="373">
        <v>413577000</v>
      </c>
      <c r="G31" s="356">
        <v>2</v>
      </c>
      <c r="H31" s="359" t="s">
        <v>899</v>
      </c>
      <c r="I31" s="359"/>
      <c r="J31" s="360" t="s">
        <v>916</v>
      </c>
      <c r="K31" s="356">
        <v>0</v>
      </c>
      <c r="L31" s="359" t="s">
        <v>917</v>
      </c>
      <c r="M31" s="360" t="s">
        <v>918</v>
      </c>
      <c r="N31" s="356">
        <v>108</v>
      </c>
      <c r="O31" s="359" t="s">
        <v>917</v>
      </c>
    </row>
    <row r="32" spans="1:15">
      <c r="A32" s="753"/>
      <c r="B32" s="354"/>
      <c r="C32" s="734"/>
      <c r="D32" s="734"/>
      <c r="E32" s="353" t="s">
        <v>919</v>
      </c>
      <c r="F32" s="368"/>
      <c r="G32" s="737" t="s">
        <v>920</v>
      </c>
      <c r="H32" s="737"/>
      <c r="I32" s="737"/>
      <c r="J32" s="737"/>
      <c r="K32" s="737"/>
      <c r="L32" s="737"/>
      <c r="M32" s="737"/>
      <c r="N32" s="737"/>
      <c r="O32" s="737"/>
    </row>
    <row r="33" spans="1:15">
      <c r="A33" s="753"/>
      <c r="B33" s="354"/>
      <c r="C33" s="734"/>
      <c r="D33" s="734" t="s">
        <v>921</v>
      </c>
      <c r="E33" s="353" t="s">
        <v>922</v>
      </c>
      <c r="F33" s="368"/>
      <c r="G33" s="737" t="s">
        <v>923</v>
      </c>
      <c r="H33" s="737"/>
      <c r="I33" s="737"/>
      <c r="J33" s="737"/>
      <c r="K33" s="737"/>
      <c r="L33" s="737"/>
      <c r="M33" s="737"/>
      <c r="N33" s="737"/>
      <c r="O33" s="737"/>
    </row>
    <row r="34" spans="1:15" ht="28.8" customHeight="1">
      <c r="A34" s="753"/>
      <c r="B34" s="354"/>
      <c r="C34" s="734"/>
      <c r="D34" s="734"/>
      <c r="E34" s="743" t="s">
        <v>332</v>
      </c>
      <c r="F34" s="744">
        <v>25880058</v>
      </c>
      <c r="G34" s="737" t="s">
        <v>965</v>
      </c>
      <c r="H34" s="737"/>
      <c r="I34" s="737"/>
      <c r="J34" s="737"/>
      <c r="K34" s="356"/>
      <c r="L34" s="737" t="s">
        <v>966</v>
      </c>
      <c r="M34" s="737"/>
      <c r="N34" s="737"/>
      <c r="O34" s="356"/>
    </row>
    <row r="35" spans="1:15" ht="31.2" customHeight="1">
      <c r="A35" s="753"/>
      <c r="B35" s="354"/>
      <c r="C35" s="734"/>
      <c r="D35" s="734"/>
      <c r="E35" s="743"/>
      <c r="F35" s="744"/>
      <c r="G35" s="737" t="s">
        <v>967</v>
      </c>
      <c r="H35" s="737"/>
      <c r="I35" s="356">
        <v>36</v>
      </c>
      <c r="J35" s="359" t="s">
        <v>852</v>
      </c>
      <c r="K35" s="352"/>
      <c r="L35" s="737" t="s">
        <v>968</v>
      </c>
      <c r="M35" s="737"/>
      <c r="N35" s="356"/>
      <c r="O35" s="359" t="s">
        <v>852</v>
      </c>
    </row>
    <row r="36" spans="1:15" ht="28.8" customHeight="1">
      <c r="A36" s="753"/>
      <c r="B36" s="354"/>
      <c r="C36" s="734"/>
      <c r="D36" s="734"/>
      <c r="E36" s="743"/>
      <c r="F36" s="744"/>
      <c r="G36" s="737" t="s">
        <v>969</v>
      </c>
      <c r="H36" s="737"/>
      <c r="I36" s="745"/>
      <c r="J36" s="745"/>
      <c r="K36" s="352" t="s">
        <v>924</v>
      </c>
      <c r="L36" s="737" t="s">
        <v>970</v>
      </c>
      <c r="M36" s="737"/>
      <c r="N36" s="356"/>
      <c r="O36" s="359" t="s">
        <v>852</v>
      </c>
    </row>
    <row r="37" spans="1:15">
      <c r="A37" s="753"/>
      <c r="B37" s="354"/>
      <c r="C37" s="734"/>
      <c r="D37" s="734"/>
      <c r="E37" s="353" t="s">
        <v>925</v>
      </c>
      <c r="F37" s="368"/>
      <c r="G37" s="737" t="s">
        <v>926</v>
      </c>
      <c r="H37" s="737"/>
      <c r="I37" s="737"/>
      <c r="J37" s="737"/>
      <c r="K37" s="737"/>
      <c r="L37" s="737"/>
      <c r="M37" s="737"/>
      <c r="N37" s="737"/>
      <c r="O37" s="737"/>
    </row>
    <row r="38" spans="1:15">
      <c r="A38" s="753"/>
      <c r="B38" s="354"/>
      <c r="C38" s="734"/>
      <c r="D38" s="353" t="s">
        <v>927</v>
      </c>
      <c r="E38" s="358" t="s">
        <v>928</v>
      </c>
      <c r="F38" s="373">
        <v>1082083461</v>
      </c>
      <c r="G38" s="737"/>
      <c r="H38" s="737"/>
      <c r="I38" s="737"/>
      <c r="J38" s="737"/>
      <c r="K38" s="737"/>
      <c r="L38" s="737"/>
      <c r="M38" s="737"/>
      <c r="N38" s="737"/>
      <c r="O38" s="737"/>
    </row>
    <row r="39" spans="1:15">
      <c r="A39" s="753"/>
      <c r="B39" s="354"/>
      <c r="C39" s="732" t="s">
        <v>929</v>
      </c>
      <c r="D39" s="732"/>
      <c r="E39" s="732"/>
      <c r="F39" s="375">
        <v>1603940519</v>
      </c>
      <c r="G39" s="741"/>
      <c r="H39" s="741"/>
      <c r="I39" s="741"/>
      <c r="J39" s="741"/>
      <c r="K39" s="741"/>
      <c r="L39" s="741"/>
      <c r="M39" s="741"/>
      <c r="N39" s="741"/>
      <c r="O39" s="741"/>
    </row>
    <row r="40" spans="1:15">
      <c r="A40" s="753"/>
      <c r="B40" s="354"/>
      <c r="C40" s="734" t="s">
        <v>930</v>
      </c>
      <c r="D40" s="734" t="s">
        <v>931</v>
      </c>
      <c r="E40" s="734"/>
      <c r="F40" s="368"/>
      <c r="G40" s="747"/>
      <c r="H40" s="747"/>
      <c r="I40" s="747"/>
      <c r="J40" s="747"/>
      <c r="K40" s="747"/>
      <c r="L40" s="747"/>
      <c r="M40" s="747"/>
      <c r="N40" s="747"/>
      <c r="O40" s="747"/>
    </row>
    <row r="41" spans="1:15">
      <c r="A41" s="753"/>
      <c r="B41" s="354"/>
      <c r="C41" s="734"/>
      <c r="D41" s="734" t="s">
        <v>932</v>
      </c>
      <c r="E41" s="734"/>
      <c r="F41" s="368"/>
      <c r="G41" s="742"/>
      <c r="H41" s="742"/>
      <c r="I41" s="742"/>
      <c r="J41" s="742"/>
      <c r="K41" s="742"/>
      <c r="L41" s="742"/>
      <c r="M41" s="742"/>
      <c r="N41" s="742"/>
      <c r="O41" s="742"/>
    </row>
    <row r="42" spans="1:15" ht="31.2">
      <c r="A42" s="753"/>
      <c r="B42" s="354"/>
      <c r="C42" s="353" t="s">
        <v>933</v>
      </c>
      <c r="D42" s="743" t="s">
        <v>934</v>
      </c>
      <c r="E42" s="743"/>
      <c r="F42" s="373">
        <v>1391400974</v>
      </c>
      <c r="G42" s="734" t="s">
        <v>935</v>
      </c>
      <c r="H42" s="734"/>
      <c r="I42" s="734"/>
      <c r="J42" s="748">
        <v>0.02</v>
      </c>
      <c r="K42" s="748"/>
      <c r="L42" s="361"/>
      <c r="M42" s="361"/>
      <c r="N42" s="352"/>
      <c r="O42" s="357"/>
    </row>
    <row r="43" spans="1:15">
      <c r="A43" s="753"/>
      <c r="B43" s="756" t="s">
        <v>936</v>
      </c>
      <c r="C43" s="756"/>
      <c r="D43" s="756"/>
      <c r="E43" s="756"/>
      <c r="F43" s="369">
        <v>59410441027</v>
      </c>
      <c r="G43" s="741"/>
      <c r="H43" s="741"/>
      <c r="I43" s="741"/>
      <c r="J43" s="741"/>
      <c r="K43" s="741"/>
      <c r="L43" s="741"/>
      <c r="M43" s="741"/>
      <c r="N43" s="741"/>
      <c r="O43" s="741"/>
    </row>
    <row r="44" spans="1:15">
      <c r="A44" s="753"/>
      <c r="B44" s="749" t="s">
        <v>937</v>
      </c>
      <c r="C44" s="749"/>
      <c r="D44" s="749"/>
      <c r="E44" s="749"/>
      <c r="F44" s="374">
        <v>10159607667</v>
      </c>
      <c r="G44" s="746"/>
      <c r="H44" s="746"/>
      <c r="I44" s="746"/>
      <c r="J44" s="746"/>
      <c r="K44" s="746"/>
      <c r="L44" s="746"/>
      <c r="M44" s="746"/>
      <c r="N44" s="746"/>
      <c r="O44" s="746"/>
    </row>
    <row r="45" spans="1:15">
      <c r="A45" s="753"/>
      <c r="B45" s="749" t="s">
        <v>938</v>
      </c>
      <c r="C45" s="749"/>
      <c r="D45" s="749"/>
      <c r="E45" s="749"/>
      <c r="F45" s="362">
        <v>0.14599999999999999</v>
      </c>
      <c r="G45" s="746"/>
      <c r="H45" s="746"/>
      <c r="I45" s="746"/>
      <c r="J45" s="746"/>
      <c r="K45" s="746"/>
      <c r="L45" s="746"/>
      <c r="M45" s="746"/>
      <c r="N45" s="746"/>
      <c r="O45" s="746"/>
    </row>
    <row r="46" spans="1:15">
      <c r="A46" s="753"/>
      <c r="B46" s="351" t="s">
        <v>856</v>
      </c>
      <c r="C46" s="353" t="s">
        <v>940</v>
      </c>
      <c r="D46" s="743" t="s">
        <v>942</v>
      </c>
      <c r="E46" s="743"/>
      <c r="F46" s="372">
        <v>938312069</v>
      </c>
      <c r="G46" s="754"/>
      <c r="H46" s="754"/>
      <c r="I46" s="754"/>
      <c r="J46" s="754"/>
      <c r="K46" s="754"/>
      <c r="L46" s="754"/>
      <c r="M46" s="754"/>
      <c r="N46" s="754"/>
      <c r="O46" s="754"/>
    </row>
    <row r="47" spans="1:15" ht="31.2">
      <c r="A47" s="753"/>
      <c r="B47" s="351" t="s">
        <v>939</v>
      </c>
      <c r="C47" s="353" t="s">
        <v>941</v>
      </c>
      <c r="D47" s="743" t="s">
        <v>245</v>
      </c>
      <c r="E47" s="743"/>
      <c r="F47" s="372">
        <v>43867448220</v>
      </c>
      <c r="G47" s="755"/>
      <c r="H47" s="755"/>
      <c r="I47" s="755"/>
      <c r="J47" s="755"/>
      <c r="K47" s="755"/>
      <c r="L47" s="755"/>
      <c r="M47" s="755"/>
      <c r="N47" s="755"/>
      <c r="O47" s="755"/>
    </row>
    <row r="48" spans="1:15">
      <c r="A48" s="753"/>
      <c r="B48" s="354"/>
      <c r="C48" s="363"/>
      <c r="D48" s="743" t="s">
        <v>943</v>
      </c>
      <c r="E48" s="743"/>
      <c r="F48" s="372">
        <v>13993749152</v>
      </c>
      <c r="G48" s="742"/>
      <c r="H48" s="742"/>
      <c r="I48" s="742"/>
      <c r="J48" s="742"/>
      <c r="K48" s="742"/>
      <c r="L48" s="742"/>
      <c r="M48" s="742"/>
      <c r="N48" s="742"/>
      <c r="O48" s="742"/>
    </row>
    <row r="49" spans="1:15">
      <c r="A49" s="753"/>
      <c r="B49" s="732" t="s">
        <v>944</v>
      </c>
      <c r="C49" s="732"/>
      <c r="D49" s="732"/>
      <c r="E49" s="732"/>
      <c r="F49" s="375" t="s">
        <v>945</v>
      </c>
      <c r="G49" s="732"/>
      <c r="H49" s="732"/>
      <c r="I49" s="732"/>
      <c r="J49" s="732"/>
      <c r="K49" s="732"/>
      <c r="L49" s="732"/>
      <c r="M49" s="732"/>
      <c r="N49" s="732"/>
      <c r="O49" s="732"/>
    </row>
    <row r="50" spans="1:15">
      <c r="A50" s="733" t="s">
        <v>353</v>
      </c>
      <c r="B50" s="749" t="s">
        <v>946</v>
      </c>
      <c r="C50" s="749"/>
      <c r="D50" s="749"/>
      <c r="E50" s="749"/>
      <c r="F50" s="374" t="s">
        <v>947</v>
      </c>
      <c r="G50" s="750"/>
      <c r="H50" s="750"/>
      <c r="I50" s="750"/>
      <c r="J50" s="750"/>
      <c r="K50" s="750"/>
      <c r="L50" s="750"/>
      <c r="M50" s="750"/>
      <c r="N50" s="750"/>
      <c r="O50" s="750"/>
    </row>
    <row r="51" spans="1:15">
      <c r="A51" s="733"/>
      <c r="B51" s="749" t="s">
        <v>948</v>
      </c>
      <c r="C51" s="749"/>
      <c r="D51" s="749"/>
      <c r="E51" s="749"/>
      <c r="F51" s="364">
        <v>-0.69899999999999995</v>
      </c>
      <c r="G51" s="733"/>
      <c r="H51" s="733"/>
      <c r="I51" s="733"/>
      <c r="J51" s="733"/>
      <c r="K51" s="733"/>
      <c r="L51" s="733"/>
      <c r="M51" s="733"/>
      <c r="N51" s="733"/>
      <c r="O51" s="733"/>
    </row>
    <row r="52" spans="1:15">
      <c r="A52" s="733"/>
      <c r="B52" s="751" t="s">
        <v>949</v>
      </c>
      <c r="C52" s="751"/>
      <c r="D52" s="751"/>
      <c r="E52" s="751"/>
      <c r="F52" s="365">
        <v>-0.76700000000000002</v>
      </c>
      <c r="G52" s="752" t="s">
        <v>950</v>
      </c>
      <c r="H52" s="752"/>
      <c r="I52" s="752"/>
      <c r="J52" s="752"/>
      <c r="K52" s="752"/>
      <c r="L52" s="752"/>
      <c r="M52" s="752"/>
      <c r="N52" s="752"/>
      <c r="O52" s="752"/>
    </row>
    <row r="53" spans="1:15">
      <c r="A53" s="361"/>
      <c r="B53" s="361"/>
      <c r="C53" s="361"/>
      <c r="D53" s="361"/>
      <c r="E53" s="361"/>
      <c r="F53" s="361"/>
      <c r="G53" s="361"/>
      <c r="H53" s="361"/>
      <c r="I53" s="361"/>
      <c r="J53" s="361"/>
      <c r="K53" s="361"/>
      <c r="L53" s="361"/>
      <c r="M53" s="361"/>
      <c r="N53" s="361"/>
      <c r="O53" s="361"/>
    </row>
    <row r="54" spans="1:15">
      <c r="A54" s="737" t="s">
        <v>951</v>
      </c>
      <c r="B54" s="737"/>
      <c r="C54" s="737"/>
      <c r="D54" s="737"/>
      <c r="E54" s="737"/>
      <c r="F54" s="737"/>
      <c r="G54" s="737"/>
      <c r="H54" s="737"/>
      <c r="I54" s="737"/>
      <c r="J54" s="737"/>
      <c r="K54" s="737"/>
      <c r="L54" s="737"/>
      <c r="M54" s="737"/>
      <c r="N54" s="737"/>
      <c r="O54" s="737"/>
    </row>
    <row r="55" spans="1:15">
      <c r="A55" s="351" t="s">
        <v>372</v>
      </c>
      <c r="B55" s="732" t="s">
        <v>952</v>
      </c>
      <c r="C55" s="732"/>
      <c r="D55" s="732"/>
      <c r="E55" s="732"/>
      <c r="F55" s="732"/>
      <c r="G55" s="732" t="s">
        <v>953</v>
      </c>
      <c r="H55" s="732"/>
      <c r="I55" s="732"/>
      <c r="J55" s="732"/>
      <c r="K55" s="732" t="s">
        <v>954</v>
      </c>
      <c r="L55" s="732"/>
      <c r="M55" s="732"/>
      <c r="N55" s="732" t="s">
        <v>848</v>
      </c>
      <c r="O55" s="732"/>
    </row>
    <row r="56" spans="1:15" ht="27.6" customHeight="1">
      <c r="A56" s="351" t="s">
        <v>955</v>
      </c>
      <c r="B56" s="737" t="s">
        <v>956</v>
      </c>
      <c r="C56" s="737"/>
      <c r="D56" s="737"/>
      <c r="E56" s="737"/>
      <c r="F56" s="737"/>
      <c r="G56" s="748">
        <v>0.01</v>
      </c>
      <c r="H56" s="748"/>
      <c r="I56" s="748"/>
      <c r="J56" s="748"/>
      <c r="K56" s="758" t="s">
        <v>957</v>
      </c>
      <c r="L56" s="758"/>
      <c r="M56" s="758"/>
      <c r="N56" s="734"/>
      <c r="O56" s="734"/>
    </row>
    <row r="57" spans="1:15" ht="27.6" customHeight="1">
      <c r="A57" s="351" t="s">
        <v>958</v>
      </c>
      <c r="B57" s="737" t="s">
        <v>959</v>
      </c>
      <c r="C57" s="737"/>
      <c r="D57" s="737"/>
      <c r="E57" s="737"/>
      <c r="F57" s="737"/>
      <c r="G57" s="748">
        <v>0.02</v>
      </c>
      <c r="H57" s="748"/>
      <c r="I57" s="748"/>
      <c r="J57" s="748"/>
      <c r="K57" s="758" t="s">
        <v>960</v>
      </c>
      <c r="L57" s="758"/>
      <c r="M57" s="758"/>
      <c r="N57" s="734"/>
      <c r="O57" s="734"/>
    </row>
    <row r="58" spans="1:15" ht="27.6" customHeight="1">
      <c r="A58" s="351" t="s">
        <v>961</v>
      </c>
      <c r="B58" s="737" t="s">
        <v>962</v>
      </c>
      <c r="C58" s="737"/>
      <c r="D58" s="737"/>
      <c r="E58" s="737"/>
      <c r="F58" s="737"/>
      <c r="G58" s="748">
        <v>0</v>
      </c>
      <c r="H58" s="748"/>
      <c r="I58" s="748"/>
      <c r="J58" s="748"/>
      <c r="K58" s="758" t="s">
        <v>963</v>
      </c>
      <c r="L58" s="758"/>
      <c r="M58" s="758"/>
      <c r="N58" s="734"/>
      <c r="O58" s="734"/>
    </row>
    <row r="59" spans="1:15">
      <c r="A59" s="732" t="s">
        <v>964</v>
      </c>
      <c r="B59" s="732"/>
      <c r="C59" s="732"/>
      <c r="D59" s="732"/>
      <c r="E59" s="732"/>
      <c r="F59" s="732"/>
      <c r="G59" s="759">
        <v>0.02</v>
      </c>
      <c r="H59" s="759"/>
      <c r="I59" s="759"/>
      <c r="J59" s="759"/>
      <c r="K59" s="759"/>
      <c r="L59" s="759"/>
      <c r="M59" s="759"/>
      <c r="N59" s="757"/>
      <c r="O59" s="757"/>
    </row>
  </sheetData>
  <mergeCells count="108">
    <mergeCell ref="G48:O48"/>
    <mergeCell ref="B43:E43"/>
    <mergeCell ref="N59:O59"/>
    <mergeCell ref="G57:J57"/>
    <mergeCell ref="K57:M57"/>
    <mergeCell ref="B58:F58"/>
    <mergeCell ref="G58:J58"/>
    <mergeCell ref="K58:M58"/>
    <mergeCell ref="A59:F59"/>
    <mergeCell ref="G59:M59"/>
    <mergeCell ref="A54:O54"/>
    <mergeCell ref="B55:F55"/>
    <mergeCell ref="G55:J55"/>
    <mergeCell ref="K55:M55"/>
    <mergeCell ref="N55:O55"/>
    <mergeCell ref="B56:F56"/>
    <mergeCell ref="G56:J56"/>
    <mergeCell ref="K56:M56"/>
    <mergeCell ref="N56:O58"/>
    <mergeCell ref="B57:F57"/>
    <mergeCell ref="G43:O43"/>
    <mergeCell ref="B44:E44"/>
    <mergeCell ref="G44:O44"/>
    <mergeCell ref="B45:E45"/>
    <mergeCell ref="C39:E39"/>
    <mergeCell ref="G39:O39"/>
    <mergeCell ref="B49:E49"/>
    <mergeCell ref="G49:O49"/>
    <mergeCell ref="A50:A52"/>
    <mergeCell ref="B50:E50"/>
    <mergeCell ref="G50:O50"/>
    <mergeCell ref="B51:E51"/>
    <mergeCell ref="G51:O51"/>
    <mergeCell ref="B52:E52"/>
    <mergeCell ref="G52:O52"/>
    <mergeCell ref="A4:A49"/>
    <mergeCell ref="C4:C12"/>
    <mergeCell ref="D4:D6"/>
    <mergeCell ref="G4:O6"/>
    <mergeCell ref="D7:D9"/>
    <mergeCell ref="G7:O9"/>
    <mergeCell ref="D10:D12"/>
    <mergeCell ref="G10:O12"/>
    <mergeCell ref="D46:E46"/>
    <mergeCell ref="G46:O46"/>
    <mergeCell ref="D47:E47"/>
    <mergeCell ref="G47:O47"/>
    <mergeCell ref="D48:E48"/>
    <mergeCell ref="G45:O45"/>
    <mergeCell ref="C40:C41"/>
    <mergeCell ref="D40:E40"/>
    <mergeCell ref="G40:O40"/>
    <mergeCell ref="D41:E41"/>
    <mergeCell ref="G41:O41"/>
    <mergeCell ref="D42:E42"/>
    <mergeCell ref="G42:I42"/>
    <mergeCell ref="J42:K42"/>
    <mergeCell ref="C24:E24"/>
    <mergeCell ref="G24:O24"/>
    <mergeCell ref="C25:C38"/>
    <mergeCell ref="D25:D29"/>
    <mergeCell ref="K25:O25"/>
    <mergeCell ref="E26:E29"/>
    <mergeCell ref="K26:O26"/>
    <mergeCell ref="G30:O30"/>
    <mergeCell ref="D31:D32"/>
    <mergeCell ref="G32:O32"/>
    <mergeCell ref="D33:D37"/>
    <mergeCell ref="G33:O33"/>
    <mergeCell ref="E34:E36"/>
    <mergeCell ref="F34:F36"/>
    <mergeCell ref="G34:J34"/>
    <mergeCell ref="L34:N34"/>
    <mergeCell ref="G35:H35"/>
    <mergeCell ref="L35:M35"/>
    <mergeCell ref="G36:H36"/>
    <mergeCell ref="I36:J36"/>
    <mergeCell ref="L36:M36"/>
    <mergeCell ref="G37:O37"/>
    <mergeCell ref="G38:O38"/>
    <mergeCell ref="C14:C23"/>
    <mergeCell ref="D14:D15"/>
    <mergeCell ref="E14:E15"/>
    <mergeCell ref="F14:F15"/>
    <mergeCell ref="G14:O14"/>
    <mergeCell ref="G15:O15"/>
    <mergeCell ref="D16:D22"/>
    <mergeCell ref="G16:O16"/>
    <mergeCell ref="C13:E13"/>
    <mergeCell ref="G13:H13"/>
    <mergeCell ref="G23:O23"/>
    <mergeCell ref="G17:O17"/>
    <mergeCell ref="G18:O18"/>
    <mergeCell ref="G19:O19"/>
    <mergeCell ref="G20:O20"/>
    <mergeCell ref="G21:O21"/>
    <mergeCell ref="G22:O22"/>
    <mergeCell ref="I13:J13"/>
    <mergeCell ref="K13:O13"/>
    <mergeCell ref="A1:E1"/>
    <mergeCell ref="G1:O1"/>
    <mergeCell ref="A2:A3"/>
    <mergeCell ref="B2:E2"/>
    <mergeCell ref="G2:H2"/>
    <mergeCell ref="I2:J2"/>
    <mergeCell ref="N2:O2"/>
    <mergeCell ref="B3:E3"/>
    <mergeCell ref="G3:O3"/>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37"/>
  <sheetViews>
    <sheetView workbookViewId="0">
      <selection activeCell="Q15" sqref="Q15"/>
    </sheetView>
  </sheetViews>
  <sheetFormatPr defaultRowHeight="17.399999999999999"/>
  <sheetData>
    <row r="1" spans="1:1">
      <c r="A1" s="431">
        <v>200000</v>
      </c>
    </row>
    <row r="2" spans="1:1">
      <c r="A2" s="431">
        <v>200000</v>
      </c>
    </row>
    <row r="3" spans="1:1">
      <c r="A3" s="431">
        <v>200000</v>
      </c>
    </row>
    <row r="4" spans="1:1">
      <c r="A4" s="431">
        <v>300000</v>
      </c>
    </row>
    <row r="5" spans="1:1">
      <c r="A5" s="431">
        <v>1000000</v>
      </c>
    </row>
    <row r="6" spans="1:1">
      <c r="A6" s="431">
        <v>500000</v>
      </c>
    </row>
    <row r="7" spans="1:1">
      <c r="A7" s="431">
        <v>100000</v>
      </c>
    </row>
    <row r="8" spans="1:1">
      <c r="A8" s="431">
        <v>1150000</v>
      </c>
    </row>
    <row r="9" spans="1:1">
      <c r="A9" s="431">
        <v>320000</v>
      </c>
    </row>
    <row r="10" spans="1:1">
      <c r="A10" s="431">
        <v>1000000</v>
      </c>
    </row>
    <row r="11" spans="1:1">
      <c r="A11" s="431">
        <v>1000000</v>
      </c>
    </row>
    <row r="12" spans="1:1">
      <c r="A12" s="431">
        <v>1000000</v>
      </c>
    </row>
    <row r="13" spans="1:1">
      <c r="A13" s="431">
        <v>1000000</v>
      </c>
    </row>
    <row r="14" spans="1:1">
      <c r="A14" s="431">
        <v>200000</v>
      </c>
    </row>
    <row r="15" spans="1:1">
      <c r="A15" s="431">
        <v>200000</v>
      </c>
    </row>
    <row r="16" spans="1:1">
      <c r="A16" s="431">
        <v>23450000</v>
      </c>
    </row>
    <row r="17" spans="1:1">
      <c r="A17" s="431">
        <v>876400</v>
      </c>
    </row>
    <row r="18" spans="1:1">
      <c r="A18" s="431">
        <v>3703257.1428571423</v>
      </c>
    </row>
    <row r="19" spans="1:1">
      <c r="A19" s="431">
        <v>1400000</v>
      </c>
    </row>
    <row r="20" spans="1:1">
      <c r="A20" s="431">
        <v>300000</v>
      </c>
    </row>
    <row r="21" spans="1:1">
      <c r="A21" s="431">
        <v>1400000</v>
      </c>
    </row>
    <row r="22" spans="1:1">
      <c r="A22" s="431">
        <v>0</v>
      </c>
    </row>
    <row r="23" spans="1:1">
      <c r="A23" s="431">
        <v>0</v>
      </c>
    </row>
    <row r="24" spans="1:1">
      <c r="A24" s="431">
        <v>10000000</v>
      </c>
    </row>
    <row r="25" spans="1:1">
      <c r="A25" s="431">
        <v>100000</v>
      </c>
    </row>
    <row r="26" spans="1:1">
      <c r="A26" s="431">
        <v>21351408.833333336</v>
      </c>
    </row>
    <row r="27" spans="1:1">
      <c r="A27" s="431">
        <v>9201848.0330066644</v>
      </c>
    </row>
    <row r="28" spans="1:1">
      <c r="A28" s="431">
        <v>11088091.8443</v>
      </c>
    </row>
    <row r="29" spans="1:1">
      <c r="A29" s="431">
        <v>9201848.0330066644</v>
      </c>
    </row>
    <row r="30" spans="1:1">
      <c r="A30" s="431">
        <v>9225633.6187619735</v>
      </c>
    </row>
    <row r="31" spans="1:1">
      <c r="A31" s="431">
        <v>10891557.340624999</v>
      </c>
    </row>
    <row r="32" spans="1:1">
      <c r="A32" s="431">
        <v>10968775.045982141</v>
      </c>
    </row>
    <row r="33" spans="1:1">
      <c r="A33" s="431">
        <v>0</v>
      </c>
    </row>
    <row r="34" spans="1:1">
      <c r="A34" s="431">
        <v>8129517.7733019162</v>
      </c>
    </row>
    <row r="35" spans="1:1">
      <c r="A35" s="431">
        <v>40582528.404607363</v>
      </c>
    </row>
    <row r="36" spans="1:1">
      <c r="A36" s="431">
        <v>21861836.510476027</v>
      </c>
    </row>
    <row r="37" spans="1:1">
      <c r="A37" s="431">
        <v>25000000</v>
      </c>
    </row>
  </sheetData>
  <phoneticPr fontId="1" type="noConversion"/>
  <conditionalFormatting sqref="A1:A37">
    <cfRule type="expression" dxfId="20" priority="1">
      <formula>OR($D1="MA",$D1="운영")</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14"/>
  <sheetViews>
    <sheetView workbookViewId="0">
      <selection activeCell="Q15" sqref="Q15"/>
    </sheetView>
  </sheetViews>
  <sheetFormatPr defaultRowHeight="17.399999999999999"/>
  <sheetData>
    <row r="2" spans="1:7">
      <c r="A2" t="s">
        <v>321</v>
      </c>
      <c r="B2" s="53">
        <v>5</v>
      </c>
      <c r="C2" s="53">
        <v>20</v>
      </c>
      <c r="D2" s="53">
        <v>15</v>
      </c>
      <c r="E2" s="53">
        <v>9</v>
      </c>
      <c r="F2" s="107">
        <v>4</v>
      </c>
      <c r="G2" s="53">
        <v>17</v>
      </c>
    </row>
    <row r="3" spans="1:7">
      <c r="A3" t="s">
        <v>322</v>
      </c>
      <c r="B3" s="107">
        <v>14</v>
      </c>
      <c r="C3" s="53">
        <v>11</v>
      </c>
      <c r="D3" s="53">
        <v>18</v>
      </c>
      <c r="E3" s="53">
        <v>18</v>
      </c>
      <c r="F3" s="53">
        <v>1</v>
      </c>
      <c r="G3" s="53">
        <v>9</v>
      </c>
    </row>
    <row r="4" spans="1:7">
      <c r="A4" t="s">
        <v>323</v>
      </c>
      <c r="B4" s="53">
        <v>18</v>
      </c>
      <c r="C4" s="53">
        <v>9</v>
      </c>
      <c r="D4" s="53">
        <v>10</v>
      </c>
      <c r="E4" s="53">
        <v>9</v>
      </c>
      <c r="F4" s="53">
        <v>20</v>
      </c>
      <c r="G4" s="53">
        <v>13</v>
      </c>
    </row>
    <row r="5" spans="1:7">
      <c r="A5" t="s">
        <v>324</v>
      </c>
      <c r="B5" s="53">
        <v>11</v>
      </c>
      <c r="C5" s="53">
        <v>2</v>
      </c>
      <c r="D5" s="53">
        <v>1</v>
      </c>
      <c r="E5" s="53">
        <v>16</v>
      </c>
      <c r="F5" s="53">
        <v>17</v>
      </c>
      <c r="G5" s="53">
        <v>10</v>
      </c>
    </row>
    <row r="6" spans="1:7">
      <c r="A6" t="s">
        <v>325</v>
      </c>
      <c r="B6" s="53">
        <v>1</v>
      </c>
      <c r="C6" s="53">
        <v>17</v>
      </c>
      <c r="D6" s="53">
        <v>13</v>
      </c>
      <c r="E6" s="53">
        <v>7</v>
      </c>
      <c r="F6" s="53">
        <v>16</v>
      </c>
      <c r="G6" s="53">
        <v>3</v>
      </c>
    </row>
    <row r="7" spans="1:7">
      <c r="A7" t="s">
        <v>326</v>
      </c>
      <c r="B7" s="53">
        <v>10</v>
      </c>
      <c r="C7" s="53">
        <v>19</v>
      </c>
      <c r="D7" s="53">
        <v>5</v>
      </c>
      <c r="E7" s="53">
        <v>10</v>
      </c>
      <c r="F7" s="53">
        <v>12</v>
      </c>
      <c r="G7" s="53">
        <v>8</v>
      </c>
    </row>
    <row r="8" spans="1:7">
      <c r="A8" t="s">
        <v>327</v>
      </c>
      <c r="B8" s="53">
        <v>8</v>
      </c>
      <c r="C8" s="53">
        <v>20</v>
      </c>
      <c r="D8" s="53">
        <v>10</v>
      </c>
      <c r="E8" s="53">
        <v>9</v>
      </c>
      <c r="F8" s="53">
        <v>17</v>
      </c>
      <c r="G8" s="53">
        <v>11</v>
      </c>
    </row>
    <row r="9" spans="1:7">
      <c r="A9" t="s">
        <v>328</v>
      </c>
      <c r="B9" s="53">
        <v>8</v>
      </c>
      <c r="C9" s="107">
        <v>14</v>
      </c>
      <c r="D9" s="53">
        <v>3</v>
      </c>
      <c r="E9" s="53">
        <v>1</v>
      </c>
      <c r="F9" s="53">
        <v>3</v>
      </c>
      <c r="G9" s="53">
        <v>11</v>
      </c>
    </row>
    <row r="10" spans="1:7">
      <c r="A10" t="s">
        <v>329</v>
      </c>
      <c r="B10" s="53">
        <v>1</v>
      </c>
      <c r="C10" s="53">
        <v>7</v>
      </c>
      <c r="D10" s="53">
        <v>7</v>
      </c>
      <c r="E10" s="53">
        <v>15</v>
      </c>
      <c r="F10" s="107">
        <v>6</v>
      </c>
      <c r="G10" s="53">
        <v>7</v>
      </c>
    </row>
    <row r="11" spans="1:7">
      <c r="A11" t="s">
        <v>330</v>
      </c>
      <c r="B11" s="53">
        <v>17</v>
      </c>
      <c r="C11" s="53">
        <v>16</v>
      </c>
      <c r="D11" s="53">
        <v>7</v>
      </c>
      <c r="E11" s="53">
        <v>20</v>
      </c>
      <c r="F11" s="53">
        <v>20</v>
      </c>
      <c r="G11" s="53">
        <v>3</v>
      </c>
    </row>
    <row r="14" spans="1:7">
      <c r="A14" t="s">
        <v>331</v>
      </c>
      <c r="B14">
        <v>24</v>
      </c>
      <c r="C14">
        <v>6</v>
      </c>
      <c r="D14">
        <v>24</v>
      </c>
      <c r="E14">
        <v>4</v>
      </c>
      <c r="F14">
        <v>23</v>
      </c>
      <c r="G14">
        <v>14</v>
      </c>
    </row>
  </sheetData>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tint="0.59999389629810485"/>
  </sheetPr>
  <dimension ref="A1:T108"/>
  <sheetViews>
    <sheetView topLeftCell="A94" workbookViewId="0">
      <selection activeCell="Q15" sqref="Q15"/>
    </sheetView>
  </sheetViews>
  <sheetFormatPr defaultRowHeight="17.399999999999999"/>
  <sheetData>
    <row r="1" spans="1:20">
      <c r="A1" s="95" t="s">
        <v>0</v>
      </c>
      <c r="B1" s="96" t="s">
        <v>1</v>
      </c>
      <c r="C1" s="96" t="s">
        <v>2</v>
      </c>
      <c r="D1" s="96" t="s">
        <v>3</v>
      </c>
      <c r="E1" s="96" t="s">
        <v>4</v>
      </c>
      <c r="F1" s="97" t="s">
        <v>148</v>
      </c>
      <c r="G1" s="97" t="s">
        <v>149</v>
      </c>
      <c r="H1" s="97" t="s">
        <v>150</v>
      </c>
      <c r="I1" s="97" t="s">
        <v>151</v>
      </c>
      <c r="J1" s="97" t="s">
        <v>5</v>
      </c>
      <c r="K1" s="97" t="s">
        <v>154</v>
      </c>
      <c r="L1" s="97" t="s">
        <v>6</v>
      </c>
      <c r="M1" s="97" t="s">
        <v>7</v>
      </c>
      <c r="N1" s="97" t="s">
        <v>8</v>
      </c>
      <c r="O1" s="96" t="s">
        <v>9</v>
      </c>
      <c r="P1" s="96" t="s">
        <v>10</v>
      </c>
      <c r="Q1" s="96" t="s">
        <v>11</v>
      </c>
      <c r="R1" s="96" t="s">
        <v>12</v>
      </c>
      <c r="S1" s="96" t="s">
        <v>13</v>
      </c>
      <c r="T1" s="96" t="s">
        <v>42</v>
      </c>
    </row>
    <row r="2" spans="1:20">
      <c r="A2" s="310" t="s">
        <v>540</v>
      </c>
      <c r="B2" s="60" t="s">
        <v>319</v>
      </c>
      <c r="C2" s="60" t="s">
        <v>535</v>
      </c>
      <c r="D2" s="60" t="s">
        <v>14</v>
      </c>
      <c r="E2" s="60" t="s">
        <v>532</v>
      </c>
      <c r="F2" s="60" t="s">
        <v>245</v>
      </c>
      <c r="G2" s="60" t="s">
        <v>488</v>
      </c>
      <c r="H2" s="60" t="s">
        <v>260</v>
      </c>
      <c r="I2" s="60">
        <v>0</v>
      </c>
      <c r="J2" s="60" t="s">
        <v>539</v>
      </c>
      <c r="K2" s="60">
        <v>0</v>
      </c>
      <c r="L2" s="60" t="s">
        <v>262</v>
      </c>
      <c r="M2" s="59">
        <v>3</v>
      </c>
      <c r="N2" s="59">
        <v>0</v>
      </c>
      <c r="O2" s="307">
        <v>10000000</v>
      </c>
      <c r="P2" s="307">
        <f>M2*O2</f>
        <v>30000000</v>
      </c>
      <c r="Q2" s="59">
        <v>0</v>
      </c>
      <c r="R2" s="59">
        <v>0</v>
      </c>
      <c r="S2" s="308">
        <v>0</v>
      </c>
      <c r="T2" s="309">
        <v>1</v>
      </c>
    </row>
    <row r="3" spans="1:20">
      <c r="A3" s="311" t="s">
        <v>541</v>
      </c>
      <c r="B3" s="62" t="s">
        <v>319</v>
      </c>
      <c r="C3" s="62" t="s">
        <v>535</v>
      </c>
      <c r="D3" s="62" t="s">
        <v>14</v>
      </c>
      <c r="E3" s="62" t="s">
        <v>532</v>
      </c>
      <c r="F3" s="62" t="s">
        <v>245</v>
      </c>
      <c r="G3" s="62" t="s">
        <v>489</v>
      </c>
      <c r="H3" s="62" t="s">
        <v>260</v>
      </c>
      <c r="I3" s="62">
        <v>0</v>
      </c>
      <c r="J3" s="62" t="s">
        <v>539</v>
      </c>
      <c r="K3" s="62">
        <v>0</v>
      </c>
      <c r="L3" s="62" t="s">
        <v>262</v>
      </c>
      <c r="M3" s="61">
        <v>2</v>
      </c>
      <c r="N3" s="61">
        <v>0</v>
      </c>
      <c r="O3" s="304">
        <v>10000000</v>
      </c>
      <c r="P3" s="307">
        <f t="shared" ref="P3:P66" si="0">M3*O3</f>
        <v>20000000</v>
      </c>
      <c r="Q3" s="61">
        <v>0</v>
      </c>
      <c r="R3" s="61">
        <v>0</v>
      </c>
      <c r="S3" s="305">
        <v>0</v>
      </c>
      <c r="T3" s="306">
        <v>1</v>
      </c>
    </row>
    <row r="4" spans="1:20">
      <c r="A4" s="311" t="s">
        <v>542</v>
      </c>
      <c r="B4" s="62" t="s">
        <v>319</v>
      </c>
      <c r="C4" s="62" t="s">
        <v>535</v>
      </c>
      <c r="D4" s="62" t="s">
        <v>14</v>
      </c>
      <c r="E4" s="62" t="s">
        <v>532</v>
      </c>
      <c r="F4" s="62" t="s">
        <v>245</v>
      </c>
      <c r="G4" s="62" t="s">
        <v>490</v>
      </c>
      <c r="H4" s="62" t="s">
        <v>261</v>
      </c>
      <c r="I4" s="62">
        <v>0</v>
      </c>
      <c r="J4" s="62" t="s">
        <v>539</v>
      </c>
      <c r="K4" s="62">
        <v>0</v>
      </c>
      <c r="L4" s="62" t="s">
        <v>262</v>
      </c>
      <c r="M4" s="61">
        <v>3</v>
      </c>
      <c r="N4" s="61">
        <v>0</v>
      </c>
      <c r="O4" s="304">
        <v>9000000</v>
      </c>
      <c r="P4" s="307">
        <f t="shared" si="0"/>
        <v>27000000</v>
      </c>
      <c r="Q4" s="61">
        <v>0</v>
      </c>
      <c r="R4" s="61">
        <v>0</v>
      </c>
      <c r="S4" s="305">
        <v>0</v>
      </c>
      <c r="T4" s="306">
        <v>1</v>
      </c>
    </row>
    <row r="5" spans="1:20">
      <c r="A5" s="311" t="s">
        <v>543</v>
      </c>
      <c r="B5" s="62" t="s">
        <v>319</v>
      </c>
      <c r="C5" s="62" t="s">
        <v>535</v>
      </c>
      <c r="D5" s="62" t="s">
        <v>14</v>
      </c>
      <c r="E5" s="62" t="s">
        <v>532</v>
      </c>
      <c r="F5" s="62" t="s">
        <v>245</v>
      </c>
      <c r="G5" s="62" t="s">
        <v>491</v>
      </c>
      <c r="H5" s="62" t="s">
        <v>261</v>
      </c>
      <c r="I5" s="62">
        <v>0</v>
      </c>
      <c r="J5" s="62" t="s">
        <v>539</v>
      </c>
      <c r="K5" s="62">
        <v>0</v>
      </c>
      <c r="L5" s="62" t="s">
        <v>262</v>
      </c>
      <c r="M5" s="61">
        <v>1</v>
      </c>
      <c r="N5" s="61">
        <v>0</v>
      </c>
      <c r="O5" s="304">
        <v>9000000</v>
      </c>
      <c r="P5" s="307">
        <f t="shared" si="0"/>
        <v>9000000</v>
      </c>
      <c r="Q5" s="61">
        <v>0</v>
      </c>
      <c r="R5" s="61">
        <v>0</v>
      </c>
      <c r="S5" s="305">
        <v>0</v>
      </c>
      <c r="T5" s="306">
        <v>1</v>
      </c>
    </row>
    <row r="6" spans="1:20">
      <c r="A6" s="311" t="s">
        <v>544</v>
      </c>
      <c r="B6" s="62" t="s">
        <v>319</v>
      </c>
      <c r="C6" s="62" t="s">
        <v>535</v>
      </c>
      <c r="D6" s="62" t="s">
        <v>14</v>
      </c>
      <c r="E6" s="62" t="s">
        <v>532</v>
      </c>
      <c r="F6" s="62" t="s">
        <v>245</v>
      </c>
      <c r="G6" s="62" t="s">
        <v>492</v>
      </c>
      <c r="H6" s="62" t="s">
        <v>261</v>
      </c>
      <c r="I6" s="62">
        <v>0</v>
      </c>
      <c r="J6" s="62" t="s">
        <v>539</v>
      </c>
      <c r="K6" s="62">
        <v>0</v>
      </c>
      <c r="L6" s="62" t="s">
        <v>262</v>
      </c>
      <c r="M6" s="61">
        <v>0</v>
      </c>
      <c r="N6" s="61">
        <v>0</v>
      </c>
      <c r="O6" s="304">
        <v>9000000</v>
      </c>
      <c r="P6" s="307">
        <f t="shared" si="0"/>
        <v>0</v>
      </c>
      <c r="Q6" s="61">
        <v>0</v>
      </c>
      <c r="R6" s="61">
        <v>0</v>
      </c>
      <c r="S6" s="305">
        <v>0</v>
      </c>
      <c r="T6" s="306">
        <v>1</v>
      </c>
    </row>
    <row r="7" spans="1:20">
      <c r="A7" s="311" t="s">
        <v>545</v>
      </c>
      <c r="B7" s="62" t="s">
        <v>319</v>
      </c>
      <c r="C7" s="62" t="s">
        <v>535</v>
      </c>
      <c r="D7" s="62" t="s">
        <v>14</v>
      </c>
      <c r="E7" s="62" t="s">
        <v>532</v>
      </c>
      <c r="F7" s="62" t="s">
        <v>245</v>
      </c>
      <c r="G7" s="62" t="s">
        <v>493</v>
      </c>
      <c r="H7" s="62" t="s">
        <v>260</v>
      </c>
      <c r="I7" s="62">
        <v>0</v>
      </c>
      <c r="J7" s="62" t="s">
        <v>539</v>
      </c>
      <c r="K7" s="62">
        <v>0</v>
      </c>
      <c r="L7" s="62" t="s">
        <v>262</v>
      </c>
      <c r="M7" s="61">
        <v>1</v>
      </c>
      <c r="N7" s="61">
        <v>0</v>
      </c>
      <c r="O7" s="304">
        <v>10000000</v>
      </c>
      <c r="P7" s="307">
        <f t="shared" si="0"/>
        <v>10000000</v>
      </c>
      <c r="Q7" s="61">
        <v>0</v>
      </c>
      <c r="R7" s="61">
        <v>0</v>
      </c>
      <c r="S7" s="305">
        <v>0</v>
      </c>
      <c r="T7" s="306">
        <v>1</v>
      </c>
    </row>
    <row r="8" spans="1:20">
      <c r="A8" s="311" t="s">
        <v>546</v>
      </c>
      <c r="B8" s="62" t="s">
        <v>319</v>
      </c>
      <c r="C8" s="62" t="s">
        <v>535</v>
      </c>
      <c r="D8" s="62" t="s">
        <v>14</v>
      </c>
      <c r="E8" s="62" t="s">
        <v>532</v>
      </c>
      <c r="F8" s="62" t="s">
        <v>245</v>
      </c>
      <c r="G8" s="62" t="s">
        <v>494</v>
      </c>
      <c r="H8" s="62" t="s">
        <v>261</v>
      </c>
      <c r="I8" s="62">
        <v>0</v>
      </c>
      <c r="J8" s="62" t="s">
        <v>539</v>
      </c>
      <c r="K8" s="62">
        <v>0</v>
      </c>
      <c r="L8" s="62" t="s">
        <v>262</v>
      </c>
      <c r="M8" s="61">
        <v>2</v>
      </c>
      <c r="N8" s="61">
        <v>0</v>
      </c>
      <c r="O8" s="304">
        <v>9000000</v>
      </c>
      <c r="P8" s="307">
        <f t="shared" si="0"/>
        <v>18000000</v>
      </c>
      <c r="Q8" s="61">
        <v>0</v>
      </c>
      <c r="R8" s="61">
        <v>0</v>
      </c>
      <c r="S8" s="305">
        <v>0</v>
      </c>
      <c r="T8" s="306">
        <v>1</v>
      </c>
    </row>
    <row r="9" spans="1:20">
      <c r="A9" s="311" t="s">
        <v>547</v>
      </c>
      <c r="B9" s="62" t="s">
        <v>319</v>
      </c>
      <c r="C9" s="62" t="s">
        <v>535</v>
      </c>
      <c r="D9" s="62" t="s">
        <v>14</v>
      </c>
      <c r="E9" s="62" t="s">
        <v>532</v>
      </c>
      <c r="F9" s="62" t="s">
        <v>245</v>
      </c>
      <c r="G9" s="62" t="s">
        <v>495</v>
      </c>
      <c r="H9" s="62" t="s">
        <v>261</v>
      </c>
      <c r="I9" s="62">
        <v>0</v>
      </c>
      <c r="J9" s="62" t="s">
        <v>539</v>
      </c>
      <c r="K9" s="62">
        <v>0</v>
      </c>
      <c r="L9" s="62" t="s">
        <v>262</v>
      </c>
      <c r="M9" s="61">
        <v>1</v>
      </c>
      <c r="N9" s="61">
        <v>0</v>
      </c>
      <c r="O9" s="304">
        <v>9000000</v>
      </c>
      <c r="P9" s="307">
        <f t="shared" si="0"/>
        <v>9000000</v>
      </c>
      <c r="Q9" s="61">
        <v>0</v>
      </c>
      <c r="R9" s="61">
        <v>0</v>
      </c>
      <c r="S9" s="305">
        <v>0</v>
      </c>
      <c r="T9" s="306">
        <v>1</v>
      </c>
    </row>
    <row r="10" spans="1:20">
      <c r="A10" s="311" t="s">
        <v>548</v>
      </c>
      <c r="B10" s="62" t="s">
        <v>319</v>
      </c>
      <c r="C10" s="62" t="s">
        <v>535</v>
      </c>
      <c r="D10" s="62" t="s">
        <v>14</v>
      </c>
      <c r="E10" s="62" t="s">
        <v>532</v>
      </c>
      <c r="F10" s="62" t="s">
        <v>245</v>
      </c>
      <c r="G10" s="62" t="s">
        <v>496</v>
      </c>
      <c r="H10" s="62" t="s">
        <v>497</v>
      </c>
      <c r="I10" s="62">
        <v>0</v>
      </c>
      <c r="J10" s="62" t="s">
        <v>539</v>
      </c>
      <c r="K10" s="62">
        <v>0</v>
      </c>
      <c r="L10" s="62" t="s">
        <v>262</v>
      </c>
      <c r="M10" s="61">
        <v>2.5</v>
      </c>
      <c r="N10" s="61">
        <v>0</v>
      </c>
      <c r="O10" s="304">
        <v>20000000</v>
      </c>
      <c r="P10" s="307">
        <f t="shared" si="0"/>
        <v>50000000</v>
      </c>
      <c r="Q10" s="61">
        <v>0</v>
      </c>
      <c r="R10" s="61">
        <v>0</v>
      </c>
      <c r="S10" s="305">
        <v>0</v>
      </c>
      <c r="T10" s="306">
        <v>1</v>
      </c>
    </row>
    <row r="11" spans="1:20">
      <c r="A11" s="311" t="s">
        <v>549</v>
      </c>
      <c r="B11" s="62" t="s">
        <v>319</v>
      </c>
      <c r="C11" s="62" t="s">
        <v>535</v>
      </c>
      <c r="D11" s="62" t="s">
        <v>14</v>
      </c>
      <c r="E11" s="62" t="s">
        <v>532</v>
      </c>
      <c r="F11" s="62" t="s">
        <v>245</v>
      </c>
      <c r="G11" s="62" t="s">
        <v>498</v>
      </c>
      <c r="H11" s="62" t="s">
        <v>260</v>
      </c>
      <c r="I11" s="62">
        <v>0</v>
      </c>
      <c r="J11" s="62" t="s">
        <v>539</v>
      </c>
      <c r="K11" s="62">
        <v>0</v>
      </c>
      <c r="L11" s="62" t="s">
        <v>262</v>
      </c>
      <c r="M11" s="61">
        <v>0.5</v>
      </c>
      <c r="N11" s="61">
        <v>0</v>
      </c>
      <c r="O11" s="304">
        <v>10000000</v>
      </c>
      <c r="P11" s="307">
        <f t="shared" si="0"/>
        <v>5000000</v>
      </c>
      <c r="Q11" s="61">
        <v>0</v>
      </c>
      <c r="R11" s="61">
        <v>0</v>
      </c>
      <c r="S11" s="305">
        <v>0</v>
      </c>
      <c r="T11" s="306">
        <v>1</v>
      </c>
    </row>
    <row r="12" spans="1:20">
      <c r="A12" s="311" t="s">
        <v>550</v>
      </c>
      <c r="B12" s="62" t="s">
        <v>319</v>
      </c>
      <c r="C12" s="62" t="s">
        <v>535</v>
      </c>
      <c r="D12" s="62" t="s">
        <v>14</v>
      </c>
      <c r="E12" s="62" t="s">
        <v>532</v>
      </c>
      <c r="F12" s="62" t="s">
        <v>245</v>
      </c>
      <c r="G12" s="62" t="s">
        <v>499</v>
      </c>
      <c r="H12" s="62" t="s">
        <v>500</v>
      </c>
      <c r="I12" s="62">
        <v>0</v>
      </c>
      <c r="J12" s="62" t="s">
        <v>539</v>
      </c>
      <c r="K12" s="62">
        <v>0</v>
      </c>
      <c r="L12" s="62" t="s">
        <v>262</v>
      </c>
      <c r="M12" s="61">
        <v>0.5</v>
      </c>
      <c r="N12" s="61">
        <v>0</v>
      </c>
      <c r="O12" s="304">
        <v>8000000</v>
      </c>
      <c r="P12" s="307">
        <f t="shared" si="0"/>
        <v>4000000</v>
      </c>
      <c r="Q12" s="61">
        <v>0</v>
      </c>
      <c r="R12" s="61">
        <v>0</v>
      </c>
      <c r="S12" s="305">
        <v>0</v>
      </c>
      <c r="T12" s="306">
        <v>1</v>
      </c>
    </row>
    <row r="13" spans="1:20">
      <c r="A13" s="311" t="s">
        <v>551</v>
      </c>
      <c r="B13" s="62" t="s">
        <v>319</v>
      </c>
      <c r="C13" s="62" t="s">
        <v>501</v>
      </c>
      <c r="D13" s="62" t="s">
        <v>14</v>
      </c>
      <c r="E13" s="62" t="s">
        <v>532</v>
      </c>
      <c r="F13" s="62" t="s">
        <v>245</v>
      </c>
      <c r="G13" s="62" t="s">
        <v>502</v>
      </c>
      <c r="H13" s="62" t="s">
        <v>260</v>
      </c>
      <c r="I13" s="62">
        <v>0</v>
      </c>
      <c r="J13" s="62" t="s">
        <v>539</v>
      </c>
      <c r="K13" s="62">
        <v>0</v>
      </c>
      <c r="L13" s="62" t="s">
        <v>262</v>
      </c>
      <c r="M13" s="61">
        <v>3</v>
      </c>
      <c r="N13" s="61">
        <v>0</v>
      </c>
      <c r="O13" s="304">
        <v>10000000</v>
      </c>
      <c r="P13" s="307">
        <f t="shared" si="0"/>
        <v>30000000</v>
      </c>
      <c r="Q13" s="61">
        <v>0</v>
      </c>
      <c r="R13" s="61">
        <v>0</v>
      </c>
      <c r="S13" s="305">
        <v>0</v>
      </c>
      <c r="T13" s="306">
        <v>1</v>
      </c>
    </row>
    <row r="14" spans="1:20">
      <c r="A14" s="311" t="s">
        <v>552</v>
      </c>
      <c r="B14" s="62" t="s">
        <v>319</v>
      </c>
      <c r="C14" s="62" t="s">
        <v>501</v>
      </c>
      <c r="D14" s="62" t="s">
        <v>14</v>
      </c>
      <c r="E14" s="62" t="s">
        <v>532</v>
      </c>
      <c r="F14" s="62" t="s">
        <v>245</v>
      </c>
      <c r="G14" s="62" t="s">
        <v>503</v>
      </c>
      <c r="H14" s="62" t="s">
        <v>260</v>
      </c>
      <c r="I14" s="62">
        <v>0</v>
      </c>
      <c r="J14" s="62" t="s">
        <v>539</v>
      </c>
      <c r="K14" s="62">
        <v>0</v>
      </c>
      <c r="L14" s="62" t="s">
        <v>262</v>
      </c>
      <c r="M14" s="61">
        <v>3</v>
      </c>
      <c r="N14" s="61">
        <v>0</v>
      </c>
      <c r="O14" s="304">
        <v>10000000</v>
      </c>
      <c r="P14" s="307">
        <f t="shared" si="0"/>
        <v>30000000</v>
      </c>
      <c r="Q14" s="61">
        <v>0</v>
      </c>
      <c r="R14" s="61">
        <v>0</v>
      </c>
      <c r="S14" s="305">
        <v>0</v>
      </c>
      <c r="T14" s="306">
        <v>1</v>
      </c>
    </row>
    <row r="15" spans="1:20">
      <c r="A15" s="311" t="s">
        <v>553</v>
      </c>
      <c r="B15" s="62" t="s">
        <v>319</v>
      </c>
      <c r="C15" s="62" t="s">
        <v>501</v>
      </c>
      <c r="D15" s="62" t="s">
        <v>14</v>
      </c>
      <c r="E15" s="62" t="s">
        <v>532</v>
      </c>
      <c r="F15" s="62" t="s">
        <v>245</v>
      </c>
      <c r="G15" s="62" t="s">
        <v>293</v>
      </c>
      <c r="H15" s="62" t="s">
        <v>261</v>
      </c>
      <c r="I15" s="62">
        <v>0</v>
      </c>
      <c r="J15" s="62" t="s">
        <v>539</v>
      </c>
      <c r="K15" s="62">
        <v>0</v>
      </c>
      <c r="L15" s="62" t="s">
        <v>262</v>
      </c>
      <c r="M15" s="61">
        <v>3</v>
      </c>
      <c r="N15" s="61">
        <v>0</v>
      </c>
      <c r="O15" s="304">
        <v>9000000</v>
      </c>
      <c r="P15" s="307">
        <f t="shared" si="0"/>
        <v>27000000</v>
      </c>
      <c r="Q15" s="61">
        <v>0</v>
      </c>
      <c r="R15" s="61">
        <v>0</v>
      </c>
      <c r="S15" s="305">
        <v>0</v>
      </c>
      <c r="T15" s="306">
        <v>1</v>
      </c>
    </row>
    <row r="16" spans="1:20">
      <c r="A16" s="311" t="s">
        <v>554</v>
      </c>
      <c r="B16" s="62" t="s">
        <v>319</v>
      </c>
      <c r="C16" s="62" t="s">
        <v>501</v>
      </c>
      <c r="D16" s="62" t="s">
        <v>14</v>
      </c>
      <c r="E16" s="62" t="s">
        <v>532</v>
      </c>
      <c r="F16" s="62" t="s">
        <v>245</v>
      </c>
      <c r="G16" s="62" t="s">
        <v>504</v>
      </c>
      <c r="H16" s="62" t="s">
        <v>260</v>
      </c>
      <c r="I16" s="62">
        <v>0</v>
      </c>
      <c r="J16" s="62" t="s">
        <v>539</v>
      </c>
      <c r="K16" s="62">
        <v>0</v>
      </c>
      <c r="L16" s="62" t="s">
        <v>262</v>
      </c>
      <c r="M16" s="61">
        <v>2</v>
      </c>
      <c r="N16" s="61">
        <v>0</v>
      </c>
      <c r="O16" s="304">
        <v>10000000</v>
      </c>
      <c r="P16" s="307">
        <f t="shared" si="0"/>
        <v>20000000</v>
      </c>
      <c r="Q16" s="61">
        <v>0</v>
      </c>
      <c r="R16" s="61">
        <v>0</v>
      </c>
      <c r="S16" s="305">
        <v>0</v>
      </c>
      <c r="T16" s="306">
        <v>1</v>
      </c>
    </row>
    <row r="17" spans="1:20">
      <c r="A17" s="311" t="s">
        <v>555</v>
      </c>
      <c r="B17" s="62" t="s">
        <v>319</v>
      </c>
      <c r="C17" s="62" t="s">
        <v>501</v>
      </c>
      <c r="D17" s="62" t="s">
        <v>14</v>
      </c>
      <c r="E17" s="62" t="s">
        <v>532</v>
      </c>
      <c r="F17" s="62" t="s">
        <v>245</v>
      </c>
      <c r="G17" s="62" t="s">
        <v>505</v>
      </c>
      <c r="H17" s="62" t="s">
        <v>260</v>
      </c>
      <c r="I17" s="62">
        <v>0</v>
      </c>
      <c r="J17" s="62" t="s">
        <v>539</v>
      </c>
      <c r="K17" s="62">
        <v>0</v>
      </c>
      <c r="L17" s="62" t="s">
        <v>262</v>
      </c>
      <c r="M17" s="61">
        <v>3</v>
      </c>
      <c r="N17" s="61">
        <v>0</v>
      </c>
      <c r="O17" s="304">
        <v>10000000</v>
      </c>
      <c r="P17" s="307">
        <f t="shared" si="0"/>
        <v>30000000</v>
      </c>
      <c r="Q17" s="61">
        <v>0</v>
      </c>
      <c r="R17" s="61">
        <v>0</v>
      </c>
      <c r="S17" s="305">
        <v>0</v>
      </c>
      <c r="T17" s="306">
        <v>1</v>
      </c>
    </row>
    <row r="18" spans="1:20">
      <c r="A18" s="311" t="s">
        <v>556</v>
      </c>
      <c r="B18" s="62" t="s">
        <v>319</v>
      </c>
      <c r="C18" s="62" t="s">
        <v>501</v>
      </c>
      <c r="D18" s="62" t="s">
        <v>14</v>
      </c>
      <c r="E18" s="62" t="s">
        <v>532</v>
      </c>
      <c r="F18" s="62" t="s">
        <v>245</v>
      </c>
      <c r="G18" s="62" t="s">
        <v>506</v>
      </c>
      <c r="H18" s="62" t="s">
        <v>260</v>
      </c>
      <c r="I18" s="62">
        <v>0</v>
      </c>
      <c r="J18" s="62" t="s">
        <v>539</v>
      </c>
      <c r="K18" s="62">
        <v>0</v>
      </c>
      <c r="L18" s="62" t="s">
        <v>262</v>
      </c>
      <c r="M18" s="61">
        <v>4</v>
      </c>
      <c r="N18" s="61">
        <v>0</v>
      </c>
      <c r="O18" s="304">
        <v>10000000</v>
      </c>
      <c r="P18" s="307">
        <f t="shared" si="0"/>
        <v>40000000</v>
      </c>
      <c r="Q18" s="61">
        <v>0</v>
      </c>
      <c r="R18" s="61">
        <v>0</v>
      </c>
      <c r="S18" s="305">
        <v>0</v>
      </c>
      <c r="T18" s="306">
        <v>1</v>
      </c>
    </row>
    <row r="19" spans="1:20">
      <c r="A19" s="311" t="s">
        <v>557</v>
      </c>
      <c r="B19" s="62" t="s">
        <v>319</v>
      </c>
      <c r="C19" s="62" t="s">
        <v>517</v>
      </c>
      <c r="D19" s="62" t="s">
        <v>14</v>
      </c>
      <c r="E19" s="62" t="s">
        <v>532</v>
      </c>
      <c r="F19" s="62" t="s">
        <v>245</v>
      </c>
      <c r="G19" s="62" t="s">
        <v>507</v>
      </c>
      <c r="H19" s="62" t="s">
        <v>260</v>
      </c>
      <c r="I19" s="62">
        <v>0</v>
      </c>
      <c r="J19" s="62" t="s">
        <v>539</v>
      </c>
      <c r="K19" s="62">
        <v>0</v>
      </c>
      <c r="L19" s="62" t="s">
        <v>262</v>
      </c>
      <c r="M19" s="61">
        <v>6</v>
      </c>
      <c r="N19" s="62">
        <v>0</v>
      </c>
      <c r="O19" s="304">
        <v>10000000</v>
      </c>
      <c r="P19" s="307">
        <f t="shared" si="0"/>
        <v>60000000</v>
      </c>
      <c r="Q19" s="61">
        <v>0</v>
      </c>
      <c r="R19" s="61">
        <v>0</v>
      </c>
      <c r="S19" s="305">
        <v>0</v>
      </c>
      <c r="T19" s="306">
        <v>1</v>
      </c>
    </row>
    <row r="20" spans="1:20">
      <c r="A20" s="311" t="s">
        <v>558</v>
      </c>
      <c r="B20" s="62" t="s">
        <v>319</v>
      </c>
      <c r="C20" s="62" t="s">
        <v>517</v>
      </c>
      <c r="D20" s="62" t="s">
        <v>14</v>
      </c>
      <c r="E20" s="62" t="s">
        <v>532</v>
      </c>
      <c r="F20" s="62" t="s">
        <v>245</v>
      </c>
      <c r="G20" s="62" t="s">
        <v>508</v>
      </c>
      <c r="H20" s="62" t="s">
        <v>260</v>
      </c>
      <c r="I20" s="62">
        <v>0</v>
      </c>
      <c r="J20" s="62" t="s">
        <v>539</v>
      </c>
      <c r="K20" s="62">
        <v>0</v>
      </c>
      <c r="L20" s="62" t="s">
        <v>262</v>
      </c>
      <c r="M20" s="61">
        <v>6</v>
      </c>
      <c r="N20" s="62">
        <v>0</v>
      </c>
      <c r="O20" s="304">
        <v>10000000</v>
      </c>
      <c r="P20" s="307">
        <f t="shared" si="0"/>
        <v>60000000</v>
      </c>
      <c r="Q20" s="61">
        <v>0</v>
      </c>
      <c r="R20" s="61">
        <v>0</v>
      </c>
      <c r="S20" s="305">
        <v>0</v>
      </c>
      <c r="T20" s="306">
        <v>1</v>
      </c>
    </row>
    <row r="21" spans="1:20">
      <c r="A21" s="311" t="s">
        <v>559</v>
      </c>
      <c r="B21" s="62" t="s">
        <v>319</v>
      </c>
      <c r="C21" s="62" t="s">
        <v>517</v>
      </c>
      <c r="D21" s="62" t="s">
        <v>14</v>
      </c>
      <c r="E21" s="62" t="s">
        <v>532</v>
      </c>
      <c r="F21" s="62" t="s">
        <v>245</v>
      </c>
      <c r="G21" s="62" t="s">
        <v>509</v>
      </c>
      <c r="H21" s="62" t="s">
        <v>500</v>
      </c>
      <c r="I21" s="62">
        <v>0</v>
      </c>
      <c r="J21" s="62" t="s">
        <v>539</v>
      </c>
      <c r="K21" s="62">
        <v>0</v>
      </c>
      <c r="L21" s="62" t="s">
        <v>262</v>
      </c>
      <c r="M21" s="61">
        <v>3</v>
      </c>
      <c r="N21" s="62">
        <v>0</v>
      </c>
      <c r="O21" s="304">
        <v>8000000</v>
      </c>
      <c r="P21" s="307">
        <f t="shared" si="0"/>
        <v>24000000</v>
      </c>
      <c r="Q21" s="61">
        <v>0</v>
      </c>
      <c r="R21" s="61">
        <v>0</v>
      </c>
      <c r="S21" s="305">
        <v>0</v>
      </c>
      <c r="T21" s="306">
        <v>1</v>
      </c>
    </row>
    <row r="22" spans="1:20">
      <c r="A22" s="311" t="s">
        <v>560</v>
      </c>
      <c r="B22" s="62" t="s">
        <v>319</v>
      </c>
      <c r="C22" s="62" t="s">
        <v>517</v>
      </c>
      <c r="D22" s="62" t="s">
        <v>14</v>
      </c>
      <c r="E22" s="62" t="s">
        <v>532</v>
      </c>
      <c r="F22" s="62" t="s">
        <v>245</v>
      </c>
      <c r="G22" s="62" t="s">
        <v>510</v>
      </c>
      <c r="H22" s="62" t="s">
        <v>261</v>
      </c>
      <c r="I22" s="62">
        <v>0</v>
      </c>
      <c r="J22" s="62" t="s">
        <v>539</v>
      </c>
      <c r="K22" s="62">
        <v>0</v>
      </c>
      <c r="L22" s="62" t="s">
        <v>262</v>
      </c>
      <c r="M22" s="61">
        <v>4</v>
      </c>
      <c r="N22" s="62">
        <v>0</v>
      </c>
      <c r="O22" s="304">
        <v>9000000</v>
      </c>
      <c r="P22" s="307">
        <f t="shared" si="0"/>
        <v>36000000</v>
      </c>
      <c r="Q22" s="61">
        <v>0</v>
      </c>
      <c r="R22" s="61">
        <v>0</v>
      </c>
      <c r="S22" s="305">
        <v>0</v>
      </c>
      <c r="T22" s="306">
        <v>1</v>
      </c>
    </row>
    <row r="23" spans="1:20">
      <c r="A23" s="311" t="s">
        <v>561</v>
      </c>
      <c r="B23" s="62" t="s">
        <v>319</v>
      </c>
      <c r="C23" s="62" t="s">
        <v>517</v>
      </c>
      <c r="D23" s="62" t="s">
        <v>14</v>
      </c>
      <c r="E23" s="62" t="s">
        <v>532</v>
      </c>
      <c r="F23" s="62" t="s">
        <v>245</v>
      </c>
      <c r="G23" s="62" t="s">
        <v>511</v>
      </c>
      <c r="H23" s="62" t="s">
        <v>260</v>
      </c>
      <c r="I23" s="62">
        <v>0</v>
      </c>
      <c r="J23" s="62" t="s">
        <v>539</v>
      </c>
      <c r="K23" s="62">
        <v>0</v>
      </c>
      <c r="L23" s="62" t="s">
        <v>262</v>
      </c>
      <c r="M23" s="61">
        <v>2</v>
      </c>
      <c r="N23" s="62">
        <v>0</v>
      </c>
      <c r="O23" s="304">
        <v>10000000</v>
      </c>
      <c r="P23" s="307">
        <f t="shared" si="0"/>
        <v>20000000</v>
      </c>
      <c r="Q23" s="61">
        <v>0</v>
      </c>
      <c r="R23" s="61">
        <v>0</v>
      </c>
      <c r="S23" s="62">
        <v>0</v>
      </c>
      <c r="T23" s="306">
        <v>1</v>
      </c>
    </row>
    <row r="24" spans="1:20">
      <c r="A24" s="311" t="s">
        <v>562</v>
      </c>
      <c r="B24" s="62" t="s">
        <v>319</v>
      </c>
      <c r="C24" s="62" t="s">
        <v>517</v>
      </c>
      <c r="D24" s="62" t="s">
        <v>14</v>
      </c>
      <c r="E24" s="62" t="s">
        <v>532</v>
      </c>
      <c r="F24" s="62" t="s">
        <v>245</v>
      </c>
      <c r="G24" s="62" t="s">
        <v>512</v>
      </c>
      <c r="H24" s="62" t="s">
        <v>261</v>
      </c>
      <c r="I24" s="62">
        <v>0</v>
      </c>
      <c r="J24" s="62" t="s">
        <v>539</v>
      </c>
      <c r="K24" s="62">
        <v>0</v>
      </c>
      <c r="L24" s="62" t="s">
        <v>262</v>
      </c>
      <c r="M24" s="61">
        <v>5</v>
      </c>
      <c r="N24" s="62">
        <v>0</v>
      </c>
      <c r="O24" s="304">
        <v>9000000</v>
      </c>
      <c r="P24" s="307">
        <f t="shared" si="0"/>
        <v>45000000</v>
      </c>
      <c r="Q24" s="61">
        <v>0</v>
      </c>
      <c r="R24" s="61">
        <v>0</v>
      </c>
      <c r="S24" s="62">
        <v>0</v>
      </c>
      <c r="T24" s="306">
        <v>1</v>
      </c>
    </row>
    <row r="25" spans="1:20">
      <c r="A25" s="311" t="s">
        <v>563</v>
      </c>
      <c r="B25" s="62" t="s">
        <v>319</v>
      </c>
      <c r="C25" s="62" t="s">
        <v>517</v>
      </c>
      <c r="D25" s="62" t="s">
        <v>14</v>
      </c>
      <c r="E25" s="62" t="s">
        <v>532</v>
      </c>
      <c r="F25" s="62" t="s">
        <v>245</v>
      </c>
      <c r="G25" s="62" t="s">
        <v>513</v>
      </c>
      <c r="H25" s="62" t="s">
        <v>261</v>
      </c>
      <c r="I25" s="62">
        <v>0</v>
      </c>
      <c r="J25" s="62" t="s">
        <v>539</v>
      </c>
      <c r="K25" s="62">
        <v>0</v>
      </c>
      <c r="L25" s="62" t="s">
        <v>262</v>
      </c>
      <c r="M25" s="61">
        <v>1</v>
      </c>
      <c r="N25" s="62">
        <v>0</v>
      </c>
      <c r="O25" s="304">
        <v>9000000</v>
      </c>
      <c r="P25" s="307">
        <f t="shared" si="0"/>
        <v>9000000</v>
      </c>
      <c r="Q25" s="61">
        <v>0</v>
      </c>
      <c r="R25" s="61">
        <v>0</v>
      </c>
      <c r="S25" s="62">
        <v>0</v>
      </c>
      <c r="T25" s="306">
        <v>1</v>
      </c>
    </row>
    <row r="26" spans="1:20">
      <c r="A26" s="311" t="s">
        <v>564</v>
      </c>
      <c r="B26" s="62" t="s">
        <v>319</v>
      </c>
      <c r="C26" s="62" t="s">
        <v>517</v>
      </c>
      <c r="D26" s="62" t="s">
        <v>14</v>
      </c>
      <c r="E26" s="62" t="s">
        <v>532</v>
      </c>
      <c r="F26" s="62" t="s">
        <v>245</v>
      </c>
      <c r="G26" s="62" t="s">
        <v>514</v>
      </c>
      <c r="H26" s="62" t="s">
        <v>261</v>
      </c>
      <c r="I26" s="62">
        <v>0</v>
      </c>
      <c r="J26" s="62" t="s">
        <v>539</v>
      </c>
      <c r="K26" s="62">
        <v>0</v>
      </c>
      <c r="L26" s="62" t="s">
        <v>262</v>
      </c>
      <c r="M26" s="61">
        <v>1</v>
      </c>
      <c r="N26" s="62">
        <v>0</v>
      </c>
      <c r="O26" s="304">
        <v>9000000</v>
      </c>
      <c r="P26" s="307">
        <f t="shared" si="0"/>
        <v>9000000</v>
      </c>
      <c r="Q26" s="61">
        <v>0</v>
      </c>
      <c r="R26" s="61">
        <v>0</v>
      </c>
      <c r="S26" s="62">
        <v>0</v>
      </c>
      <c r="T26" s="306">
        <v>1</v>
      </c>
    </row>
    <row r="27" spans="1:20">
      <c r="A27" s="311" t="s">
        <v>565</v>
      </c>
      <c r="B27" s="62" t="s">
        <v>319</v>
      </c>
      <c r="C27" s="62" t="s">
        <v>517</v>
      </c>
      <c r="D27" s="62" t="s">
        <v>14</v>
      </c>
      <c r="E27" s="62" t="s">
        <v>532</v>
      </c>
      <c r="F27" s="62" t="s">
        <v>245</v>
      </c>
      <c r="G27" s="62" t="s">
        <v>515</v>
      </c>
      <c r="H27" s="62" t="s">
        <v>261</v>
      </c>
      <c r="I27" s="62">
        <v>0</v>
      </c>
      <c r="J27" s="62" t="s">
        <v>539</v>
      </c>
      <c r="K27" s="62">
        <v>0</v>
      </c>
      <c r="L27" s="62" t="s">
        <v>262</v>
      </c>
      <c r="M27" s="61">
        <v>2</v>
      </c>
      <c r="N27" s="62">
        <v>0</v>
      </c>
      <c r="O27" s="304">
        <v>9000000</v>
      </c>
      <c r="P27" s="307">
        <f t="shared" si="0"/>
        <v>18000000</v>
      </c>
      <c r="Q27" s="61">
        <v>0</v>
      </c>
      <c r="R27" s="61">
        <v>0</v>
      </c>
      <c r="S27" s="62">
        <v>0</v>
      </c>
      <c r="T27" s="306">
        <v>1</v>
      </c>
    </row>
    <row r="28" spans="1:20">
      <c r="A28" s="311" t="s">
        <v>566</v>
      </c>
      <c r="B28" s="62" t="s">
        <v>319</v>
      </c>
      <c r="C28" s="62" t="s">
        <v>517</v>
      </c>
      <c r="D28" s="62" t="s">
        <v>14</v>
      </c>
      <c r="E28" s="62" t="s">
        <v>532</v>
      </c>
      <c r="F28" s="62" t="s">
        <v>245</v>
      </c>
      <c r="G28" s="62" t="s">
        <v>516</v>
      </c>
      <c r="H28" s="62" t="s">
        <v>260</v>
      </c>
      <c r="I28" s="62">
        <v>0</v>
      </c>
      <c r="J28" s="62" t="s">
        <v>539</v>
      </c>
      <c r="K28" s="62">
        <v>0</v>
      </c>
      <c r="L28" s="62" t="s">
        <v>262</v>
      </c>
      <c r="M28" s="61">
        <v>3</v>
      </c>
      <c r="N28" s="62">
        <v>0</v>
      </c>
      <c r="O28" s="304">
        <v>10000000</v>
      </c>
      <c r="P28" s="307">
        <f t="shared" si="0"/>
        <v>30000000</v>
      </c>
      <c r="Q28" s="61">
        <v>0</v>
      </c>
      <c r="R28" s="61">
        <v>0</v>
      </c>
      <c r="S28" s="62">
        <v>0</v>
      </c>
      <c r="T28" s="306">
        <v>1</v>
      </c>
    </row>
    <row r="29" spans="1:20">
      <c r="A29" s="311" t="s">
        <v>567</v>
      </c>
      <c r="B29" s="62" t="s">
        <v>319</v>
      </c>
      <c r="C29" s="62" t="s">
        <v>517</v>
      </c>
      <c r="D29" s="62" t="s">
        <v>14</v>
      </c>
      <c r="E29" s="62" t="s">
        <v>532</v>
      </c>
      <c r="F29" s="62" t="s">
        <v>518</v>
      </c>
      <c r="G29" s="62" t="s">
        <v>519</v>
      </c>
      <c r="H29" s="62" t="s">
        <v>520</v>
      </c>
      <c r="I29" s="62">
        <v>0</v>
      </c>
      <c r="J29" s="62" t="s">
        <v>539</v>
      </c>
      <c r="K29" s="62">
        <v>0</v>
      </c>
      <c r="L29" s="62" t="s">
        <v>262</v>
      </c>
      <c r="M29" s="61">
        <v>3</v>
      </c>
      <c r="N29" s="61">
        <v>0</v>
      </c>
      <c r="O29" s="304">
        <v>11000000</v>
      </c>
      <c r="P29" s="307">
        <f t="shared" si="0"/>
        <v>33000000</v>
      </c>
      <c r="Q29" s="61">
        <v>0</v>
      </c>
      <c r="R29" s="61">
        <v>0</v>
      </c>
      <c r="S29" s="62">
        <v>0</v>
      </c>
      <c r="T29" s="306">
        <v>1</v>
      </c>
    </row>
    <row r="30" spans="1:20">
      <c r="A30" s="311" t="s">
        <v>568</v>
      </c>
      <c r="B30" s="62" t="s">
        <v>319</v>
      </c>
      <c r="C30" s="62" t="s">
        <v>517</v>
      </c>
      <c r="D30" s="62" t="s">
        <v>14</v>
      </c>
      <c r="E30" s="62" t="s">
        <v>532</v>
      </c>
      <c r="F30" s="62" t="s">
        <v>521</v>
      </c>
      <c r="G30" s="62" t="s">
        <v>522</v>
      </c>
      <c r="H30" s="62" t="s">
        <v>261</v>
      </c>
      <c r="I30" s="62">
        <v>0</v>
      </c>
      <c r="J30" s="62" t="s">
        <v>539</v>
      </c>
      <c r="K30" s="62">
        <v>0</v>
      </c>
      <c r="L30" s="62" t="s">
        <v>262</v>
      </c>
      <c r="M30" s="61">
        <v>3</v>
      </c>
      <c r="N30" s="61">
        <v>0</v>
      </c>
      <c r="O30" s="304">
        <v>9000000</v>
      </c>
      <c r="P30" s="307">
        <f t="shared" si="0"/>
        <v>27000000</v>
      </c>
      <c r="Q30" s="61">
        <v>0</v>
      </c>
      <c r="R30" s="61">
        <v>0</v>
      </c>
      <c r="S30" s="62">
        <v>0</v>
      </c>
      <c r="T30" s="306">
        <v>1</v>
      </c>
    </row>
    <row r="31" spans="1:20">
      <c r="A31" s="311" t="s">
        <v>569</v>
      </c>
      <c r="B31" s="62" t="s">
        <v>319</v>
      </c>
      <c r="C31" s="62" t="s">
        <v>517</v>
      </c>
      <c r="D31" s="62" t="s">
        <v>14</v>
      </c>
      <c r="E31" s="62" t="s">
        <v>532</v>
      </c>
      <c r="F31" s="62" t="s">
        <v>521</v>
      </c>
      <c r="G31" s="62" t="s">
        <v>523</v>
      </c>
      <c r="H31" s="62" t="s">
        <v>500</v>
      </c>
      <c r="I31" s="62">
        <v>0</v>
      </c>
      <c r="J31" s="62" t="s">
        <v>539</v>
      </c>
      <c r="K31" s="62">
        <v>0</v>
      </c>
      <c r="L31" s="62" t="s">
        <v>262</v>
      </c>
      <c r="M31" s="61">
        <v>3</v>
      </c>
      <c r="N31" s="61">
        <v>0</v>
      </c>
      <c r="O31" s="304">
        <v>8000000</v>
      </c>
      <c r="P31" s="307">
        <f t="shared" si="0"/>
        <v>24000000</v>
      </c>
      <c r="Q31" s="61">
        <v>0</v>
      </c>
      <c r="R31" s="61">
        <v>0</v>
      </c>
      <c r="S31" s="62">
        <v>0</v>
      </c>
      <c r="T31" s="306">
        <v>1</v>
      </c>
    </row>
    <row r="32" spans="1:20">
      <c r="A32" s="311" t="s">
        <v>570</v>
      </c>
      <c r="B32" s="62" t="s">
        <v>319</v>
      </c>
      <c r="C32" s="62" t="s">
        <v>517</v>
      </c>
      <c r="D32" s="62" t="s">
        <v>14</v>
      </c>
      <c r="E32" s="62" t="s">
        <v>532</v>
      </c>
      <c r="F32" s="62" t="s">
        <v>524</v>
      </c>
      <c r="G32" s="62" t="s">
        <v>525</v>
      </c>
      <c r="H32" s="62" t="s">
        <v>520</v>
      </c>
      <c r="I32" s="62">
        <v>0</v>
      </c>
      <c r="J32" s="62" t="s">
        <v>539</v>
      </c>
      <c r="K32" s="62">
        <v>0</v>
      </c>
      <c r="L32" s="62" t="s">
        <v>262</v>
      </c>
      <c r="M32" s="61">
        <v>1</v>
      </c>
      <c r="N32" s="61">
        <v>0</v>
      </c>
      <c r="O32" s="304">
        <v>11000000</v>
      </c>
      <c r="P32" s="307">
        <f t="shared" si="0"/>
        <v>11000000</v>
      </c>
      <c r="Q32" s="61">
        <v>0</v>
      </c>
      <c r="R32" s="61">
        <v>0</v>
      </c>
      <c r="S32" s="62">
        <v>0</v>
      </c>
      <c r="T32" s="306">
        <v>1</v>
      </c>
    </row>
    <row r="33" spans="1:20">
      <c r="A33" s="311" t="s">
        <v>571</v>
      </c>
      <c r="B33" s="62" t="s">
        <v>319</v>
      </c>
      <c r="C33" s="62" t="s">
        <v>517</v>
      </c>
      <c r="D33" s="62" t="s">
        <v>14</v>
      </c>
      <c r="E33" s="62" t="s">
        <v>532</v>
      </c>
      <c r="F33" s="62" t="s">
        <v>526</v>
      </c>
      <c r="G33" s="62" t="s">
        <v>527</v>
      </c>
      <c r="H33" s="62" t="s">
        <v>261</v>
      </c>
      <c r="I33" s="62">
        <v>0</v>
      </c>
      <c r="J33" s="62" t="s">
        <v>539</v>
      </c>
      <c r="K33" s="62">
        <v>0</v>
      </c>
      <c r="L33" s="62" t="s">
        <v>262</v>
      </c>
      <c r="M33" s="61">
        <v>2</v>
      </c>
      <c r="N33" s="61">
        <v>0</v>
      </c>
      <c r="O33" s="304">
        <v>9000000</v>
      </c>
      <c r="P33" s="307">
        <f t="shared" si="0"/>
        <v>18000000</v>
      </c>
      <c r="Q33" s="61">
        <v>0</v>
      </c>
      <c r="R33" s="61">
        <v>0</v>
      </c>
      <c r="S33" s="62">
        <v>0</v>
      </c>
      <c r="T33" s="306">
        <v>1</v>
      </c>
    </row>
    <row r="34" spans="1:20">
      <c r="A34" s="311" t="s">
        <v>572</v>
      </c>
      <c r="B34" s="62" t="s">
        <v>319</v>
      </c>
      <c r="C34" s="62" t="s">
        <v>517</v>
      </c>
      <c r="D34" s="62" t="s">
        <v>14</v>
      </c>
      <c r="E34" s="62" t="s">
        <v>532</v>
      </c>
      <c r="F34" s="62" t="s">
        <v>528</v>
      </c>
      <c r="G34" s="62" t="s">
        <v>529</v>
      </c>
      <c r="H34" s="62" t="s">
        <v>261</v>
      </c>
      <c r="I34" s="62">
        <v>0</v>
      </c>
      <c r="J34" s="62" t="s">
        <v>539</v>
      </c>
      <c r="K34" s="62">
        <v>0</v>
      </c>
      <c r="L34" s="62" t="s">
        <v>262</v>
      </c>
      <c r="M34" s="61">
        <v>2</v>
      </c>
      <c r="N34" s="61">
        <v>0</v>
      </c>
      <c r="O34" s="304">
        <v>9000000</v>
      </c>
      <c r="P34" s="307">
        <f t="shared" si="0"/>
        <v>18000000</v>
      </c>
      <c r="Q34" s="61">
        <v>0</v>
      </c>
      <c r="R34" s="61">
        <v>0</v>
      </c>
      <c r="S34" s="62">
        <v>0</v>
      </c>
      <c r="T34" s="306">
        <v>1</v>
      </c>
    </row>
    <row r="35" spans="1:20">
      <c r="A35" s="311" t="s">
        <v>573</v>
      </c>
      <c r="B35" s="62" t="s">
        <v>319</v>
      </c>
      <c r="C35" s="316" t="s">
        <v>530</v>
      </c>
      <c r="D35" s="316" t="s">
        <v>14</v>
      </c>
      <c r="E35" s="316" t="s">
        <v>532</v>
      </c>
      <c r="F35" s="62" t="s">
        <v>533</v>
      </c>
      <c r="G35" s="62" t="s">
        <v>534</v>
      </c>
      <c r="H35" s="62" t="s">
        <v>260</v>
      </c>
      <c r="I35" s="62">
        <v>0</v>
      </c>
      <c r="J35" s="62" t="s">
        <v>539</v>
      </c>
      <c r="K35" s="62">
        <v>0</v>
      </c>
      <c r="L35" s="62" t="s">
        <v>262</v>
      </c>
      <c r="M35" s="62">
        <v>20</v>
      </c>
      <c r="N35" s="61">
        <v>0</v>
      </c>
      <c r="O35" s="304">
        <v>11250000</v>
      </c>
      <c r="P35" s="307">
        <f t="shared" si="0"/>
        <v>225000000</v>
      </c>
      <c r="Q35" s="62">
        <v>0</v>
      </c>
      <c r="R35" s="62">
        <v>0</v>
      </c>
      <c r="S35" s="62">
        <v>0</v>
      </c>
      <c r="T35" s="306">
        <v>1</v>
      </c>
    </row>
    <row r="36" spans="1:20">
      <c r="A36" s="311" t="s">
        <v>574</v>
      </c>
      <c r="B36" s="62" t="s">
        <v>319</v>
      </c>
      <c r="C36" s="316" t="s">
        <v>535</v>
      </c>
      <c r="D36" s="316" t="s">
        <v>14</v>
      </c>
      <c r="E36" s="316" t="s">
        <v>532</v>
      </c>
      <c r="F36" s="316" t="s">
        <v>538</v>
      </c>
      <c r="G36" s="62">
        <v>0</v>
      </c>
      <c r="H36" s="62" t="s">
        <v>260</v>
      </c>
      <c r="I36" s="62">
        <v>0</v>
      </c>
      <c r="J36" s="62" t="s">
        <v>539</v>
      </c>
      <c r="K36" s="62">
        <v>0</v>
      </c>
      <c r="L36" s="62" t="s">
        <v>262</v>
      </c>
      <c r="M36" s="317">
        <v>10</v>
      </c>
      <c r="N36" s="62">
        <v>0</v>
      </c>
      <c r="O36" s="304">
        <v>3333333.3333333335</v>
      </c>
      <c r="P36" s="307">
        <f t="shared" si="0"/>
        <v>33333333.333333336</v>
      </c>
      <c r="Q36" s="62">
        <v>0</v>
      </c>
      <c r="R36" s="62">
        <v>0</v>
      </c>
      <c r="S36" s="62">
        <v>0</v>
      </c>
      <c r="T36" s="306">
        <v>1</v>
      </c>
    </row>
    <row r="37" spans="1:20">
      <c r="A37" s="311" t="s">
        <v>575</v>
      </c>
      <c r="B37" s="62" t="s">
        <v>319</v>
      </c>
      <c r="C37" s="316" t="s">
        <v>501</v>
      </c>
      <c r="D37" s="316" t="s">
        <v>14</v>
      </c>
      <c r="E37" s="316" t="s">
        <v>532</v>
      </c>
      <c r="F37" s="316" t="s">
        <v>538</v>
      </c>
      <c r="G37" s="62">
        <v>0</v>
      </c>
      <c r="H37" s="62" t="s">
        <v>260</v>
      </c>
      <c r="I37" s="62">
        <v>0</v>
      </c>
      <c r="J37" s="62" t="s">
        <v>539</v>
      </c>
      <c r="K37" s="62">
        <v>0</v>
      </c>
      <c r="L37" s="62" t="s">
        <v>262</v>
      </c>
      <c r="M37" s="317">
        <v>10</v>
      </c>
      <c r="N37" s="62">
        <v>0</v>
      </c>
      <c r="O37" s="304">
        <v>3333333.3333333335</v>
      </c>
      <c r="P37" s="307">
        <f t="shared" si="0"/>
        <v>33333333.333333336</v>
      </c>
      <c r="Q37" s="62">
        <v>0</v>
      </c>
      <c r="R37" s="62">
        <v>0</v>
      </c>
      <c r="S37" s="62">
        <v>0</v>
      </c>
      <c r="T37" s="306">
        <v>1</v>
      </c>
    </row>
    <row r="38" spans="1:20">
      <c r="A38" s="311" t="s">
        <v>576</v>
      </c>
      <c r="B38" s="62" t="s">
        <v>319</v>
      </c>
      <c r="C38" s="316" t="s">
        <v>517</v>
      </c>
      <c r="D38" s="316" t="s">
        <v>14</v>
      </c>
      <c r="E38" s="316" t="s">
        <v>532</v>
      </c>
      <c r="F38" s="316" t="s">
        <v>538</v>
      </c>
      <c r="G38" s="62">
        <v>0</v>
      </c>
      <c r="H38" s="62" t="s">
        <v>260</v>
      </c>
      <c r="I38" s="62">
        <v>0</v>
      </c>
      <c r="J38" s="62" t="s">
        <v>539</v>
      </c>
      <c r="K38" s="62">
        <v>0</v>
      </c>
      <c r="L38" s="62" t="s">
        <v>262</v>
      </c>
      <c r="M38" s="317">
        <v>10</v>
      </c>
      <c r="N38" s="62">
        <v>0</v>
      </c>
      <c r="O38" s="304">
        <v>3333333.3333333335</v>
      </c>
      <c r="P38" s="307">
        <f t="shared" si="0"/>
        <v>33333333.333333336</v>
      </c>
      <c r="Q38" s="62">
        <v>0</v>
      </c>
      <c r="R38" s="62">
        <v>0</v>
      </c>
      <c r="S38" s="62">
        <v>0</v>
      </c>
      <c r="T38" s="306">
        <v>1</v>
      </c>
    </row>
    <row r="39" spans="1:20">
      <c r="A39" s="311" t="s">
        <v>594</v>
      </c>
      <c r="B39" s="62" t="s">
        <v>319</v>
      </c>
      <c r="C39" s="316" t="s">
        <v>536</v>
      </c>
      <c r="D39" s="316" t="s">
        <v>592</v>
      </c>
      <c r="E39" s="316" t="s">
        <v>593</v>
      </c>
      <c r="F39" s="62" t="s">
        <v>577</v>
      </c>
      <c r="G39" s="62" t="s">
        <v>584</v>
      </c>
      <c r="H39" s="62">
        <v>0</v>
      </c>
      <c r="I39" s="62">
        <v>0</v>
      </c>
      <c r="J39" s="62" t="s">
        <v>539</v>
      </c>
      <c r="K39" s="62">
        <v>0</v>
      </c>
      <c r="L39" s="62" t="s">
        <v>590</v>
      </c>
      <c r="M39" s="62">
        <v>2</v>
      </c>
      <c r="N39" s="62">
        <v>0</v>
      </c>
      <c r="O39" s="62">
        <v>15000000</v>
      </c>
      <c r="P39" s="307">
        <f t="shared" si="0"/>
        <v>30000000</v>
      </c>
      <c r="Q39" s="62">
        <v>0</v>
      </c>
      <c r="R39" s="62">
        <v>0</v>
      </c>
      <c r="S39" s="62">
        <v>0</v>
      </c>
      <c r="T39" s="306">
        <v>1</v>
      </c>
    </row>
    <row r="40" spans="1:20">
      <c r="A40" s="311" t="s">
        <v>595</v>
      </c>
      <c r="B40" s="62" t="s">
        <v>319</v>
      </c>
      <c r="C40" s="316" t="s">
        <v>536</v>
      </c>
      <c r="D40" s="316" t="s">
        <v>592</v>
      </c>
      <c r="E40" s="316" t="s">
        <v>593</v>
      </c>
      <c r="F40" s="62" t="s">
        <v>578</v>
      </c>
      <c r="G40" s="62" t="s">
        <v>585</v>
      </c>
      <c r="H40" s="62">
        <v>0</v>
      </c>
      <c r="I40" s="62">
        <v>0</v>
      </c>
      <c r="J40" s="62" t="s">
        <v>539</v>
      </c>
      <c r="K40" s="62">
        <v>0</v>
      </c>
      <c r="L40" s="62" t="s">
        <v>590</v>
      </c>
      <c r="M40" s="62">
        <v>1</v>
      </c>
      <c r="N40" s="62">
        <v>0</v>
      </c>
      <c r="O40" s="62">
        <v>15000000</v>
      </c>
      <c r="P40" s="307">
        <f t="shared" si="0"/>
        <v>15000000</v>
      </c>
      <c r="Q40" s="62">
        <v>0</v>
      </c>
      <c r="R40" s="62">
        <v>0</v>
      </c>
      <c r="S40" s="62">
        <v>0</v>
      </c>
      <c r="T40" s="306">
        <v>1</v>
      </c>
    </row>
    <row r="41" spans="1:20">
      <c r="A41" s="311" t="s">
        <v>596</v>
      </c>
      <c r="B41" s="62" t="s">
        <v>319</v>
      </c>
      <c r="C41" s="316" t="s">
        <v>536</v>
      </c>
      <c r="D41" s="316" t="s">
        <v>592</v>
      </c>
      <c r="E41" s="316" t="s">
        <v>593</v>
      </c>
      <c r="F41" s="62" t="s">
        <v>579</v>
      </c>
      <c r="G41" s="62" t="s">
        <v>586</v>
      </c>
      <c r="H41" s="62">
        <v>0</v>
      </c>
      <c r="I41" s="62">
        <v>0</v>
      </c>
      <c r="J41" s="62" t="s">
        <v>539</v>
      </c>
      <c r="K41" s="62">
        <v>0</v>
      </c>
      <c r="L41" s="62" t="s">
        <v>590</v>
      </c>
      <c r="M41" s="62">
        <v>1</v>
      </c>
      <c r="N41" s="62">
        <v>0</v>
      </c>
      <c r="O41" s="62">
        <v>3750000</v>
      </c>
      <c r="P41" s="307">
        <f t="shared" si="0"/>
        <v>3750000</v>
      </c>
      <c r="Q41" s="62">
        <v>0</v>
      </c>
      <c r="R41" s="62">
        <v>0</v>
      </c>
      <c r="S41" s="62">
        <v>0</v>
      </c>
      <c r="T41" s="306">
        <v>1</v>
      </c>
    </row>
    <row r="42" spans="1:20">
      <c r="A42" s="311" t="s">
        <v>597</v>
      </c>
      <c r="B42" s="62" t="s">
        <v>319</v>
      </c>
      <c r="C42" s="316" t="s">
        <v>536</v>
      </c>
      <c r="D42" s="316" t="s">
        <v>592</v>
      </c>
      <c r="E42" s="316" t="s">
        <v>593</v>
      </c>
      <c r="F42" s="62" t="s">
        <v>580</v>
      </c>
      <c r="G42" s="62" t="s">
        <v>587</v>
      </c>
      <c r="H42" s="62">
        <v>0</v>
      </c>
      <c r="I42" s="62">
        <v>0</v>
      </c>
      <c r="J42" s="62" t="s">
        <v>539</v>
      </c>
      <c r="K42" s="62">
        <v>0</v>
      </c>
      <c r="L42" s="62" t="s">
        <v>590</v>
      </c>
      <c r="M42" s="62">
        <v>1</v>
      </c>
      <c r="N42" s="62">
        <v>0</v>
      </c>
      <c r="O42" s="62">
        <v>7525000</v>
      </c>
      <c r="P42" s="307">
        <f t="shared" si="0"/>
        <v>7525000</v>
      </c>
      <c r="Q42" s="62">
        <v>0</v>
      </c>
      <c r="R42" s="62">
        <v>0</v>
      </c>
      <c r="S42" s="62">
        <v>0</v>
      </c>
      <c r="T42" s="306">
        <v>1</v>
      </c>
    </row>
    <row r="43" spans="1:20">
      <c r="A43" s="311" t="s">
        <v>598</v>
      </c>
      <c r="B43" s="62" t="s">
        <v>319</v>
      </c>
      <c r="C43" s="316" t="s">
        <v>536</v>
      </c>
      <c r="D43" s="316" t="s">
        <v>592</v>
      </c>
      <c r="E43" s="316" t="s">
        <v>593</v>
      </c>
      <c r="F43" s="62" t="s">
        <v>581</v>
      </c>
      <c r="G43" s="62" t="s">
        <v>588</v>
      </c>
      <c r="H43" s="62">
        <v>0</v>
      </c>
      <c r="I43" s="62">
        <v>0</v>
      </c>
      <c r="J43" s="62" t="s">
        <v>539</v>
      </c>
      <c r="K43" s="62">
        <v>0</v>
      </c>
      <c r="L43" s="62" t="s">
        <v>590</v>
      </c>
      <c r="M43" s="62">
        <v>1</v>
      </c>
      <c r="N43" s="62">
        <v>0</v>
      </c>
      <c r="O43" s="62">
        <v>1870000</v>
      </c>
      <c r="P43" s="307">
        <f t="shared" si="0"/>
        <v>1870000</v>
      </c>
      <c r="Q43" s="62">
        <v>0</v>
      </c>
      <c r="R43" s="62">
        <v>0</v>
      </c>
      <c r="S43" s="62">
        <v>0</v>
      </c>
      <c r="T43" s="306">
        <v>1</v>
      </c>
    </row>
    <row r="44" spans="1:20">
      <c r="A44" s="311" t="s">
        <v>599</v>
      </c>
      <c r="B44" s="62" t="s">
        <v>319</v>
      </c>
      <c r="C44" s="316" t="s">
        <v>536</v>
      </c>
      <c r="D44" s="316" t="s">
        <v>592</v>
      </c>
      <c r="E44" s="316" t="s">
        <v>593</v>
      </c>
      <c r="F44" s="62" t="s">
        <v>582</v>
      </c>
      <c r="G44" s="62" t="s">
        <v>582</v>
      </c>
      <c r="H44" s="62">
        <v>0</v>
      </c>
      <c r="I44" s="62">
        <v>0</v>
      </c>
      <c r="J44" s="62" t="s">
        <v>539</v>
      </c>
      <c r="K44" s="62">
        <v>0</v>
      </c>
      <c r="L44" s="62" t="s">
        <v>591</v>
      </c>
      <c r="M44" s="62">
        <v>400</v>
      </c>
      <c r="N44" s="62">
        <v>0</v>
      </c>
      <c r="O44" s="62">
        <v>20000</v>
      </c>
      <c r="P44" s="307">
        <f t="shared" si="0"/>
        <v>8000000</v>
      </c>
      <c r="Q44" s="62">
        <v>0</v>
      </c>
      <c r="R44" s="62">
        <v>0</v>
      </c>
      <c r="S44" s="62">
        <v>0</v>
      </c>
      <c r="T44" s="306">
        <v>1</v>
      </c>
    </row>
    <row r="45" spans="1:20">
      <c r="A45" s="311" t="s">
        <v>600</v>
      </c>
      <c r="B45" s="62" t="s">
        <v>319</v>
      </c>
      <c r="C45" s="316" t="s">
        <v>536</v>
      </c>
      <c r="D45" s="316" t="s">
        <v>592</v>
      </c>
      <c r="E45" s="316" t="s">
        <v>593</v>
      </c>
      <c r="F45" s="62" t="s">
        <v>583</v>
      </c>
      <c r="G45" s="62" t="s">
        <v>589</v>
      </c>
      <c r="H45" s="62">
        <v>0</v>
      </c>
      <c r="I45" s="62">
        <v>0</v>
      </c>
      <c r="J45" s="62" t="s">
        <v>539</v>
      </c>
      <c r="K45" s="62">
        <v>0</v>
      </c>
      <c r="L45" s="62" t="s">
        <v>590</v>
      </c>
      <c r="M45" s="62">
        <v>1</v>
      </c>
      <c r="N45" s="62">
        <v>0</v>
      </c>
      <c r="O45" s="62">
        <v>23000000</v>
      </c>
      <c r="P45" s="307">
        <f t="shared" si="0"/>
        <v>23000000</v>
      </c>
      <c r="Q45" s="62">
        <v>0</v>
      </c>
      <c r="R45" s="62">
        <v>0</v>
      </c>
      <c r="S45" s="62">
        <v>0</v>
      </c>
      <c r="T45" s="306">
        <v>1</v>
      </c>
    </row>
    <row r="46" spans="1:20">
      <c r="A46" s="311" t="s">
        <v>603</v>
      </c>
      <c r="B46" s="62" t="s">
        <v>319</v>
      </c>
      <c r="C46" s="316" t="s">
        <v>536</v>
      </c>
      <c r="D46" s="316" t="s">
        <v>601</v>
      </c>
      <c r="E46" s="316" t="s">
        <v>593</v>
      </c>
      <c r="F46" s="62" t="s">
        <v>619</v>
      </c>
      <c r="G46" s="62">
        <v>0</v>
      </c>
      <c r="H46" s="62">
        <v>0</v>
      </c>
      <c r="I46" s="62">
        <v>0</v>
      </c>
      <c r="J46" s="62" t="s">
        <v>539</v>
      </c>
      <c r="K46" s="62">
        <v>0</v>
      </c>
      <c r="L46" s="62" t="s">
        <v>602</v>
      </c>
      <c r="M46" s="62">
        <v>60</v>
      </c>
      <c r="N46" s="62">
        <v>0</v>
      </c>
      <c r="O46" s="62">
        <v>484541.66666666669</v>
      </c>
      <c r="P46" s="307">
        <f t="shared" si="0"/>
        <v>29072500</v>
      </c>
      <c r="Q46" s="62">
        <v>24</v>
      </c>
      <c r="R46" s="62">
        <v>60</v>
      </c>
      <c r="S46" s="62">
        <v>0.2</v>
      </c>
      <c r="T46" s="306">
        <v>1</v>
      </c>
    </row>
    <row r="47" spans="1:20">
      <c r="A47" s="311" t="s">
        <v>604</v>
      </c>
      <c r="B47" s="62" t="s">
        <v>319</v>
      </c>
      <c r="C47" s="316" t="s">
        <v>536</v>
      </c>
      <c r="D47" s="316" t="s">
        <v>601</v>
      </c>
      <c r="E47" s="316" t="s">
        <v>593</v>
      </c>
      <c r="F47" s="62" t="s">
        <v>620</v>
      </c>
      <c r="G47" s="62">
        <v>0</v>
      </c>
      <c r="H47" s="62">
        <v>0</v>
      </c>
      <c r="I47" s="62">
        <v>0</v>
      </c>
      <c r="J47" s="62" t="s">
        <v>539</v>
      </c>
      <c r="K47" s="62">
        <v>0</v>
      </c>
      <c r="L47" s="62" t="s">
        <v>602</v>
      </c>
      <c r="M47" s="62">
        <v>60</v>
      </c>
      <c r="N47" s="62">
        <v>0</v>
      </c>
      <c r="O47" s="62">
        <v>66666.666666666672</v>
      </c>
      <c r="P47" s="307">
        <f t="shared" si="0"/>
        <v>4000000.0000000005</v>
      </c>
      <c r="Q47" s="62">
        <v>24</v>
      </c>
      <c r="R47" s="62">
        <v>60</v>
      </c>
      <c r="S47" s="62">
        <v>0.19999999999999998</v>
      </c>
      <c r="T47" s="306">
        <v>1</v>
      </c>
    </row>
    <row r="48" spans="1:20">
      <c r="A48" s="311" t="s">
        <v>613</v>
      </c>
      <c r="B48" s="62" t="s">
        <v>319</v>
      </c>
      <c r="C48" s="316" t="s">
        <v>536</v>
      </c>
      <c r="D48" s="316" t="s">
        <v>592</v>
      </c>
      <c r="E48" s="316" t="s">
        <v>593</v>
      </c>
      <c r="F48" s="62" t="s">
        <v>615</v>
      </c>
      <c r="G48" s="62" t="s">
        <v>605</v>
      </c>
      <c r="H48" s="62" t="s">
        <v>606</v>
      </c>
      <c r="I48" s="62">
        <v>0</v>
      </c>
      <c r="J48" s="62" t="s">
        <v>539</v>
      </c>
      <c r="K48" s="62">
        <v>0</v>
      </c>
      <c r="L48" s="62" t="s">
        <v>590</v>
      </c>
      <c r="M48" s="316">
        <v>1</v>
      </c>
      <c r="N48" s="62">
        <v>0</v>
      </c>
      <c r="O48" s="62">
        <v>70000000</v>
      </c>
      <c r="P48" s="307">
        <f t="shared" si="0"/>
        <v>70000000</v>
      </c>
      <c r="Q48" s="62">
        <v>0</v>
      </c>
      <c r="R48" s="62">
        <v>0</v>
      </c>
      <c r="S48" s="62">
        <v>0</v>
      </c>
      <c r="T48" s="306">
        <v>1</v>
      </c>
    </row>
    <row r="49" spans="1:20">
      <c r="A49" s="311" t="s">
        <v>639</v>
      </c>
      <c r="B49" s="62" t="s">
        <v>319</v>
      </c>
      <c r="C49" s="316" t="s">
        <v>536</v>
      </c>
      <c r="D49" s="316" t="s">
        <v>592</v>
      </c>
      <c r="E49" s="316" t="s">
        <v>593</v>
      </c>
      <c r="F49" s="62" t="s">
        <v>616</v>
      </c>
      <c r="G49" s="62" t="s">
        <v>607</v>
      </c>
      <c r="H49" s="62" t="s">
        <v>608</v>
      </c>
      <c r="I49" s="62">
        <v>0</v>
      </c>
      <c r="J49" s="62" t="s">
        <v>539</v>
      </c>
      <c r="K49" s="62">
        <v>0</v>
      </c>
      <c r="L49" s="62" t="s">
        <v>590</v>
      </c>
      <c r="M49" s="316">
        <v>1</v>
      </c>
      <c r="N49" s="62">
        <v>0</v>
      </c>
      <c r="O49" s="62">
        <v>50000000</v>
      </c>
      <c r="P49" s="307">
        <f t="shared" si="0"/>
        <v>50000000</v>
      </c>
      <c r="Q49" s="62">
        <v>0</v>
      </c>
      <c r="R49" s="62">
        <v>0</v>
      </c>
      <c r="S49" s="62">
        <v>0</v>
      </c>
      <c r="T49" s="306">
        <v>1</v>
      </c>
    </row>
    <row r="50" spans="1:20">
      <c r="A50" s="311" t="s">
        <v>640</v>
      </c>
      <c r="B50" s="62" t="s">
        <v>319</v>
      </c>
      <c r="C50" s="316" t="s">
        <v>536</v>
      </c>
      <c r="D50" s="316" t="s">
        <v>592</v>
      </c>
      <c r="E50" s="316" t="s">
        <v>593</v>
      </c>
      <c r="F50" s="62" t="s">
        <v>617</v>
      </c>
      <c r="G50" s="62" t="s">
        <v>607</v>
      </c>
      <c r="H50" s="62" t="s">
        <v>609</v>
      </c>
      <c r="I50" s="62">
        <v>0</v>
      </c>
      <c r="J50" s="62" t="s">
        <v>539</v>
      </c>
      <c r="K50" s="62">
        <v>0</v>
      </c>
      <c r="L50" s="62" t="s">
        <v>590</v>
      </c>
      <c r="M50" s="316">
        <v>1</v>
      </c>
      <c r="N50" s="62">
        <v>0</v>
      </c>
      <c r="O50" s="62">
        <v>40000000</v>
      </c>
      <c r="P50" s="307">
        <f t="shared" si="0"/>
        <v>40000000</v>
      </c>
      <c r="Q50" s="62">
        <v>0</v>
      </c>
      <c r="R50" s="62">
        <v>0</v>
      </c>
      <c r="S50" s="62">
        <v>0</v>
      </c>
      <c r="T50" s="306">
        <v>1</v>
      </c>
    </row>
    <row r="51" spans="1:20">
      <c r="A51" s="311" t="s">
        <v>641</v>
      </c>
      <c r="B51" s="62" t="s">
        <v>319</v>
      </c>
      <c r="C51" s="316" t="s">
        <v>536</v>
      </c>
      <c r="D51" s="316" t="s">
        <v>592</v>
      </c>
      <c r="E51" s="316" t="s">
        <v>593</v>
      </c>
      <c r="F51" s="62" t="s">
        <v>615</v>
      </c>
      <c r="G51" s="62" t="s">
        <v>610</v>
      </c>
      <c r="H51" s="62" t="s">
        <v>611</v>
      </c>
      <c r="I51" s="62">
        <v>0</v>
      </c>
      <c r="J51" s="62" t="s">
        <v>539</v>
      </c>
      <c r="K51" s="62">
        <v>0</v>
      </c>
      <c r="L51" s="62" t="s">
        <v>590</v>
      </c>
      <c r="M51" s="316">
        <v>1</v>
      </c>
      <c r="N51" s="62">
        <v>0</v>
      </c>
      <c r="O51" s="62">
        <v>15000000</v>
      </c>
      <c r="P51" s="307">
        <f t="shared" si="0"/>
        <v>15000000</v>
      </c>
      <c r="Q51" s="62">
        <v>0</v>
      </c>
      <c r="R51" s="62">
        <v>0</v>
      </c>
      <c r="S51" s="62">
        <v>0</v>
      </c>
      <c r="T51" s="306">
        <v>1</v>
      </c>
    </row>
    <row r="52" spans="1:20">
      <c r="A52" s="311" t="s">
        <v>642</v>
      </c>
      <c r="B52" s="62" t="s">
        <v>319</v>
      </c>
      <c r="C52" s="316" t="s">
        <v>536</v>
      </c>
      <c r="D52" s="316" t="s">
        <v>592</v>
      </c>
      <c r="E52" s="316" t="s">
        <v>593</v>
      </c>
      <c r="F52" s="62" t="s">
        <v>615</v>
      </c>
      <c r="G52" s="62" t="s">
        <v>610</v>
      </c>
      <c r="H52" s="62" t="s">
        <v>612</v>
      </c>
      <c r="I52" s="62">
        <v>0</v>
      </c>
      <c r="J52" s="62" t="s">
        <v>539</v>
      </c>
      <c r="K52" s="62">
        <v>0</v>
      </c>
      <c r="L52" s="62" t="s">
        <v>590</v>
      </c>
      <c r="M52" s="316">
        <v>1</v>
      </c>
      <c r="N52" s="62">
        <v>0</v>
      </c>
      <c r="O52" s="62">
        <v>25000000</v>
      </c>
      <c r="P52" s="307">
        <f t="shared" si="0"/>
        <v>25000000</v>
      </c>
      <c r="Q52" s="62">
        <v>0</v>
      </c>
      <c r="R52" s="62">
        <v>0</v>
      </c>
      <c r="S52" s="62">
        <v>0</v>
      </c>
      <c r="T52" s="306">
        <v>1</v>
      </c>
    </row>
    <row r="53" spans="1:20">
      <c r="A53" s="311" t="s">
        <v>643</v>
      </c>
      <c r="B53" s="62" t="s">
        <v>319</v>
      </c>
      <c r="C53" s="316" t="s">
        <v>536</v>
      </c>
      <c r="D53" s="316" t="s">
        <v>601</v>
      </c>
      <c r="E53" s="316" t="s">
        <v>593</v>
      </c>
      <c r="F53" s="62" t="s">
        <v>615</v>
      </c>
      <c r="G53" s="62" t="s">
        <v>614</v>
      </c>
      <c r="H53" s="62" t="s">
        <v>614</v>
      </c>
      <c r="I53" s="62">
        <v>0</v>
      </c>
      <c r="J53" s="62" t="s">
        <v>539</v>
      </c>
      <c r="K53" s="62">
        <v>0</v>
      </c>
      <c r="L53" s="62" t="s">
        <v>602</v>
      </c>
      <c r="M53" s="62">
        <v>60</v>
      </c>
      <c r="N53" s="62">
        <v>0</v>
      </c>
      <c r="O53" s="62">
        <v>2000000</v>
      </c>
      <c r="P53" s="307">
        <f t="shared" si="0"/>
        <v>120000000</v>
      </c>
      <c r="Q53" s="62">
        <v>24</v>
      </c>
      <c r="R53" s="62">
        <v>60</v>
      </c>
      <c r="S53" s="62">
        <v>0.2</v>
      </c>
      <c r="T53" s="306">
        <v>1</v>
      </c>
    </row>
    <row r="54" spans="1:20">
      <c r="A54" s="311" t="s">
        <v>644</v>
      </c>
      <c r="B54" s="62" t="s">
        <v>319</v>
      </c>
      <c r="C54" s="316" t="s">
        <v>536</v>
      </c>
      <c r="D54" s="316" t="s">
        <v>592</v>
      </c>
      <c r="E54" s="316" t="s">
        <v>628</v>
      </c>
      <c r="F54" s="62" t="s">
        <v>618</v>
      </c>
      <c r="G54" s="62" t="s">
        <v>621</v>
      </c>
      <c r="H54" s="62" t="s">
        <v>622</v>
      </c>
      <c r="I54" s="62">
        <v>0</v>
      </c>
      <c r="J54" s="62" t="s">
        <v>539</v>
      </c>
      <c r="K54" s="62">
        <v>0</v>
      </c>
      <c r="L54" s="62" t="s">
        <v>590</v>
      </c>
      <c r="M54" s="62">
        <v>3</v>
      </c>
      <c r="N54" s="62">
        <v>0</v>
      </c>
      <c r="O54" s="62">
        <v>8000000</v>
      </c>
      <c r="P54" s="307">
        <f t="shared" si="0"/>
        <v>24000000</v>
      </c>
      <c r="Q54" s="62">
        <v>0</v>
      </c>
      <c r="R54" s="62">
        <v>0</v>
      </c>
      <c r="S54" s="62">
        <v>0</v>
      </c>
      <c r="T54" s="306">
        <v>1</v>
      </c>
    </row>
    <row r="55" spans="1:20">
      <c r="A55" s="311" t="s">
        <v>645</v>
      </c>
      <c r="B55" s="62" t="s">
        <v>319</v>
      </c>
      <c r="C55" s="316" t="s">
        <v>536</v>
      </c>
      <c r="D55" s="316" t="s">
        <v>592</v>
      </c>
      <c r="E55" s="316" t="s">
        <v>628</v>
      </c>
      <c r="F55" s="62" t="s">
        <v>618</v>
      </c>
      <c r="G55" s="62" t="s">
        <v>621</v>
      </c>
      <c r="H55" s="62" t="s">
        <v>623</v>
      </c>
      <c r="I55" s="62">
        <v>0</v>
      </c>
      <c r="J55" s="62" t="s">
        <v>539</v>
      </c>
      <c r="K55" s="62">
        <v>0</v>
      </c>
      <c r="L55" s="62" t="s">
        <v>590</v>
      </c>
      <c r="M55" s="62">
        <v>3</v>
      </c>
      <c r="N55" s="62">
        <v>0</v>
      </c>
      <c r="O55" s="62">
        <v>4000000</v>
      </c>
      <c r="P55" s="307">
        <f t="shared" si="0"/>
        <v>12000000</v>
      </c>
      <c r="Q55" s="62">
        <v>0</v>
      </c>
      <c r="R55" s="62">
        <v>0</v>
      </c>
      <c r="S55" s="62">
        <v>0</v>
      </c>
      <c r="T55" s="306">
        <v>1</v>
      </c>
    </row>
    <row r="56" spans="1:20">
      <c r="A56" s="311" t="s">
        <v>646</v>
      </c>
      <c r="B56" s="62" t="s">
        <v>319</v>
      </c>
      <c r="C56" s="316" t="s">
        <v>536</v>
      </c>
      <c r="D56" s="316" t="s">
        <v>592</v>
      </c>
      <c r="E56" s="316" t="s">
        <v>628</v>
      </c>
      <c r="F56" s="62" t="s">
        <v>618</v>
      </c>
      <c r="G56" s="62" t="s">
        <v>624</v>
      </c>
      <c r="H56" s="62" t="s">
        <v>625</v>
      </c>
      <c r="I56" s="62">
        <v>0</v>
      </c>
      <c r="J56" s="62" t="s">
        <v>539</v>
      </c>
      <c r="K56" s="62">
        <v>0</v>
      </c>
      <c r="L56" s="62" t="s">
        <v>590</v>
      </c>
      <c r="M56" s="62">
        <v>2</v>
      </c>
      <c r="N56" s="62">
        <v>0</v>
      </c>
      <c r="O56" s="62">
        <v>6000000</v>
      </c>
      <c r="P56" s="307">
        <f t="shared" si="0"/>
        <v>12000000</v>
      </c>
      <c r="Q56" s="62">
        <v>0</v>
      </c>
      <c r="R56" s="62">
        <v>0</v>
      </c>
      <c r="S56" s="62">
        <v>0</v>
      </c>
      <c r="T56" s="306">
        <v>1</v>
      </c>
    </row>
    <row r="57" spans="1:20">
      <c r="A57" s="311" t="s">
        <v>647</v>
      </c>
      <c r="B57" s="62" t="s">
        <v>319</v>
      </c>
      <c r="C57" s="316" t="s">
        <v>536</v>
      </c>
      <c r="D57" s="316" t="s">
        <v>592</v>
      </c>
      <c r="E57" s="316" t="s">
        <v>628</v>
      </c>
      <c r="F57" s="62" t="s">
        <v>618</v>
      </c>
      <c r="G57" s="62" t="s">
        <v>626</v>
      </c>
      <c r="H57" s="62" t="s">
        <v>627</v>
      </c>
      <c r="I57" s="62">
        <v>0</v>
      </c>
      <c r="J57" s="62" t="s">
        <v>539</v>
      </c>
      <c r="K57" s="62">
        <v>0</v>
      </c>
      <c r="L57" s="62" t="s">
        <v>590</v>
      </c>
      <c r="M57" s="62">
        <v>2</v>
      </c>
      <c r="N57" s="62">
        <v>0</v>
      </c>
      <c r="O57" s="62">
        <v>6000000</v>
      </c>
      <c r="P57" s="307">
        <f t="shared" si="0"/>
        <v>12000000</v>
      </c>
      <c r="Q57" s="62">
        <v>0</v>
      </c>
      <c r="R57" s="62">
        <v>0</v>
      </c>
      <c r="S57" s="62">
        <v>0</v>
      </c>
      <c r="T57" s="306">
        <v>1</v>
      </c>
    </row>
    <row r="58" spans="1:20">
      <c r="A58" s="311" t="s">
        <v>648</v>
      </c>
      <c r="B58" s="62" t="s">
        <v>319</v>
      </c>
      <c r="C58" s="316" t="s">
        <v>536</v>
      </c>
      <c r="D58" s="316" t="s">
        <v>601</v>
      </c>
      <c r="E58" s="316" t="s">
        <v>630</v>
      </c>
      <c r="F58" s="62" t="s">
        <v>618</v>
      </c>
      <c r="G58" s="62" t="s">
        <v>629</v>
      </c>
      <c r="H58" s="62">
        <v>0</v>
      </c>
      <c r="I58" s="62" t="s">
        <v>629</v>
      </c>
      <c r="J58" s="62" t="s">
        <v>539</v>
      </c>
      <c r="K58" s="62">
        <v>0</v>
      </c>
      <c r="L58" s="62" t="s">
        <v>602</v>
      </c>
      <c r="M58" s="62">
        <v>60</v>
      </c>
      <c r="N58" s="62">
        <v>0</v>
      </c>
      <c r="O58" s="62">
        <v>600000</v>
      </c>
      <c r="P58" s="307">
        <f t="shared" si="0"/>
        <v>36000000</v>
      </c>
      <c r="Q58" s="62">
        <v>24</v>
      </c>
      <c r="R58" s="62">
        <v>60</v>
      </c>
      <c r="S58" s="62">
        <v>0.2</v>
      </c>
      <c r="T58" s="306">
        <v>1</v>
      </c>
    </row>
    <row r="59" spans="1:20">
      <c r="A59" s="311" t="s">
        <v>649</v>
      </c>
      <c r="B59" s="62" t="s">
        <v>319</v>
      </c>
      <c r="C59" s="316" t="s">
        <v>536</v>
      </c>
      <c r="D59" s="316" t="s">
        <v>635</v>
      </c>
      <c r="E59" s="316" t="s">
        <v>675</v>
      </c>
      <c r="F59" s="62" t="s">
        <v>631</v>
      </c>
      <c r="G59" s="62" t="s">
        <v>631</v>
      </c>
      <c r="H59" s="62">
        <v>0</v>
      </c>
      <c r="I59" s="62">
        <v>0</v>
      </c>
      <c r="J59" s="62" t="s">
        <v>539</v>
      </c>
      <c r="K59" s="62">
        <v>0</v>
      </c>
      <c r="L59" s="62" t="s">
        <v>602</v>
      </c>
      <c r="M59" s="62">
        <v>74</v>
      </c>
      <c r="N59" s="62">
        <v>0</v>
      </c>
      <c r="O59" s="62">
        <v>2600000</v>
      </c>
      <c r="P59" s="307">
        <f t="shared" si="0"/>
        <v>192400000</v>
      </c>
      <c r="Q59" s="62">
        <v>10</v>
      </c>
      <c r="R59" s="62">
        <v>74</v>
      </c>
      <c r="S59" s="62">
        <v>0.16216216216216217</v>
      </c>
      <c r="T59" s="306">
        <v>1</v>
      </c>
    </row>
    <row r="60" spans="1:20">
      <c r="A60" s="311" t="s">
        <v>650</v>
      </c>
      <c r="B60" s="62" t="s">
        <v>319</v>
      </c>
      <c r="C60" s="316" t="s">
        <v>636</v>
      </c>
      <c r="D60" s="316" t="s">
        <v>637</v>
      </c>
      <c r="E60" s="316" t="s">
        <v>675</v>
      </c>
      <c r="F60" s="62" t="s">
        <v>632</v>
      </c>
      <c r="G60" s="62" t="s">
        <v>632</v>
      </c>
      <c r="H60" s="62">
        <v>0</v>
      </c>
      <c r="I60" s="62">
        <v>0</v>
      </c>
      <c r="J60" s="62" t="s">
        <v>539</v>
      </c>
      <c r="K60" s="62">
        <v>0</v>
      </c>
      <c r="L60" s="62" t="s">
        <v>602</v>
      </c>
      <c r="M60" s="62">
        <v>74</v>
      </c>
      <c r="N60" s="62">
        <v>0</v>
      </c>
      <c r="O60" s="62">
        <v>2600000</v>
      </c>
      <c r="P60" s="307">
        <f t="shared" si="0"/>
        <v>192400000</v>
      </c>
      <c r="Q60" s="62">
        <v>10</v>
      </c>
      <c r="R60" s="62">
        <v>74</v>
      </c>
      <c r="S60" s="62">
        <v>0.16216216216216217</v>
      </c>
      <c r="T60" s="306">
        <v>1</v>
      </c>
    </row>
    <row r="61" spans="1:20">
      <c r="A61" s="311" t="s">
        <v>651</v>
      </c>
      <c r="B61" s="62" t="s">
        <v>319</v>
      </c>
      <c r="C61" s="316" t="s">
        <v>638</v>
      </c>
      <c r="D61" s="316" t="s">
        <v>634</v>
      </c>
      <c r="E61" s="316" t="s">
        <v>675</v>
      </c>
      <c r="F61" s="62" t="s">
        <v>633</v>
      </c>
      <c r="G61" s="62" t="s">
        <v>633</v>
      </c>
      <c r="H61" s="62">
        <v>0</v>
      </c>
      <c r="I61" s="62">
        <v>0</v>
      </c>
      <c r="J61" s="62" t="s">
        <v>539</v>
      </c>
      <c r="K61" s="62">
        <v>0</v>
      </c>
      <c r="L61" s="62" t="s">
        <v>602</v>
      </c>
      <c r="M61" s="62">
        <v>74</v>
      </c>
      <c r="N61" s="62">
        <v>0</v>
      </c>
      <c r="O61" s="62">
        <v>2600000</v>
      </c>
      <c r="P61" s="307">
        <f t="shared" si="0"/>
        <v>192400000</v>
      </c>
      <c r="Q61" s="62">
        <v>10</v>
      </c>
      <c r="R61" s="62">
        <v>74</v>
      </c>
      <c r="S61" s="62">
        <v>0.16216216216216217</v>
      </c>
      <c r="T61" s="306">
        <v>1</v>
      </c>
    </row>
    <row r="62" spans="1:20">
      <c r="A62" s="311" t="s">
        <v>652</v>
      </c>
      <c r="B62" s="62" t="s">
        <v>319</v>
      </c>
      <c r="C62" s="316" t="s">
        <v>536</v>
      </c>
      <c r="D62" s="316" t="s">
        <v>531</v>
      </c>
      <c r="E62" s="316" t="s">
        <v>537</v>
      </c>
      <c r="F62" s="316" t="s">
        <v>653</v>
      </c>
      <c r="G62" s="62" t="s">
        <v>654</v>
      </c>
      <c r="H62" s="62">
        <v>0</v>
      </c>
      <c r="I62" s="62">
        <v>0</v>
      </c>
      <c r="J62" s="62" t="s">
        <v>539</v>
      </c>
      <c r="K62" s="62">
        <v>0</v>
      </c>
      <c r="L62" s="62" t="s">
        <v>655</v>
      </c>
      <c r="M62" s="62">
        <v>2</v>
      </c>
      <c r="N62" s="62">
        <v>0</v>
      </c>
      <c r="O62" s="62">
        <v>21000000</v>
      </c>
      <c r="P62" s="307">
        <f t="shared" si="0"/>
        <v>42000000</v>
      </c>
      <c r="Q62" s="62">
        <v>0</v>
      </c>
      <c r="R62" s="62">
        <v>0</v>
      </c>
      <c r="S62" s="62">
        <v>0</v>
      </c>
      <c r="T62" s="306">
        <v>1</v>
      </c>
    </row>
    <row r="63" spans="1:20">
      <c r="A63" s="311" t="s">
        <v>665</v>
      </c>
      <c r="B63" s="62" t="s">
        <v>319</v>
      </c>
      <c r="C63" s="316" t="s">
        <v>536</v>
      </c>
      <c r="D63" s="316" t="s">
        <v>531</v>
      </c>
      <c r="E63" s="316" t="s">
        <v>537</v>
      </c>
      <c r="F63" s="62" t="s">
        <v>656</v>
      </c>
      <c r="G63" s="62" t="s">
        <v>657</v>
      </c>
      <c r="H63" s="62" t="s">
        <v>260</v>
      </c>
      <c r="I63" s="62">
        <v>0</v>
      </c>
      <c r="J63" s="316" t="s">
        <v>672</v>
      </c>
      <c r="K63" s="62">
        <v>0</v>
      </c>
      <c r="L63" s="62" t="s">
        <v>262</v>
      </c>
      <c r="M63" s="62">
        <v>6</v>
      </c>
      <c r="N63" s="62">
        <v>0</v>
      </c>
      <c r="O63" s="62">
        <v>9880194</v>
      </c>
      <c r="P63" s="307">
        <f t="shared" si="0"/>
        <v>59281164</v>
      </c>
      <c r="Q63" s="62">
        <v>0</v>
      </c>
      <c r="R63" s="62">
        <v>0</v>
      </c>
      <c r="S63" s="62">
        <v>0</v>
      </c>
      <c r="T63" s="306">
        <v>1</v>
      </c>
    </row>
    <row r="64" spans="1:20">
      <c r="A64" s="311" t="s">
        <v>666</v>
      </c>
      <c r="B64" s="62" t="s">
        <v>319</v>
      </c>
      <c r="C64" s="316" t="s">
        <v>536</v>
      </c>
      <c r="D64" s="316" t="s">
        <v>531</v>
      </c>
      <c r="E64" s="316" t="s">
        <v>537</v>
      </c>
      <c r="F64" s="62" t="s">
        <v>14</v>
      </c>
      <c r="G64" s="62" t="s">
        <v>658</v>
      </c>
      <c r="H64" s="62" t="s">
        <v>260</v>
      </c>
      <c r="I64" s="62">
        <v>0</v>
      </c>
      <c r="J64" s="316" t="s">
        <v>672</v>
      </c>
      <c r="K64" s="62">
        <v>0</v>
      </c>
      <c r="L64" s="62" t="s">
        <v>262</v>
      </c>
      <c r="M64" s="62">
        <v>6</v>
      </c>
      <c r="N64" s="62">
        <v>0</v>
      </c>
      <c r="O64" s="62">
        <v>9880194</v>
      </c>
      <c r="P64" s="307">
        <f t="shared" si="0"/>
        <v>59281164</v>
      </c>
      <c r="Q64" s="62">
        <v>0</v>
      </c>
      <c r="R64" s="62">
        <v>0</v>
      </c>
      <c r="S64" s="62">
        <v>0</v>
      </c>
      <c r="T64" s="306">
        <v>1</v>
      </c>
    </row>
    <row r="65" spans="1:20">
      <c r="A65" s="311" t="s">
        <v>667</v>
      </c>
      <c r="B65" s="62" t="s">
        <v>319</v>
      </c>
      <c r="C65" s="316" t="s">
        <v>536</v>
      </c>
      <c r="D65" s="316" t="s">
        <v>531</v>
      </c>
      <c r="E65" s="316" t="s">
        <v>537</v>
      </c>
      <c r="F65" s="62" t="s">
        <v>14</v>
      </c>
      <c r="G65" s="62" t="s">
        <v>659</v>
      </c>
      <c r="H65" s="62" t="s">
        <v>261</v>
      </c>
      <c r="I65" s="62">
        <v>0</v>
      </c>
      <c r="J65" s="316" t="s">
        <v>672</v>
      </c>
      <c r="K65" s="62">
        <v>0</v>
      </c>
      <c r="L65" s="62" t="s">
        <v>262</v>
      </c>
      <c r="M65" s="62">
        <v>4</v>
      </c>
      <c r="N65" s="62">
        <v>0</v>
      </c>
      <c r="O65" s="62">
        <v>8329880</v>
      </c>
      <c r="P65" s="307">
        <f t="shared" si="0"/>
        <v>33319520</v>
      </c>
      <c r="Q65" s="62">
        <v>0</v>
      </c>
      <c r="R65" s="62">
        <v>0</v>
      </c>
      <c r="S65" s="62">
        <v>0</v>
      </c>
      <c r="T65" s="306">
        <v>1</v>
      </c>
    </row>
    <row r="66" spans="1:20">
      <c r="A66" s="311" t="s">
        <v>668</v>
      </c>
      <c r="B66" s="62" t="s">
        <v>319</v>
      </c>
      <c r="C66" s="316" t="s">
        <v>536</v>
      </c>
      <c r="D66" s="316" t="s">
        <v>531</v>
      </c>
      <c r="E66" s="316" t="s">
        <v>537</v>
      </c>
      <c r="F66" s="62" t="s">
        <v>14</v>
      </c>
      <c r="G66" s="62" t="s">
        <v>660</v>
      </c>
      <c r="H66" s="62" t="s">
        <v>261</v>
      </c>
      <c r="I66" s="62">
        <v>0</v>
      </c>
      <c r="J66" s="316" t="s">
        <v>672</v>
      </c>
      <c r="K66" s="62">
        <v>0</v>
      </c>
      <c r="L66" s="62" t="s">
        <v>262</v>
      </c>
      <c r="M66" s="62">
        <v>4</v>
      </c>
      <c r="N66" s="62">
        <v>0</v>
      </c>
      <c r="O66" s="62">
        <v>8329880</v>
      </c>
      <c r="P66" s="307">
        <f t="shared" si="0"/>
        <v>33319520</v>
      </c>
      <c r="Q66" s="62">
        <v>0</v>
      </c>
      <c r="R66" s="62">
        <v>0</v>
      </c>
      <c r="S66" s="62">
        <v>0</v>
      </c>
      <c r="T66" s="306">
        <v>1</v>
      </c>
    </row>
    <row r="67" spans="1:20">
      <c r="A67" s="311" t="s">
        <v>669</v>
      </c>
      <c r="B67" s="62" t="s">
        <v>319</v>
      </c>
      <c r="C67" s="316" t="s">
        <v>536</v>
      </c>
      <c r="D67" s="316" t="s">
        <v>531</v>
      </c>
      <c r="E67" s="316" t="s">
        <v>537</v>
      </c>
      <c r="F67" s="62" t="s">
        <v>14</v>
      </c>
      <c r="G67" s="62" t="s">
        <v>661</v>
      </c>
      <c r="H67" s="62" t="s">
        <v>500</v>
      </c>
      <c r="I67" s="62">
        <v>0</v>
      </c>
      <c r="J67" s="316" t="s">
        <v>672</v>
      </c>
      <c r="K67" s="62">
        <v>0</v>
      </c>
      <c r="L67" s="62" t="s">
        <v>262</v>
      </c>
      <c r="M67" s="62">
        <v>4</v>
      </c>
      <c r="N67" s="62">
        <v>0</v>
      </c>
      <c r="O67" s="62">
        <v>7063018</v>
      </c>
      <c r="P67" s="307">
        <f t="shared" ref="P67:P107" si="1">M67*O67</f>
        <v>28252072</v>
      </c>
      <c r="Q67" s="62">
        <v>0</v>
      </c>
      <c r="R67" s="62">
        <v>0</v>
      </c>
      <c r="S67" s="62">
        <v>0</v>
      </c>
      <c r="T67" s="306">
        <v>1</v>
      </c>
    </row>
    <row r="68" spans="1:20">
      <c r="A68" s="311" t="s">
        <v>670</v>
      </c>
      <c r="B68" s="62" t="s">
        <v>319</v>
      </c>
      <c r="C68" s="316" t="s">
        <v>536</v>
      </c>
      <c r="D68" s="316" t="s">
        <v>531</v>
      </c>
      <c r="E68" s="316" t="s">
        <v>537</v>
      </c>
      <c r="F68" s="62" t="s">
        <v>662</v>
      </c>
      <c r="G68" s="62" t="s">
        <v>663</v>
      </c>
      <c r="H68" s="62" t="s">
        <v>261</v>
      </c>
      <c r="I68" s="62">
        <v>0</v>
      </c>
      <c r="J68" s="316" t="s">
        <v>672</v>
      </c>
      <c r="K68" s="62">
        <v>0</v>
      </c>
      <c r="L68" s="62" t="s">
        <v>262</v>
      </c>
      <c r="M68" s="62">
        <v>1</v>
      </c>
      <c r="N68" s="62">
        <v>0</v>
      </c>
      <c r="O68" s="62">
        <v>8329880</v>
      </c>
      <c r="P68" s="307">
        <f t="shared" si="1"/>
        <v>8329880</v>
      </c>
      <c r="Q68" s="62">
        <v>0</v>
      </c>
      <c r="R68" s="62">
        <v>0</v>
      </c>
      <c r="S68" s="62">
        <v>0</v>
      </c>
      <c r="T68" s="306">
        <v>1</v>
      </c>
    </row>
    <row r="69" spans="1:20">
      <c r="A69" s="311" t="s">
        <v>671</v>
      </c>
      <c r="B69" s="62" t="s">
        <v>319</v>
      </c>
      <c r="C69" s="316" t="s">
        <v>536</v>
      </c>
      <c r="D69" s="316" t="s">
        <v>531</v>
      </c>
      <c r="E69" s="316" t="s">
        <v>537</v>
      </c>
      <c r="F69" s="62" t="s">
        <v>514</v>
      </c>
      <c r="G69" s="62" t="s">
        <v>664</v>
      </c>
      <c r="H69" s="62" t="s">
        <v>260</v>
      </c>
      <c r="I69" s="62">
        <v>0</v>
      </c>
      <c r="J69" s="316" t="s">
        <v>672</v>
      </c>
      <c r="K69" s="62">
        <v>0</v>
      </c>
      <c r="L69" s="62" t="s">
        <v>262</v>
      </c>
      <c r="M69" s="62">
        <v>1</v>
      </c>
      <c r="N69" s="62">
        <v>0</v>
      </c>
      <c r="O69" s="62">
        <v>9880194</v>
      </c>
      <c r="P69" s="307">
        <f t="shared" si="1"/>
        <v>9880194</v>
      </c>
      <c r="Q69" s="62">
        <v>0</v>
      </c>
      <c r="R69" s="62">
        <v>0</v>
      </c>
      <c r="S69" s="62">
        <v>0</v>
      </c>
      <c r="T69" s="306">
        <v>1</v>
      </c>
    </row>
    <row r="70" spans="1:20">
      <c r="A70" s="311" t="s">
        <v>651</v>
      </c>
      <c r="B70" s="62" t="s">
        <v>319</v>
      </c>
      <c r="C70" s="316" t="s">
        <v>673</v>
      </c>
      <c r="D70" s="316" t="s">
        <v>634</v>
      </c>
      <c r="E70" s="316" t="s">
        <v>675</v>
      </c>
      <c r="F70" s="62" t="s">
        <v>674</v>
      </c>
      <c r="G70" s="62" t="s">
        <v>674</v>
      </c>
      <c r="H70" s="62">
        <v>0</v>
      </c>
      <c r="I70" s="62">
        <v>0</v>
      </c>
      <c r="J70" s="316" t="s">
        <v>672</v>
      </c>
      <c r="K70" s="62">
        <v>0</v>
      </c>
      <c r="L70" s="62" t="s">
        <v>602</v>
      </c>
      <c r="M70" s="62">
        <v>72</v>
      </c>
      <c r="N70" s="62">
        <v>0</v>
      </c>
      <c r="O70" s="62">
        <v>3768378</v>
      </c>
      <c r="P70" s="307">
        <f t="shared" si="1"/>
        <v>271323216</v>
      </c>
      <c r="Q70" s="62">
        <v>12</v>
      </c>
      <c r="R70" s="62">
        <v>72</v>
      </c>
      <c r="S70" s="62">
        <v>0.16666666666666666</v>
      </c>
      <c r="T70" s="306">
        <v>1</v>
      </c>
    </row>
    <row r="71" spans="1:20">
      <c r="A71" s="311" t="s">
        <v>671</v>
      </c>
      <c r="B71" s="62" t="s">
        <v>319</v>
      </c>
      <c r="C71" s="316" t="s">
        <v>800</v>
      </c>
      <c r="D71" s="316" t="s">
        <v>531</v>
      </c>
      <c r="E71" s="316" t="s">
        <v>735</v>
      </c>
      <c r="F71" s="62" t="s">
        <v>676</v>
      </c>
      <c r="G71" s="62" t="s">
        <v>677</v>
      </c>
      <c r="H71" s="62" t="s">
        <v>678</v>
      </c>
      <c r="I71" s="62">
        <v>0</v>
      </c>
      <c r="J71" s="62" t="s">
        <v>764</v>
      </c>
      <c r="K71" s="62">
        <v>0</v>
      </c>
      <c r="L71" s="62" t="s">
        <v>734</v>
      </c>
      <c r="M71" s="62">
        <v>2</v>
      </c>
      <c r="N71" s="62">
        <v>0</v>
      </c>
      <c r="O71" s="62">
        <v>7699940</v>
      </c>
      <c r="P71" s="307">
        <f t="shared" si="1"/>
        <v>15399880</v>
      </c>
      <c r="Q71" s="62">
        <v>48</v>
      </c>
      <c r="R71" s="62">
        <v>36</v>
      </c>
      <c r="S71" s="62">
        <v>0.04</v>
      </c>
      <c r="T71" s="306">
        <v>1</v>
      </c>
    </row>
    <row r="72" spans="1:20">
      <c r="A72" s="311" t="s">
        <v>736</v>
      </c>
      <c r="B72" s="62" t="s">
        <v>319</v>
      </c>
      <c r="C72" s="316" t="s">
        <v>800</v>
      </c>
      <c r="D72" s="316" t="s">
        <v>531</v>
      </c>
      <c r="E72" s="316" t="s">
        <v>735</v>
      </c>
      <c r="F72" s="62" t="s">
        <v>679</v>
      </c>
      <c r="G72" s="62" t="s">
        <v>677</v>
      </c>
      <c r="H72" s="62" t="s">
        <v>680</v>
      </c>
      <c r="I72" s="62">
        <v>0</v>
      </c>
      <c r="J72" s="62" t="s">
        <v>764</v>
      </c>
      <c r="K72" s="62">
        <v>0</v>
      </c>
      <c r="L72" s="62" t="s">
        <v>734</v>
      </c>
      <c r="M72" s="62">
        <v>2</v>
      </c>
      <c r="N72" s="62">
        <v>0</v>
      </c>
      <c r="O72" s="62">
        <v>7172560</v>
      </c>
      <c r="P72" s="307">
        <f t="shared" si="1"/>
        <v>14345120</v>
      </c>
      <c r="Q72" s="62">
        <v>48</v>
      </c>
      <c r="R72" s="62">
        <v>36</v>
      </c>
      <c r="S72" s="62">
        <v>0.04</v>
      </c>
      <c r="T72" s="306">
        <v>1</v>
      </c>
    </row>
    <row r="73" spans="1:20">
      <c r="A73" s="311" t="s">
        <v>737</v>
      </c>
      <c r="B73" s="62" t="s">
        <v>319</v>
      </c>
      <c r="C73" s="316" t="s">
        <v>800</v>
      </c>
      <c r="D73" s="316" t="s">
        <v>531</v>
      </c>
      <c r="E73" s="316" t="s">
        <v>735</v>
      </c>
      <c r="F73" s="62" t="s">
        <v>681</v>
      </c>
      <c r="G73" s="62" t="s">
        <v>677</v>
      </c>
      <c r="H73" s="62" t="s">
        <v>682</v>
      </c>
      <c r="I73" s="62">
        <v>0</v>
      </c>
      <c r="J73" s="62" t="s">
        <v>764</v>
      </c>
      <c r="K73" s="62">
        <v>0</v>
      </c>
      <c r="L73" s="62" t="s">
        <v>734</v>
      </c>
      <c r="M73" s="62">
        <v>2</v>
      </c>
      <c r="N73" s="62">
        <v>0</v>
      </c>
      <c r="O73" s="62">
        <v>9565360</v>
      </c>
      <c r="P73" s="307">
        <f t="shared" si="1"/>
        <v>19130720</v>
      </c>
      <c r="Q73" s="62">
        <v>48</v>
      </c>
      <c r="R73" s="62">
        <v>36</v>
      </c>
      <c r="S73" s="62">
        <v>0.04</v>
      </c>
      <c r="T73" s="306">
        <v>1</v>
      </c>
    </row>
    <row r="74" spans="1:20">
      <c r="A74" s="311" t="s">
        <v>738</v>
      </c>
      <c r="B74" s="62" t="s">
        <v>319</v>
      </c>
      <c r="C74" s="316" t="s">
        <v>801</v>
      </c>
      <c r="D74" s="316" t="s">
        <v>531</v>
      </c>
      <c r="E74" s="316" t="s">
        <v>735</v>
      </c>
      <c r="F74" s="62" t="s">
        <v>683</v>
      </c>
      <c r="G74" s="62" t="s">
        <v>677</v>
      </c>
      <c r="H74" s="62" t="s">
        <v>684</v>
      </c>
      <c r="I74" s="62">
        <v>0</v>
      </c>
      <c r="J74" s="62" t="s">
        <v>764</v>
      </c>
      <c r="K74" s="62">
        <v>0</v>
      </c>
      <c r="L74" s="62" t="s">
        <v>734</v>
      </c>
      <c r="M74" s="62">
        <v>3</v>
      </c>
      <c r="N74" s="62">
        <v>0</v>
      </c>
      <c r="O74" s="62">
        <v>14676370</v>
      </c>
      <c r="P74" s="307">
        <f t="shared" si="1"/>
        <v>44029110</v>
      </c>
      <c r="Q74" s="62">
        <v>48</v>
      </c>
      <c r="R74" s="62">
        <v>36</v>
      </c>
      <c r="S74" s="62">
        <v>0.04</v>
      </c>
      <c r="T74" s="306">
        <v>1</v>
      </c>
    </row>
    <row r="75" spans="1:20">
      <c r="A75" s="311" t="s">
        <v>739</v>
      </c>
      <c r="B75" s="62" t="s">
        <v>319</v>
      </c>
      <c r="C75" s="316" t="s">
        <v>800</v>
      </c>
      <c r="D75" s="316" t="s">
        <v>531</v>
      </c>
      <c r="E75" s="316" t="s">
        <v>735</v>
      </c>
      <c r="F75" s="62" t="s">
        <v>685</v>
      </c>
      <c r="G75" s="62" t="s">
        <v>677</v>
      </c>
      <c r="H75" s="62" t="s">
        <v>686</v>
      </c>
      <c r="I75" s="62">
        <v>0</v>
      </c>
      <c r="J75" s="62" t="s">
        <v>764</v>
      </c>
      <c r="K75" s="62">
        <v>0</v>
      </c>
      <c r="L75" s="62" t="s">
        <v>734</v>
      </c>
      <c r="M75" s="62">
        <v>2</v>
      </c>
      <c r="N75" s="62">
        <v>0</v>
      </c>
      <c r="O75" s="62">
        <v>9361120</v>
      </c>
      <c r="P75" s="307">
        <f t="shared" si="1"/>
        <v>18722240</v>
      </c>
      <c r="Q75" s="62">
        <v>48</v>
      </c>
      <c r="R75" s="62">
        <v>36</v>
      </c>
      <c r="S75" s="62">
        <v>0.04</v>
      </c>
      <c r="T75" s="306">
        <v>1</v>
      </c>
    </row>
    <row r="76" spans="1:20">
      <c r="A76" s="311" t="s">
        <v>740</v>
      </c>
      <c r="B76" s="62" t="s">
        <v>319</v>
      </c>
      <c r="C76" s="316" t="s">
        <v>800</v>
      </c>
      <c r="D76" s="316" t="s">
        <v>531</v>
      </c>
      <c r="E76" s="316" t="s">
        <v>735</v>
      </c>
      <c r="F76" s="62" t="s">
        <v>687</v>
      </c>
      <c r="G76" s="62" t="s">
        <v>677</v>
      </c>
      <c r="H76" s="62" t="s">
        <v>686</v>
      </c>
      <c r="I76" s="62">
        <v>0</v>
      </c>
      <c r="J76" s="62" t="s">
        <v>764</v>
      </c>
      <c r="K76" s="62">
        <v>0</v>
      </c>
      <c r="L76" s="62" t="s">
        <v>734</v>
      </c>
      <c r="M76" s="62">
        <v>2</v>
      </c>
      <c r="N76" s="62">
        <v>0</v>
      </c>
      <c r="O76" s="62">
        <v>9361120</v>
      </c>
      <c r="P76" s="307">
        <f t="shared" si="1"/>
        <v>18722240</v>
      </c>
      <c r="Q76" s="62">
        <v>48</v>
      </c>
      <c r="R76" s="62">
        <v>36</v>
      </c>
      <c r="S76" s="62">
        <v>0.04</v>
      </c>
      <c r="T76" s="306">
        <v>1</v>
      </c>
    </row>
    <row r="77" spans="1:20">
      <c r="A77" s="311" t="s">
        <v>741</v>
      </c>
      <c r="B77" s="62" t="s">
        <v>319</v>
      </c>
      <c r="C77" s="316" t="s">
        <v>800</v>
      </c>
      <c r="D77" s="316" t="s">
        <v>531</v>
      </c>
      <c r="E77" s="316" t="s">
        <v>735</v>
      </c>
      <c r="F77" s="62" t="s">
        <v>688</v>
      </c>
      <c r="G77" s="62" t="s">
        <v>689</v>
      </c>
      <c r="H77" s="62" t="s">
        <v>690</v>
      </c>
      <c r="I77" s="62">
        <v>0</v>
      </c>
      <c r="J77" s="62" t="s">
        <v>764</v>
      </c>
      <c r="K77" s="62">
        <v>0</v>
      </c>
      <c r="L77" s="62" t="s">
        <v>734</v>
      </c>
      <c r="M77" s="62">
        <v>2</v>
      </c>
      <c r="N77" s="62">
        <v>0</v>
      </c>
      <c r="O77" s="62">
        <v>4548800</v>
      </c>
      <c r="P77" s="307">
        <f t="shared" si="1"/>
        <v>9097600</v>
      </c>
      <c r="Q77" s="62">
        <v>48</v>
      </c>
      <c r="R77" s="62">
        <v>36</v>
      </c>
      <c r="S77" s="62">
        <v>0.04</v>
      </c>
      <c r="T77" s="306">
        <v>1</v>
      </c>
    </row>
    <row r="78" spans="1:20">
      <c r="A78" s="311" t="s">
        <v>742</v>
      </c>
      <c r="B78" s="62" t="s">
        <v>319</v>
      </c>
      <c r="C78" s="316" t="s">
        <v>801</v>
      </c>
      <c r="D78" s="316" t="s">
        <v>531</v>
      </c>
      <c r="E78" s="316" t="s">
        <v>735</v>
      </c>
      <c r="F78" s="62" t="s">
        <v>691</v>
      </c>
      <c r="G78" s="62" t="s">
        <v>689</v>
      </c>
      <c r="H78" s="62" t="s">
        <v>690</v>
      </c>
      <c r="I78" s="62">
        <v>0</v>
      </c>
      <c r="J78" s="62" t="s">
        <v>764</v>
      </c>
      <c r="K78" s="62">
        <v>0</v>
      </c>
      <c r="L78" s="62" t="s">
        <v>734</v>
      </c>
      <c r="M78" s="62">
        <v>2</v>
      </c>
      <c r="N78" s="62">
        <v>0</v>
      </c>
      <c r="O78" s="62">
        <v>4548800</v>
      </c>
      <c r="P78" s="307">
        <f t="shared" si="1"/>
        <v>9097600</v>
      </c>
      <c r="Q78" s="62">
        <v>48</v>
      </c>
      <c r="R78" s="62">
        <v>36</v>
      </c>
      <c r="S78" s="62">
        <v>0.04</v>
      </c>
      <c r="T78" s="306">
        <v>1</v>
      </c>
    </row>
    <row r="79" spans="1:20">
      <c r="A79" s="311" t="s">
        <v>743</v>
      </c>
      <c r="B79" s="62" t="s">
        <v>319</v>
      </c>
      <c r="C79" s="316" t="s">
        <v>800</v>
      </c>
      <c r="D79" s="316" t="s">
        <v>531</v>
      </c>
      <c r="E79" s="316" t="s">
        <v>735</v>
      </c>
      <c r="F79" s="62" t="s">
        <v>692</v>
      </c>
      <c r="G79" s="62" t="s">
        <v>689</v>
      </c>
      <c r="H79" s="62" t="s">
        <v>693</v>
      </c>
      <c r="I79" s="62">
        <v>0</v>
      </c>
      <c r="J79" s="62" t="s">
        <v>764</v>
      </c>
      <c r="K79" s="62">
        <v>0</v>
      </c>
      <c r="L79" s="62" t="s">
        <v>734</v>
      </c>
      <c r="M79" s="62">
        <v>2</v>
      </c>
      <c r="N79" s="62">
        <v>0</v>
      </c>
      <c r="O79" s="62">
        <v>6943980</v>
      </c>
      <c r="P79" s="307">
        <f t="shared" si="1"/>
        <v>13887960</v>
      </c>
      <c r="Q79" s="62">
        <v>48</v>
      </c>
      <c r="R79" s="62">
        <v>36</v>
      </c>
      <c r="S79" s="62">
        <v>0.04</v>
      </c>
      <c r="T79" s="306">
        <v>1</v>
      </c>
    </row>
    <row r="80" spans="1:20">
      <c r="A80" s="311" t="s">
        <v>744</v>
      </c>
      <c r="B80" s="62" t="s">
        <v>319</v>
      </c>
      <c r="C80" s="316" t="s">
        <v>800</v>
      </c>
      <c r="D80" s="316" t="s">
        <v>531</v>
      </c>
      <c r="E80" s="316" t="s">
        <v>735</v>
      </c>
      <c r="F80" s="62" t="s">
        <v>694</v>
      </c>
      <c r="G80" s="62" t="s">
        <v>689</v>
      </c>
      <c r="H80" s="62" t="s">
        <v>690</v>
      </c>
      <c r="I80" s="62">
        <v>0</v>
      </c>
      <c r="J80" s="62" t="s">
        <v>764</v>
      </c>
      <c r="K80" s="62">
        <v>0</v>
      </c>
      <c r="L80" s="62" t="s">
        <v>734</v>
      </c>
      <c r="M80" s="62">
        <v>2</v>
      </c>
      <c r="N80" s="62">
        <v>0</v>
      </c>
      <c r="O80" s="62">
        <v>4548800</v>
      </c>
      <c r="P80" s="307">
        <f t="shared" si="1"/>
        <v>9097600</v>
      </c>
      <c r="Q80" s="62">
        <v>48</v>
      </c>
      <c r="R80" s="62">
        <v>36</v>
      </c>
      <c r="S80" s="62">
        <v>0.04</v>
      </c>
      <c r="T80" s="306">
        <v>1</v>
      </c>
    </row>
    <row r="81" spans="1:20">
      <c r="A81" s="311" t="s">
        <v>745</v>
      </c>
      <c r="B81" s="62" t="s">
        <v>319</v>
      </c>
      <c r="C81" s="316" t="s">
        <v>800</v>
      </c>
      <c r="D81" s="316" t="s">
        <v>531</v>
      </c>
      <c r="E81" s="316" t="s">
        <v>735</v>
      </c>
      <c r="F81" s="62" t="s">
        <v>695</v>
      </c>
      <c r="G81" s="62" t="s">
        <v>689</v>
      </c>
      <c r="H81" s="62" t="s">
        <v>696</v>
      </c>
      <c r="I81" s="62">
        <v>0</v>
      </c>
      <c r="J81" s="62" t="s">
        <v>764</v>
      </c>
      <c r="K81" s="62">
        <v>0</v>
      </c>
      <c r="L81" s="62" t="s">
        <v>734</v>
      </c>
      <c r="M81" s="62">
        <v>1</v>
      </c>
      <c r="N81" s="62">
        <v>0</v>
      </c>
      <c r="O81" s="62">
        <v>5931600</v>
      </c>
      <c r="P81" s="307">
        <f t="shared" si="1"/>
        <v>5931600</v>
      </c>
      <c r="Q81" s="62">
        <v>48</v>
      </c>
      <c r="R81" s="62">
        <v>36</v>
      </c>
      <c r="S81" s="62">
        <v>0.04</v>
      </c>
      <c r="T81" s="306">
        <v>1</v>
      </c>
    </row>
    <row r="82" spans="1:20">
      <c r="A82" s="311" t="s">
        <v>746</v>
      </c>
      <c r="B82" s="62" t="s">
        <v>319</v>
      </c>
      <c r="C82" s="316" t="s">
        <v>800</v>
      </c>
      <c r="D82" s="316" t="s">
        <v>531</v>
      </c>
      <c r="E82" s="316" t="s">
        <v>735</v>
      </c>
      <c r="F82" s="62" t="s">
        <v>697</v>
      </c>
      <c r="G82" s="62" t="s">
        <v>689</v>
      </c>
      <c r="H82" s="62" t="s">
        <v>690</v>
      </c>
      <c r="I82" s="62">
        <v>0</v>
      </c>
      <c r="J82" s="62" t="s">
        <v>764</v>
      </c>
      <c r="K82" s="62">
        <v>0</v>
      </c>
      <c r="L82" s="62" t="s">
        <v>734</v>
      </c>
      <c r="M82" s="62">
        <v>2</v>
      </c>
      <c r="N82" s="62">
        <v>0</v>
      </c>
      <c r="O82" s="62">
        <v>4548800</v>
      </c>
      <c r="P82" s="307">
        <f t="shared" si="1"/>
        <v>9097600</v>
      </c>
      <c r="Q82" s="62">
        <v>48</v>
      </c>
      <c r="R82" s="62">
        <v>36</v>
      </c>
      <c r="S82" s="62">
        <v>0.04</v>
      </c>
      <c r="T82" s="306">
        <v>1</v>
      </c>
    </row>
    <row r="83" spans="1:20">
      <c r="A83" s="311" t="s">
        <v>747</v>
      </c>
      <c r="B83" s="62" t="s">
        <v>319</v>
      </c>
      <c r="C83" s="316" t="s">
        <v>800</v>
      </c>
      <c r="D83" s="316" t="s">
        <v>531</v>
      </c>
      <c r="E83" s="316" t="s">
        <v>735</v>
      </c>
      <c r="F83" s="62" t="s">
        <v>698</v>
      </c>
      <c r="G83" s="62" t="s">
        <v>677</v>
      </c>
      <c r="H83" s="62" t="s">
        <v>699</v>
      </c>
      <c r="I83" s="62">
        <v>0</v>
      </c>
      <c r="J83" s="62" t="s">
        <v>764</v>
      </c>
      <c r="K83" s="62">
        <v>0</v>
      </c>
      <c r="L83" s="62" t="s">
        <v>734</v>
      </c>
      <c r="M83" s="62">
        <v>2</v>
      </c>
      <c r="N83" s="62">
        <v>0</v>
      </c>
      <c r="O83" s="62">
        <v>12465240</v>
      </c>
      <c r="P83" s="307">
        <f t="shared" si="1"/>
        <v>24930480</v>
      </c>
      <c r="Q83" s="62">
        <v>48</v>
      </c>
      <c r="R83" s="62">
        <v>36</v>
      </c>
      <c r="S83" s="62">
        <v>0.04</v>
      </c>
      <c r="T83" s="306">
        <v>1</v>
      </c>
    </row>
    <row r="84" spans="1:20">
      <c r="A84" s="311" t="s">
        <v>748</v>
      </c>
      <c r="B84" s="62" t="s">
        <v>319</v>
      </c>
      <c r="C84" s="316" t="s">
        <v>800</v>
      </c>
      <c r="D84" s="316" t="s">
        <v>531</v>
      </c>
      <c r="E84" s="316" t="s">
        <v>735</v>
      </c>
      <c r="F84" s="62" t="s">
        <v>700</v>
      </c>
      <c r="G84" s="62" t="s">
        <v>677</v>
      </c>
      <c r="H84" s="62" t="s">
        <v>701</v>
      </c>
      <c r="I84" s="62">
        <v>0</v>
      </c>
      <c r="J84" s="62" t="s">
        <v>764</v>
      </c>
      <c r="K84" s="62">
        <v>0</v>
      </c>
      <c r="L84" s="62" t="s">
        <v>734</v>
      </c>
      <c r="M84" s="62">
        <v>1</v>
      </c>
      <c r="N84" s="62">
        <v>0</v>
      </c>
      <c r="O84" s="62">
        <v>12704010</v>
      </c>
      <c r="P84" s="307">
        <f t="shared" si="1"/>
        <v>12704010</v>
      </c>
      <c r="Q84" s="62">
        <v>48</v>
      </c>
      <c r="R84" s="62">
        <v>36</v>
      </c>
      <c r="S84" s="62">
        <v>0.04</v>
      </c>
      <c r="T84" s="306">
        <v>1</v>
      </c>
    </row>
    <row r="85" spans="1:20">
      <c r="A85" s="311" t="s">
        <v>749</v>
      </c>
      <c r="B85" s="62" t="s">
        <v>319</v>
      </c>
      <c r="C85" s="316" t="s">
        <v>800</v>
      </c>
      <c r="D85" s="316" t="s">
        <v>531</v>
      </c>
      <c r="E85" s="316" t="s">
        <v>735</v>
      </c>
      <c r="F85" s="62" t="s">
        <v>702</v>
      </c>
      <c r="G85" s="62" t="s">
        <v>703</v>
      </c>
      <c r="H85" s="62" t="s">
        <v>704</v>
      </c>
      <c r="I85" s="62">
        <v>0</v>
      </c>
      <c r="J85" s="62" t="s">
        <v>764</v>
      </c>
      <c r="K85" s="62">
        <v>0</v>
      </c>
      <c r="L85" s="62" t="s">
        <v>734</v>
      </c>
      <c r="M85" s="62">
        <v>1</v>
      </c>
      <c r="N85" s="62">
        <v>0</v>
      </c>
      <c r="O85" s="62">
        <v>43000000</v>
      </c>
      <c r="P85" s="307">
        <f t="shared" si="1"/>
        <v>43000000</v>
      </c>
      <c r="Q85" s="62">
        <v>48</v>
      </c>
      <c r="R85" s="62">
        <v>36</v>
      </c>
      <c r="S85" s="62">
        <v>0.08</v>
      </c>
      <c r="T85" s="306">
        <v>1</v>
      </c>
    </row>
    <row r="86" spans="1:20">
      <c r="A86" s="311" t="s">
        <v>750</v>
      </c>
      <c r="B86" s="62" t="s">
        <v>319</v>
      </c>
      <c r="C86" s="316" t="s">
        <v>800</v>
      </c>
      <c r="D86" s="316" t="s">
        <v>531</v>
      </c>
      <c r="E86" s="316" t="s">
        <v>735</v>
      </c>
      <c r="F86" s="62" t="s">
        <v>705</v>
      </c>
      <c r="G86" s="62" t="s">
        <v>703</v>
      </c>
      <c r="H86" s="62" t="s">
        <v>706</v>
      </c>
      <c r="I86" s="62">
        <v>0</v>
      </c>
      <c r="J86" s="62" t="s">
        <v>764</v>
      </c>
      <c r="K86" s="62">
        <v>0</v>
      </c>
      <c r="L86" s="62" t="s">
        <v>734</v>
      </c>
      <c r="M86" s="62">
        <v>1</v>
      </c>
      <c r="N86" s="62">
        <v>0</v>
      </c>
      <c r="O86" s="62">
        <v>41000000</v>
      </c>
      <c r="P86" s="307">
        <f t="shared" si="1"/>
        <v>41000000</v>
      </c>
      <c r="Q86" s="62">
        <v>48</v>
      </c>
      <c r="R86" s="62">
        <v>36</v>
      </c>
      <c r="S86" s="62">
        <v>0.08</v>
      </c>
      <c r="T86" s="306">
        <v>1</v>
      </c>
    </row>
    <row r="87" spans="1:20">
      <c r="A87" s="311" t="s">
        <v>751</v>
      </c>
      <c r="B87" s="62" t="s">
        <v>319</v>
      </c>
      <c r="C87" s="316" t="s">
        <v>800</v>
      </c>
      <c r="D87" s="316" t="s">
        <v>531</v>
      </c>
      <c r="E87" s="316" t="s">
        <v>735</v>
      </c>
      <c r="F87" s="62" t="s">
        <v>707</v>
      </c>
      <c r="G87" s="62" t="s">
        <v>708</v>
      </c>
      <c r="H87" s="62" t="s">
        <v>709</v>
      </c>
      <c r="I87" s="62">
        <v>0</v>
      </c>
      <c r="J87" s="62" t="s">
        <v>764</v>
      </c>
      <c r="K87" s="62">
        <v>0</v>
      </c>
      <c r="L87" s="62" t="s">
        <v>734</v>
      </c>
      <c r="M87" s="62">
        <v>2</v>
      </c>
      <c r="N87" s="62">
        <v>0</v>
      </c>
      <c r="O87" s="62">
        <v>6624450</v>
      </c>
      <c r="P87" s="307">
        <f t="shared" si="1"/>
        <v>13248900</v>
      </c>
      <c r="Q87" s="62">
        <v>24</v>
      </c>
      <c r="R87" s="62">
        <v>60</v>
      </c>
      <c r="S87" s="62">
        <v>0.04</v>
      </c>
      <c r="T87" s="306">
        <v>1</v>
      </c>
    </row>
    <row r="88" spans="1:20">
      <c r="A88" s="311" t="s">
        <v>752</v>
      </c>
      <c r="B88" s="62" t="s">
        <v>319</v>
      </c>
      <c r="C88" s="316" t="s">
        <v>800</v>
      </c>
      <c r="D88" s="316" t="s">
        <v>531</v>
      </c>
      <c r="E88" s="316" t="s">
        <v>735</v>
      </c>
      <c r="F88" s="62" t="s">
        <v>710</v>
      </c>
      <c r="G88" s="62" t="s">
        <v>711</v>
      </c>
      <c r="H88" s="62" t="s">
        <v>712</v>
      </c>
      <c r="I88" s="62">
        <v>0</v>
      </c>
      <c r="J88" s="62" t="s">
        <v>764</v>
      </c>
      <c r="K88" s="62">
        <v>0</v>
      </c>
      <c r="L88" s="62" t="s">
        <v>734</v>
      </c>
      <c r="M88" s="62">
        <v>2</v>
      </c>
      <c r="N88" s="62">
        <v>0</v>
      </c>
      <c r="O88" s="62">
        <v>8100000</v>
      </c>
      <c r="P88" s="307">
        <f t="shared" si="1"/>
        <v>16200000</v>
      </c>
      <c r="Q88" s="62">
        <v>48</v>
      </c>
      <c r="R88" s="62">
        <v>36</v>
      </c>
      <c r="S88" s="62">
        <v>0.1</v>
      </c>
      <c r="T88" s="306">
        <v>1</v>
      </c>
    </row>
    <row r="89" spans="1:20">
      <c r="A89" s="311" t="s">
        <v>753</v>
      </c>
      <c r="B89" s="62" t="s">
        <v>319</v>
      </c>
      <c r="C89" s="316" t="s">
        <v>801</v>
      </c>
      <c r="D89" s="316" t="s">
        <v>531</v>
      </c>
      <c r="E89" s="316" t="s">
        <v>735</v>
      </c>
      <c r="F89" s="62" t="s">
        <v>713</v>
      </c>
      <c r="G89" s="62" t="s">
        <v>714</v>
      </c>
      <c r="H89" s="62" t="s">
        <v>715</v>
      </c>
      <c r="I89" s="62">
        <v>0</v>
      </c>
      <c r="J89" s="62" t="s">
        <v>764</v>
      </c>
      <c r="K89" s="62">
        <v>0</v>
      </c>
      <c r="L89" s="62" t="s">
        <v>734</v>
      </c>
      <c r="M89" s="62">
        <v>2</v>
      </c>
      <c r="N89" s="62">
        <v>0</v>
      </c>
      <c r="O89" s="62">
        <v>33000000</v>
      </c>
      <c r="P89" s="307">
        <f t="shared" si="1"/>
        <v>66000000</v>
      </c>
      <c r="Q89" s="62">
        <v>24</v>
      </c>
      <c r="R89" s="62">
        <v>60</v>
      </c>
      <c r="S89" s="62">
        <v>0.1</v>
      </c>
      <c r="T89" s="306">
        <v>1</v>
      </c>
    </row>
    <row r="90" spans="1:20">
      <c r="A90" s="311" t="s">
        <v>754</v>
      </c>
      <c r="B90" s="62" t="s">
        <v>319</v>
      </c>
      <c r="C90" s="316" t="s">
        <v>801</v>
      </c>
      <c r="D90" s="316" t="s">
        <v>531</v>
      </c>
      <c r="E90" s="316" t="s">
        <v>735</v>
      </c>
      <c r="F90" s="62" t="s">
        <v>716</v>
      </c>
      <c r="G90" s="62" t="s">
        <v>717</v>
      </c>
      <c r="H90" s="62" t="s">
        <v>718</v>
      </c>
      <c r="I90" s="62">
        <v>0</v>
      </c>
      <c r="J90" s="62" t="s">
        <v>764</v>
      </c>
      <c r="K90" s="62">
        <v>0</v>
      </c>
      <c r="L90" s="62" t="s">
        <v>734</v>
      </c>
      <c r="M90" s="62">
        <v>2</v>
      </c>
      <c r="N90" s="62">
        <v>0</v>
      </c>
      <c r="O90" s="62">
        <v>10500000</v>
      </c>
      <c r="P90" s="307">
        <f t="shared" si="1"/>
        <v>21000000</v>
      </c>
      <c r="Q90" s="62">
        <v>24</v>
      </c>
      <c r="R90" s="62">
        <v>60</v>
      </c>
      <c r="S90" s="62">
        <v>0.1</v>
      </c>
      <c r="T90" s="306">
        <v>1</v>
      </c>
    </row>
    <row r="91" spans="1:20">
      <c r="A91" s="311" t="s">
        <v>755</v>
      </c>
      <c r="B91" s="62" t="s">
        <v>319</v>
      </c>
      <c r="C91" s="316" t="s">
        <v>801</v>
      </c>
      <c r="D91" s="316" t="s">
        <v>531</v>
      </c>
      <c r="E91" s="316" t="s">
        <v>735</v>
      </c>
      <c r="F91" s="62" t="s">
        <v>719</v>
      </c>
      <c r="G91" s="62" t="s">
        <v>720</v>
      </c>
      <c r="H91" s="62" t="s">
        <v>721</v>
      </c>
      <c r="I91" s="62">
        <v>0</v>
      </c>
      <c r="J91" s="62" t="s">
        <v>764</v>
      </c>
      <c r="K91" s="62">
        <v>0</v>
      </c>
      <c r="L91" s="62" t="s">
        <v>734</v>
      </c>
      <c r="M91" s="62">
        <v>2</v>
      </c>
      <c r="N91" s="62">
        <v>0</v>
      </c>
      <c r="O91" s="62">
        <v>9500000</v>
      </c>
      <c r="P91" s="307">
        <f t="shared" si="1"/>
        <v>19000000</v>
      </c>
      <c r="Q91" s="62">
        <v>24</v>
      </c>
      <c r="R91" s="62">
        <v>60</v>
      </c>
      <c r="S91" s="62">
        <v>0.1</v>
      </c>
      <c r="T91" s="306">
        <v>1</v>
      </c>
    </row>
    <row r="92" spans="1:20">
      <c r="A92" s="311" t="s">
        <v>756</v>
      </c>
      <c r="B92" s="62" t="s">
        <v>319</v>
      </c>
      <c r="C92" s="316" t="s">
        <v>801</v>
      </c>
      <c r="D92" s="316" t="s">
        <v>531</v>
      </c>
      <c r="E92" s="316" t="s">
        <v>735</v>
      </c>
      <c r="F92" s="62" t="s">
        <v>722</v>
      </c>
      <c r="G92" s="62" t="s">
        <v>723</v>
      </c>
      <c r="H92" s="62" t="s">
        <v>724</v>
      </c>
      <c r="I92" s="62">
        <v>0</v>
      </c>
      <c r="J92" s="62" t="s">
        <v>764</v>
      </c>
      <c r="K92" s="62">
        <v>0</v>
      </c>
      <c r="L92" s="62" t="s">
        <v>262</v>
      </c>
      <c r="M92" s="62">
        <v>25</v>
      </c>
      <c r="N92" s="62">
        <v>0</v>
      </c>
      <c r="O92" s="62">
        <v>500000</v>
      </c>
      <c r="P92" s="307">
        <f t="shared" si="1"/>
        <v>12500000</v>
      </c>
      <c r="Q92" s="62">
        <v>0</v>
      </c>
      <c r="R92" s="62">
        <v>0</v>
      </c>
      <c r="S92" s="62">
        <v>0</v>
      </c>
      <c r="T92" s="306">
        <v>1</v>
      </c>
    </row>
    <row r="93" spans="1:20">
      <c r="A93" s="311" t="s">
        <v>757</v>
      </c>
      <c r="B93" s="62" t="s">
        <v>319</v>
      </c>
      <c r="C93" s="316" t="s">
        <v>800</v>
      </c>
      <c r="D93" s="316" t="s">
        <v>531</v>
      </c>
      <c r="E93" s="316" t="s">
        <v>735</v>
      </c>
      <c r="F93" s="62" t="s">
        <v>725</v>
      </c>
      <c r="G93" s="62" t="s">
        <v>726</v>
      </c>
      <c r="H93" s="62" t="s">
        <v>727</v>
      </c>
      <c r="I93" s="62">
        <v>0</v>
      </c>
      <c r="J93" s="62" t="s">
        <v>764</v>
      </c>
      <c r="K93" s="62">
        <v>0</v>
      </c>
      <c r="L93" s="62" t="s">
        <v>734</v>
      </c>
      <c r="M93" s="62">
        <v>1</v>
      </c>
      <c r="N93" s="62">
        <v>0</v>
      </c>
      <c r="O93" s="62">
        <v>4000000</v>
      </c>
      <c r="P93" s="307">
        <f t="shared" si="1"/>
        <v>4000000</v>
      </c>
      <c r="Q93" s="62">
        <v>0</v>
      </c>
      <c r="R93" s="62">
        <v>0</v>
      </c>
      <c r="S93" s="62">
        <v>0</v>
      </c>
      <c r="T93" s="306">
        <v>1</v>
      </c>
    </row>
    <row r="94" spans="1:20">
      <c r="A94" s="311" t="s">
        <v>758</v>
      </c>
      <c r="B94" s="62" t="s">
        <v>319</v>
      </c>
      <c r="C94" s="316" t="s">
        <v>802</v>
      </c>
      <c r="D94" s="316" t="s">
        <v>531</v>
      </c>
      <c r="E94" s="316" t="s">
        <v>735</v>
      </c>
      <c r="F94" s="62" t="s">
        <v>728</v>
      </c>
      <c r="G94" s="62" t="s">
        <v>729</v>
      </c>
      <c r="H94" s="62" t="s">
        <v>730</v>
      </c>
      <c r="I94" s="62">
        <v>0</v>
      </c>
      <c r="J94" s="62" t="s">
        <v>764</v>
      </c>
      <c r="K94" s="62">
        <v>0</v>
      </c>
      <c r="L94" s="62" t="s">
        <v>734</v>
      </c>
      <c r="M94" s="62">
        <v>30</v>
      </c>
      <c r="N94" s="62">
        <v>0</v>
      </c>
      <c r="O94" s="62">
        <v>100000</v>
      </c>
      <c r="P94" s="307">
        <f t="shared" si="1"/>
        <v>3000000</v>
      </c>
      <c r="Q94" s="62">
        <v>0</v>
      </c>
      <c r="R94" s="62">
        <v>0</v>
      </c>
      <c r="S94" s="62">
        <v>0</v>
      </c>
      <c r="T94" s="306">
        <v>1</v>
      </c>
    </row>
    <row r="95" spans="1:20">
      <c r="A95" s="311" t="s">
        <v>759</v>
      </c>
      <c r="B95" s="62" t="s">
        <v>319</v>
      </c>
      <c r="C95" s="316" t="s">
        <v>801</v>
      </c>
      <c r="D95" s="316" t="s">
        <v>531</v>
      </c>
      <c r="E95" s="316" t="s">
        <v>735</v>
      </c>
      <c r="F95" s="62" t="s">
        <v>731</v>
      </c>
      <c r="G95" s="62" t="s">
        <v>732</v>
      </c>
      <c r="H95" s="62" t="s">
        <v>733</v>
      </c>
      <c r="I95" s="62">
        <v>0</v>
      </c>
      <c r="J95" s="62" t="s">
        <v>764</v>
      </c>
      <c r="K95" s="62">
        <v>0</v>
      </c>
      <c r="L95" s="62" t="s">
        <v>734</v>
      </c>
      <c r="M95" s="62">
        <v>2</v>
      </c>
      <c r="N95" s="62">
        <v>0</v>
      </c>
      <c r="O95" s="62">
        <v>500000</v>
      </c>
      <c r="P95" s="307">
        <f t="shared" si="1"/>
        <v>1000000</v>
      </c>
      <c r="Q95" s="62">
        <v>0</v>
      </c>
      <c r="R95" s="62">
        <v>0</v>
      </c>
      <c r="S95" s="62">
        <v>0</v>
      </c>
      <c r="T95" s="306">
        <v>1</v>
      </c>
    </row>
    <row r="96" spans="1:20">
      <c r="A96" s="311" t="s">
        <v>765</v>
      </c>
      <c r="B96" s="62" t="s">
        <v>319</v>
      </c>
      <c r="C96" s="316" t="s">
        <v>800</v>
      </c>
      <c r="D96" s="316" t="s">
        <v>531</v>
      </c>
      <c r="E96" s="316" t="s">
        <v>735</v>
      </c>
      <c r="F96" s="62" t="s">
        <v>760</v>
      </c>
      <c r="G96" s="62" t="s">
        <v>677</v>
      </c>
      <c r="H96" s="62" t="s">
        <v>684</v>
      </c>
      <c r="I96" s="62">
        <v>0</v>
      </c>
      <c r="J96" s="62" t="s">
        <v>764</v>
      </c>
      <c r="K96" s="62">
        <v>0</v>
      </c>
      <c r="L96" s="62" t="s">
        <v>734</v>
      </c>
      <c r="M96" s="62">
        <v>1</v>
      </c>
      <c r="N96" s="62">
        <v>0</v>
      </c>
      <c r="O96" s="62">
        <v>14676370</v>
      </c>
      <c r="P96" s="307">
        <f t="shared" si="1"/>
        <v>14676370</v>
      </c>
      <c r="Q96" s="62">
        <f t="shared" ref="Q96:Q108" si="2">84-R96</f>
        <v>48</v>
      </c>
      <c r="R96" s="62">
        <v>36</v>
      </c>
      <c r="S96" s="62">
        <v>0.04</v>
      </c>
      <c r="T96" s="306">
        <v>1</v>
      </c>
    </row>
    <row r="97" spans="1:20">
      <c r="A97" s="311" t="s">
        <v>766</v>
      </c>
      <c r="B97" s="62" t="s">
        <v>319</v>
      </c>
      <c r="C97" s="316" t="s">
        <v>800</v>
      </c>
      <c r="D97" s="316" t="s">
        <v>531</v>
      </c>
      <c r="E97" s="316" t="s">
        <v>735</v>
      </c>
      <c r="F97" s="62" t="s">
        <v>685</v>
      </c>
      <c r="G97" s="62" t="s">
        <v>677</v>
      </c>
      <c r="H97" s="62" t="s">
        <v>686</v>
      </c>
      <c r="I97" s="62">
        <v>0</v>
      </c>
      <c r="J97" s="62" t="s">
        <v>764</v>
      </c>
      <c r="K97" s="62">
        <v>0</v>
      </c>
      <c r="L97" s="62" t="s">
        <v>734</v>
      </c>
      <c r="M97" s="62">
        <v>1</v>
      </c>
      <c r="N97" s="62">
        <v>0</v>
      </c>
      <c r="O97" s="62">
        <v>9361120</v>
      </c>
      <c r="P97" s="307">
        <f t="shared" si="1"/>
        <v>9361120</v>
      </c>
      <c r="Q97" s="62">
        <f t="shared" si="2"/>
        <v>48</v>
      </c>
      <c r="R97" s="62">
        <v>36</v>
      </c>
      <c r="S97" s="62">
        <v>0.04</v>
      </c>
      <c r="T97" s="306">
        <v>1</v>
      </c>
    </row>
    <row r="98" spans="1:20">
      <c r="A98" s="311" t="s">
        <v>767</v>
      </c>
      <c r="B98" s="62" t="s">
        <v>319</v>
      </c>
      <c r="C98" s="316" t="s">
        <v>801</v>
      </c>
      <c r="D98" s="316" t="s">
        <v>531</v>
      </c>
      <c r="E98" s="316" t="s">
        <v>735</v>
      </c>
      <c r="F98" s="62" t="s">
        <v>692</v>
      </c>
      <c r="G98" s="62" t="s">
        <v>689</v>
      </c>
      <c r="H98" s="62" t="s">
        <v>693</v>
      </c>
      <c r="I98" s="62">
        <v>0</v>
      </c>
      <c r="J98" s="62" t="s">
        <v>764</v>
      </c>
      <c r="K98" s="62">
        <v>0</v>
      </c>
      <c r="L98" s="62" t="s">
        <v>734</v>
      </c>
      <c r="M98" s="62">
        <v>1</v>
      </c>
      <c r="N98" s="62">
        <v>0</v>
      </c>
      <c r="O98" s="62">
        <v>6943980</v>
      </c>
      <c r="P98" s="307">
        <f t="shared" si="1"/>
        <v>6943980</v>
      </c>
      <c r="Q98" s="62">
        <f t="shared" si="2"/>
        <v>48</v>
      </c>
      <c r="R98" s="62">
        <v>36</v>
      </c>
      <c r="S98" s="62">
        <v>0.04</v>
      </c>
      <c r="T98" s="306">
        <v>1</v>
      </c>
    </row>
    <row r="99" spans="1:20">
      <c r="A99" s="311" t="s">
        <v>768</v>
      </c>
      <c r="B99" s="62" t="s">
        <v>319</v>
      </c>
      <c r="C99" s="316" t="s">
        <v>802</v>
      </c>
      <c r="D99" s="316" t="s">
        <v>531</v>
      </c>
      <c r="E99" s="316" t="s">
        <v>735</v>
      </c>
      <c r="F99" s="62" t="s">
        <v>761</v>
      </c>
      <c r="G99" s="62" t="s">
        <v>689</v>
      </c>
      <c r="H99" s="62" t="s">
        <v>690</v>
      </c>
      <c r="I99" s="62">
        <v>0</v>
      </c>
      <c r="J99" s="62" t="s">
        <v>764</v>
      </c>
      <c r="K99" s="62">
        <v>0</v>
      </c>
      <c r="L99" s="62" t="s">
        <v>734</v>
      </c>
      <c r="M99" s="62">
        <v>1</v>
      </c>
      <c r="N99" s="62">
        <v>0</v>
      </c>
      <c r="O99" s="62">
        <v>4548800</v>
      </c>
      <c r="P99" s="307">
        <f t="shared" si="1"/>
        <v>4548800</v>
      </c>
      <c r="Q99" s="62">
        <f t="shared" si="2"/>
        <v>48</v>
      </c>
      <c r="R99" s="62">
        <v>36</v>
      </c>
      <c r="S99" s="62">
        <v>0.04</v>
      </c>
      <c r="T99" s="306">
        <v>1</v>
      </c>
    </row>
    <row r="100" spans="1:20">
      <c r="A100" s="311" t="s">
        <v>769</v>
      </c>
      <c r="B100" s="62" t="s">
        <v>319</v>
      </c>
      <c r="C100" s="316" t="s">
        <v>801</v>
      </c>
      <c r="D100" s="316" t="s">
        <v>531</v>
      </c>
      <c r="E100" s="316" t="s">
        <v>735</v>
      </c>
      <c r="F100" s="62" t="s">
        <v>707</v>
      </c>
      <c r="G100" s="62" t="s">
        <v>708</v>
      </c>
      <c r="H100" s="62" t="s">
        <v>709</v>
      </c>
      <c r="I100" s="62">
        <v>0</v>
      </c>
      <c r="J100" s="62" t="s">
        <v>764</v>
      </c>
      <c r="K100" s="62">
        <v>0</v>
      </c>
      <c r="L100" s="62" t="s">
        <v>734</v>
      </c>
      <c r="M100" s="62">
        <v>1</v>
      </c>
      <c r="N100" s="62">
        <v>0</v>
      </c>
      <c r="O100" s="62">
        <v>6624450</v>
      </c>
      <c r="P100" s="307">
        <f t="shared" si="1"/>
        <v>6624450</v>
      </c>
      <c r="Q100" s="62">
        <f t="shared" si="2"/>
        <v>24</v>
      </c>
      <c r="R100" s="62">
        <v>60</v>
      </c>
      <c r="S100" s="62">
        <v>0.04</v>
      </c>
      <c r="T100" s="306">
        <v>1</v>
      </c>
    </row>
    <row r="101" spans="1:20">
      <c r="A101" s="311" t="s">
        <v>770</v>
      </c>
      <c r="B101" s="62" t="s">
        <v>319</v>
      </c>
      <c r="C101" s="316" t="s">
        <v>800</v>
      </c>
      <c r="D101" s="316" t="s">
        <v>531</v>
      </c>
      <c r="E101" s="316" t="s">
        <v>735</v>
      </c>
      <c r="F101" s="62" t="s">
        <v>719</v>
      </c>
      <c r="G101" s="62" t="s">
        <v>762</v>
      </c>
      <c r="H101" s="62" t="s">
        <v>763</v>
      </c>
      <c r="I101" s="62">
        <v>0</v>
      </c>
      <c r="J101" s="62" t="s">
        <v>764</v>
      </c>
      <c r="K101" s="62">
        <v>0</v>
      </c>
      <c r="L101" s="62" t="s">
        <v>734</v>
      </c>
      <c r="M101" s="62">
        <v>1</v>
      </c>
      <c r="N101" s="62">
        <v>0</v>
      </c>
      <c r="O101" s="62">
        <v>5500000</v>
      </c>
      <c r="P101" s="307">
        <f t="shared" si="1"/>
        <v>5500000</v>
      </c>
      <c r="Q101" s="62">
        <f t="shared" si="2"/>
        <v>24</v>
      </c>
      <c r="R101" s="62">
        <v>60</v>
      </c>
      <c r="S101" s="62">
        <v>0.1</v>
      </c>
      <c r="T101" s="306">
        <v>1</v>
      </c>
    </row>
    <row r="102" spans="1:20">
      <c r="A102" s="311" t="s">
        <v>790</v>
      </c>
      <c r="B102" s="62" t="s">
        <v>319</v>
      </c>
      <c r="C102" s="316" t="s">
        <v>800</v>
      </c>
      <c r="D102" s="316" t="s">
        <v>531</v>
      </c>
      <c r="E102" s="316" t="s">
        <v>630</v>
      </c>
      <c r="F102" s="62" t="s">
        <v>771</v>
      </c>
      <c r="G102" s="62" t="s">
        <v>772</v>
      </c>
      <c r="H102" s="62" t="s">
        <v>773</v>
      </c>
      <c r="I102" s="62">
        <v>0</v>
      </c>
      <c r="J102" s="62" t="s">
        <v>764</v>
      </c>
      <c r="K102" s="62">
        <v>0</v>
      </c>
      <c r="L102" s="62" t="s">
        <v>789</v>
      </c>
      <c r="M102" s="62">
        <v>24</v>
      </c>
      <c r="N102" s="62">
        <v>0</v>
      </c>
      <c r="O102" s="62">
        <v>3000000</v>
      </c>
      <c r="P102" s="307">
        <f t="shared" si="1"/>
        <v>72000000</v>
      </c>
      <c r="Q102" s="62">
        <f t="shared" si="2"/>
        <v>24</v>
      </c>
      <c r="R102" s="62">
        <v>60</v>
      </c>
      <c r="S102" s="62">
        <v>0.12</v>
      </c>
      <c r="T102" s="306">
        <v>1</v>
      </c>
    </row>
    <row r="103" spans="1:20">
      <c r="A103" s="311" t="s">
        <v>791</v>
      </c>
      <c r="B103" s="62" t="s">
        <v>319</v>
      </c>
      <c r="C103" s="316" t="s">
        <v>800</v>
      </c>
      <c r="D103" s="316" t="s">
        <v>531</v>
      </c>
      <c r="E103" s="316" t="s">
        <v>630</v>
      </c>
      <c r="F103" s="62" t="s">
        <v>774</v>
      </c>
      <c r="G103" s="62" t="s">
        <v>775</v>
      </c>
      <c r="H103" s="62" t="s">
        <v>776</v>
      </c>
      <c r="I103" s="62">
        <v>0</v>
      </c>
      <c r="J103" s="62" t="s">
        <v>764</v>
      </c>
      <c r="K103" s="62">
        <v>0</v>
      </c>
      <c r="L103" s="62" t="s">
        <v>789</v>
      </c>
      <c r="M103" s="62">
        <v>8</v>
      </c>
      <c r="N103" s="62">
        <v>0</v>
      </c>
      <c r="O103" s="62">
        <v>1500000</v>
      </c>
      <c r="P103" s="307">
        <f t="shared" si="1"/>
        <v>12000000</v>
      </c>
      <c r="Q103" s="62">
        <f t="shared" si="2"/>
        <v>24</v>
      </c>
      <c r="R103" s="62">
        <v>60</v>
      </c>
      <c r="S103" s="62">
        <v>0.1</v>
      </c>
      <c r="T103" s="306">
        <v>1</v>
      </c>
    </row>
    <row r="104" spans="1:20">
      <c r="A104" s="311" t="s">
        <v>792</v>
      </c>
      <c r="B104" s="62" t="s">
        <v>319</v>
      </c>
      <c r="C104" s="316" t="s">
        <v>800</v>
      </c>
      <c r="D104" s="316" t="s">
        <v>531</v>
      </c>
      <c r="E104" s="316" t="s">
        <v>630</v>
      </c>
      <c r="F104" s="62" t="s">
        <v>777</v>
      </c>
      <c r="G104" s="62" t="s">
        <v>778</v>
      </c>
      <c r="H104" s="62" t="s">
        <v>779</v>
      </c>
      <c r="I104" s="62">
        <v>0</v>
      </c>
      <c r="J104" s="62" t="s">
        <v>764</v>
      </c>
      <c r="K104" s="62">
        <v>0</v>
      </c>
      <c r="L104" s="62" t="s">
        <v>789</v>
      </c>
      <c r="M104" s="62">
        <v>54</v>
      </c>
      <c r="N104" s="62">
        <v>0</v>
      </c>
      <c r="O104" s="62">
        <v>570000</v>
      </c>
      <c r="P104" s="307">
        <f t="shared" si="1"/>
        <v>30780000</v>
      </c>
      <c r="Q104" s="62">
        <f t="shared" si="2"/>
        <v>24</v>
      </c>
      <c r="R104" s="62">
        <v>60</v>
      </c>
      <c r="S104" s="62">
        <v>0.12</v>
      </c>
      <c r="T104" s="306">
        <v>1</v>
      </c>
    </row>
    <row r="105" spans="1:20">
      <c r="A105" s="311" t="s">
        <v>793</v>
      </c>
      <c r="B105" s="62" t="s">
        <v>319</v>
      </c>
      <c r="C105" s="316" t="s">
        <v>800</v>
      </c>
      <c r="D105" s="316" t="s">
        <v>531</v>
      </c>
      <c r="E105" s="316" t="s">
        <v>630</v>
      </c>
      <c r="F105" s="62" t="s">
        <v>780</v>
      </c>
      <c r="G105" s="62" t="s">
        <v>781</v>
      </c>
      <c r="H105" s="62" t="s">
        <v>782</v>
      </c>
      <c r="I105" s="62">
        <v>0</v>
      </c>
      <c r="J105" s="62" t="s">
        <v>764</v>
      </c>
      <c r="K105" s="62">
        <v>0</v>
      </c>
      <c r="L105" s="62" t="s">
        <v>789</v>
      </c>
      <c r="M105" s="62">
        <v>4</v>
      </c>
      <c r="N105" s="62">
        <v>0</v>
      </c>
      <c r="O105" s="62">
        <v>5000000</v>
      </c>
      <c r="P105" s="307">
        <f t="shared" si="1"/>
        <v>20000000</v>
      </c>
      <c r="Q105" s="62">
        <f t="shared" si="2"/>
        <v>24</v>
      </c>
      <c r="R105" s="62">
        <v>60</v>
      </c>
      <c r="S105" s="62">
        <v>0.12</v>
      </c>
      <c r="T105" s="306">
        <v>1</v>
      </c>
    </row>
    <row r="106" spans="1:20">
      <c r="A106" s="311" t="s">
        <v>794</v>
      </c>
      <c r="B106" s="62" t="s">
        <v>319</v>
      </c>
      <c r="C106" s="316" t="s">
        <v>800</v>
      </c>
      <c r="D106" s="316" t="s">
        <v>531</v>
      </c>
      <c r="E106" s="316" t="s">
        <v>630</v>
      </c>
      <c r="F106" s="62" t="s">
        <v>783</v>
      </c>
      <c r="G106" s="62" t="s">
        <v>784</v>
      </c>
      <c r="H106" s="62" t="s">
        <v>785</v>
      </c>
      <c r="I106" s="62">
        <v>0</v>
      </c>
      <c r="J106" s="62" t="s">
        <v>764</v>
      </c>
      <c r="K106" s="62">
        <v>0</v>
      </c>
      <c r="L106" s="62" t="s">
        <v>789</v>
      </c>
      <c r="M106" s="62">
        <v>27</v>
      </c>
      <c r="N106" s="62">
        <v>0</v>
      </c>
      <c r="O106" s="62">
        <v>165000</v>
      </c>
      <c r="P106" s="307">
        <f t="shared" si="1"/>
        <v>4455000</v>
      </c>
      <c r="Q106" s="62">
        <f t="shared" si="2"/>
        <v>24</v>
      </c>
      <c r="R106" s="62">
        <v>60</v>
      </c>
      <c r="S106" s="62">
        <v>0.1</v>
      </c>
      <c r="T106" s="306">
        <v>1</v>
      </c>
    </row>
    <row r="107" spans="1:20" ht="18" thickBot="1">
      <c r="A107" s="312" t="s">
        <v>795</v>
      </c>
      <c r="B107" s="313" t="s">
        <v>319</v>
      </c>
      <c r="C107" s="318" t="s">
        <v>800</v>
      </c>
      <c r="D107" s="318" t="s">
        <v>601</v>
      </c>
      <c r="E107" s="318" t="s">
        <v>630</v>
      </c>
      <c r="F107" s="313" t="s">
        <v>786</v>
      </c>
      <c r="G107" s="313" t="s">
        <v>787</v>
      </c>
      <c r="H107" s="313" t="s">
        <v>788</v>
      </c>
      <c r="I107" s="313">
        <v>0</v>
      </c>
      <c r="J107" s="313" t="s">
        <v>764</v>
      </c>
      <c r="K107" s="313">
        <v>0</v>
      </c>
      <c r="L107" s="313" t="s">
        <v>602</v>
      </c>
      <c r="M107" s="313">
        <v>78</v>
      </c>
      <c r="N107" s="313">
        <v>0</v>
      </c>
      <c r="O107" s="313">
        <v>858000</v>
      </c>
      <c r="P107" s="307">
        <f t="shared" si="1"/>
        <v>66924000</v>
      </c>
      <c r="Q107" s="313">
        <f t="shared" si="2"/>
        <v>6</v>
      </c>
      <c r="R107" s="313">
        <v>78</v>
      </c>
      <c r="S107" s="313">
        <v>0.15384615384615385</v>
      </c>
      <c r="T107" s="314">
        <v>1</v>
      </c>
    </row>
    <row r="108" spans="1:20" ht="18" thickBot="1">
      <c r="A108" s="311" t="s">
        <v>794</v>
      </c>
      <c r="B108" s="62" t="s">
        <v>319</v>
      </c>
      <c r="C108" s="315" t="s">
        <v>800</v>
      </c>
      <c r="D108" s="315" t="s">
        <v>634</v>
      </c>
      <c r="E108" s="315" t="s">
        <v>799</v>
      </c>
      <c r="F108" t="s">
        <v>796</v>
      </c>
      <c r="G108" t="s">
        <v>797</v>
      </c>
      <c r="H108" t="s">
        <v>798</v>
      </c>
      <c r="J108" s="313" t="s">
        <v>764</v>
      </c>
      <c r="L108" s="313" t="s">
        <v>602</v>
      </c>
      <c r="M108" s="315">
        <v>72</v>
      </c>
      <c r="O108">
        <v>3746666.6666666665</v>
      </c>
      <c r="P108" s="307">
        <f>M108*O108</f>
        <v>269760000</v>
      </c>
      <c r="Q108" s="313">
        <f t="shared" si="2"/>
        <v>12</v>
      </c>
      <c r="R108" s="315">
        <v>72</v>
      </c>
      <c r="T108" s="314">
        <v>1</v>
      </c>
    </row>
  </sheetData>
  <phoneticPr fontId="1" type="noConversion"/>
  <conditionalFormatting sqref="Q23:S34 Q4:R4 Q6:R6 Q8:R8 Q10:R10 Q12:R12 Q14:R14 Q16:R16 Q18:R18 Q20:R20 Q22:R22 A2:R2 C3:O18 K19:M28 C19:J34 K29:O33 L35 C35:E36 F36 L36:M38 J35:J38 O19:O28 K34:M34 O34:O38 N34:N35 C37:C46 D39:E46 T2:T52 A3:B69 A101:A107 B102:D107 C108:D108 P3:P108">
    <cfRule type="expression" dxfId="19" priority="20">
      <formula>OR($D2="MA",$D2="운영")</formula>
    </cfRule>
  </conditionalFormatting>
  <conditionalFormatting sqref="Q3:R3 Q5:R5 Q7:R7 Q9:R9 Q11:R11 Q13:R13 Q15:R15 Q17:R17 Q19:R19 Q21:R21">
    <cfRule type="expression" dxfId="18" priority="19">
      <formula>OR($D3="MA",$D3="운영")</formula>
    </cfRule>
  </conditionalFormatting>
  <conditionalFormatting sqref="D37:F37">
    <cfRule type="expression" dxfId="17" priority="18">
      <formula>OR($D37="MA",$D37="운영")</formula>
    </cfRule>
  </conditionalFormatting>
  <conditionalFormatting sqref="D38:F38">
    <cfRule type="expression" dxfId="16" priority="17">
      <formula>OR($D38="MA",$D38="운영")</formula>
    </cfRule>
  </conditionalFormatting>
  <conditionalFormatting sqref="C47:E47">
    <cfRule type="expression" dxfId="15" priority="16">
      <formula>OR($D47="MA",$D47="운영")</formula>
    </cfRule>
  </conditionalFormatting>
  <conditionalFormatting sqref="C48:E52">
    <cfRule type="expression" dxfId="14" priority="15">
      <formula>OR($D48="MA",$D48="운영")</formula>
    </cfRule>
  </conditionalFormatting>
  <conditionalFormatting sqref="E55 E57">
    <cfRule type="expression" dxfId="13" priority="10">
      <formula>OR($D55="MA",$D55="운영")</formula>
    </cfRule>
  </conditionalFormatting>
  <conditionalFormatting sqref="C70:E70">
    <cfRule type="expression" dxfId="12" priority="7">
      <formula>OR($D70="MA",$D70="운영")</formula>
    </cfRule>
  </conditionalFormatting>
  <conditionalFormatting sqref="C53:E53">
    <cfRule type="expression" dxfId="11" priority="14">
      <formula>OR($D53="MA",$D53="운영")</formula>
    </cfRule>
  </conditionalFormatting>
  <conditionalFormatting sqref="T53:T70">
    <cfRule type="expression" dxfId="10" priority="13">
      <formula>OR($D53="MA",$D53="운영")</formula>
    </cfRule>
  </conditionalFormatting>
  <conditionalFormatting sqref="C55:D55 C57:D57">
    <cfRule type="expression" dxfId="9" priority="12">
      <formula>OR($D55="MA",$D55="운영")</formula>
    </cfRule>
  </conditionalFormatting>
  <conditionalFormatting sqref="C54:E54 C56:E56">
    <cfRule type="expression" dxfId="8" priority="11">
      <formula>OR($D54="MA",$D54="운영")</formula>
    </cfRule>
  </conditionalFormatting>
  <conditionalFormatting sqref="T96:T108">
    <cfRule type="expression" dxfId="7" priority="3">
      <formula>OR($D96="MA",$D96="운영")</formula>
    </cfRule>
  </conditionalFormatting>
  <conditionalFormatting sqref="F62 C58:E69">
    <cfRule type="expression" dxfId="6" priority="9">
      <formula>OR($D58="MA",$D58="운영")</formula>
    </cfRule>
  </conditionalFormatting>
  <conditionalFormatting sqref="E103 E105 E107">
    <cfRule type="expression" dxfId="5" priority="2">
      <formula>OR($D103="MA",$D103="운영")</formula>
    </cfRule>
  </conditionalFormatting>
  <conditionalFormatting sqref="A70:B70">
    <cfRule type="expression" dxfId="4" priority="8">
      <formula>OR($D70="MA",$D70="운영")</formula>
    </cfRule>
  </conditionalFormatting>
  <conditionalFormatting sqref="C71:E101 E102 E104 E106 E108">
    <cfRule type="expression" dxfId="3" priority="4">
      <formula>OR($D71="MA",$D71="운영")</formula>
    </cfRule>
  </conditionalFormatting>
  <conditionalFormatting sqref="T71:T95">
    <cfRule type="expression" dxfId="2" priority="6">
      <formula>OR($D71="MA",$D71="운영")</formula>
    </cfRule>
  </conditionalFormatting>
  <conditionalFormatting sqref="A71:B100 B101">
    <cfRule type="expression" dxfId="1" priority="5">
      <formula>OR($D71="MA",$D71="운영")</formula>
    </cfRule>
  </conditionalFormatting>
  <conditionalFormatting sqref="A108:B108">
    <cfRule type="expression" dxfId="0" priority="1">
      <formula>OR($D108="MA",$D108="운영")</formula>
    </cfRule>
  </conditionalFormatting>
  <pageMargins left="0.7" right="0.7" top="0.75" bottom="0.75" header="0.3" footer="0.3"/>
  <pageSetup paperSize="9"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59999389629810485"/>
  </sheetPr>
  <dimension ref="A1:N37"/>
  <sheetViews>
    <sheetView workbookViewId="0">
      <selection activeCell="Q15" sqref="Q15"/>
    </sheetView>
  </sheetViews>
  <sheetFormatPr defaultRowHeight="17.399999999999999"/>
  <sheetData>
    <row r="1" spans="1:14">
      <c r="A1" t="s">
        <v>319</v>
      </c>
      <c r="B1" t="s">
        <v>535</v>
      </c>
      <c r="C1" t="s">
        <v>14</v>
      </c>
      <c r="D1" t="s">
        <v>532</v>
      </c>
      <c r="E1" t="s">
        <v>245</v>
      </c>
      <c r="F1" t="s">
        <v>488</v>
      </c>
      <c r="G1" t="s">
        <v>260</v>
      </c>
      <c r="H1">
        <v>0</v>
      </c>
      <c r="I1" t="s">
        <v>539</v>
      </c>
      <c r="J1">
        <v>0</v>
      </c>
      <c r="K1" t="s">
        <v>262</v>
      </c>
      <c r="L1">
        <v>3</v>
      </c>
      <c r="M1">
        <v>0</v>
      </c>
      <c r="N1">
        <v>10000000</v>
      </c>
    </row>
    <row r="2" spans="1:14">
      <c r="A2" t="s">
        <v>319</v>
      </c>
      <c r="B2" t="s">
        <v>535</v>
      </c>
      <c r="C2" t="s">
        <v>14</v>
      </c>
      <c r="D2" t="s">
        <v>532</v>
      </c>
      <c r="E2" t="s">
        <v>245</v>
      </c>
      <c r="F2" t="s">
        <v>489</v>
      </c>
      <c r="G2" t="s">
        <v>260</v>
      </c>
      <c r="H2">
        <v>0</v>
      </c>
      <c r="I2" t="s">
        <v>539</v>
      </c>
      <c r="J2">
        <v>0</v>
      </c>
      <c r="K2" t="s">
        <v>262</v>
      </c>
      <c r="L2">
        <v>2</v>
      </c>
      <c r="M2">
        <v>0</v>
      </c>
      <c r="N2">
        <v>10000000</v>
      </c>
    </row>
    <row r="3" spans="1:14">
      <c r="A3" t="s">
        <v>319</v>
      </c>
      <c r="B3" t="s">
        <v>535</v>
      </c>
      <c r="C3" t="s">
        <v>14</v>
      </c>
      <c r="D3" t="s">
        <v>532</v>
      </c>
      <c r="E3" t="s">
        <v>245</v>
      </c>
      <c r="F3" t="s">
        <v>490</v>
      </c>
      <c r="G3" t="s">
        <v>261</v>
      </c>
      <c r="H3">
        <v>0</v>
      </c>
      <c r="I3" t="s">
        <v>539</v>
      </c>
      <c r="J3">
        <v>0</v>
      </c>
      <c r="K3" t="s">
        <v>262</v>
      </c>
      <c r="L3">
        <v>3</v>
      </c>
      <c r="M3">
        <v>0</v>
      </c>
      <c r="N3">
        <v>9000000</v>
      </c>
    </row>
    <row r="4" spans="1:14">
      <c r="A4" t="s">
        <v>319</v>
      </c>
      <c r="B4" t="s">
        <v>535</v>
      </c>
      <c r="C4" t="s">
        <v>14</v>
      </c>
      <c r="D4" t="s">
        <v>532</v>
      </c>
      <c r="E4" t="s">
        <v>245</v>
      </c>
      <c r="F4" t="s">
        <v>491</v>
      </c>
      <c r="G4" t="s">
        <v>261</v>
      </c>
      <c r="H4">
        <v>0</v>
      </c>
      <c r="I4" t="s">
        <v>539</v>
      </c>
      <c r="J4">
        <v>0</v>
      </c>
      <c r="K4" t="s">
        <v>262</v>
      </c>
      <c r="L4">
        <v>1</v>
      </c>
      <c r="M4">
        <v>0</v>
      </c>
      <c r="N4">
        <v>9000000</v>
      </c>
    </row>
    <row r="5" spans="1:14">
      <c r="A5" t="s">
        <v>319</v>
      </c>
      <c r="B5" t="s">
        <v>535</v>
      </c>
      <c r="C5" t="s">
        <v>14</v>
      </c>
      <c r="D5" t="s">
        <v>532</v>
      </c>
      <c r="E5" t="s">
        <v>245</v>
      </c>
      <c r="F5" t="s">
        <v>492</v>
      </c>
      <c r="G5" t="s">
        <v>261</v>
      </c>
      <c r="H5">
        <v>0</v>
      </c>
      <c r="I5" t="s">
        <v>539</v>
      </c>
      <c r="J5">
        <v>0</v>
      </c>
      <c r="K5" t="s">
        <v>262</v>
      </c>
      <c r="L5">
        <v>0</v>
      </c>
      <c r="M5">
        <v>0</v>
      </c>
      <c r="N5">
        <v>9000000</v>
      </c>
    </row>
    <row r="6" spans="1:14">
      <c r="A6" t="s">
        <v>319</v>
      </c>
      <c r="B6" t="s">
        <v>535</v>
      </c>
      <c r="C6" t="s">
        <v>14</v>
      </c>
      <c r="D6" t="s">
        <v>532</v>
      </c>
      <c r="E6" t="s">
        <v>245</v>
      </c>
      <c r="F6" t="s">
        <v>493</v>
      </c>
      <c r="G6" t="s">
        <v>260</v>
      </c>
      <c r="H6">
        <v>0</v>
      </c>
      <c r="I6" t="s">
        <v>539</v>
      </c>
      <c r="J6">
        <v>0</v>
      </c>
      <c r="K6" t="s">
        <v>262</v>
      </c>
      <c r="L6">
        <v>1</v>
      </c>
      <c r="M6">
        <v>0</v>
      </c>
      <c r="N6">
        <v>10000000</v>
      </c>
    </row>
    <row r="7" spans="1:14">
      <c r="A7" t="s">
        <v>319</v>
      </c>
      <c r="B7" t="s">
        <v>535</v>
      </c>
      <c r="C7" t="s">
        <v>14</v>
      </c>
      <c r="D7" t="s">
        <v>532</v>
      </c>
      <c r="E7" t="s">
        <v>245</v>
      </c>
      <c r="F7" t="s">
        <v>494</v>
      </c>
      <c r="G7" t="s">
        <v>261</v>
      </c>
      <c r="H7">
        <v>0</v>
      </c>
      <c r="I7" t="s">
        <v>539</v>
      </c>
      <c r="J7">
        <v>0</v>
      </c>
      <c r="K7" t="s">
        <v>262</v>
      </c>
      <c r="L7">
        <v>2</v>
      </c>
      <c r="M7">
        <v>0</v>
      </c>
      <c r="N7">
        <v>9000000</v>
      </c>
    </row>
    <row r="8" spans="1:14">
      <c r="A8" t="s">
        <v>319</v>
      </c>
      <c r="B8" t="s">
        <v>535</v>
      </c>
      <c r="C8" t="s">
        <v>14</v>
      </c>
      <c r="D8" t="s">
        <v>532</v>
      </c>
      <c r="E8" t="s">
        <v>245</v>
      </c>
      <c r="F8" t="s">
        <v>495</v>
      </c>
      <c r="G8" t="s">
        <v>261</v>
      </c>
      <c r="H8">
        <v>0</v>
      </c>
      <c r="I8" t="s">
        <v>539</v>
      </c>
      <c r="J8">
        <v>0</v>
      </c>
      <c r="K8" t="s">
        <v>262</v>
      </c>
      <c r="L8">
        <v>1</v>
      </c>
      <c r="M8">
        <v>0</v>
      </c>
      <c r="N8">
        <v>9000000</v>
      </c>
    </row>
    <row r="9" spans="1:14">
      <c r="A9" t="s">
        <v>319</v>
      </c>
      <c r="B9" t="s">
        <v>535</v>
      </c>
      <c r="C9" t="s">
        <v>14</v>
      </c>
      <c r="D9" t="s">
        <v>532</v>
      </c>
      <c r="E9" t="s">
        <v>245</v>
      </c>
      <c r="F9" t="s">
        <v>496</v>
      </c>
      <c r="G9" t="s">
        <v>497</v>
      </c>
      <c r="H9">
        <v>0</v>
      </c>
      <c r="I9" t="s">
        <v>539</v>
      </c>
      <c r="J9">
        <v>0</v>
      </c>
      <c r="K9" t="s">
        <v>262</v>
      </c>
      <c r="L9">
        <v>2.5</v>
      </c>
      <c r="M9">
        <v>0</v>
      </c>
      <c r="N9">
        <v>20000000</v>
      </c>
    </row>
    <row r="10" spans="1:14">
      <c r="A10" t="s">
        <v>319</v>
      </c>
      <c r="B10" t="s">
        <v>535</v>
      </c>
      <c r="C10" t="s">
        <v>14</v>
      </c>
      <c r="D10" t="s">
        <v>532</v>
      </c>
      <c r="E10" t="s">
        <v>245</v>
      </c>
      <c r="F10" t="s">
        <v>498</v>
      </c>
      <c r="G10" t="s">
        <v>260</v>
      </c>
      <c r="H10">
        <v>0</v>
      </c>
      <c r="I10" t="s">
        <v>539</v>
      </c>
      <c r="J10">
        <v>0</v>
      </c>
      <c r="K10" t="s">
        <v>262</v>
      </c>
      <c r="L10">
        <v>0.5</v>
      </c>
      <c r="M10">
        <v>0</v>
      </c>
      <c r="N10">
        <v>10000000</v>
      </c>
    </row>
    <row r="11" spans="1:14">
      <c r="A11" t="s">
        <v>319</v>
      </c>
      <c r="B11" t="s">
        <v>535</v>
      </c>
      <c r="C11" t="s">
        <v>14</v>
      </c>
      <c r="D11" t="s">
        <v>532</v>
      </c>
      <c r="E11" t="s">
        <v>245</v>
      </c>
      <c r="F11" t="s">
        <v>499</v>
      </c>
      <c r="G11" t="s">
        <v>500</v>
      </c>
      <c r="H11">
        <v>0</v>
      </c>
      <c r="I11" t="s">
        <v>539</v>
      </c>
      <c r="J11">
        <v>0</v>
      </c>
      <c r="K11" t="s">
        <v>262</v>
      </c>
      <c r="L11">
        <v>0.5</v>
      </c>
      <c r="M11">
        <v>0</v>
      </c>
      <c r="N11">
        <v>8000000</v>
      </c>
    </row>
    <row r="12" spans="1:14">
      <c r="A12" t="s">
        <v>319</v>
      </c>
      <c r="B12" t="s">
        <v>501</v>
      </c>
      <c r="C12" t="s">
        <v>14</v>
      </c>
      <c r="D12" t="s">
        <v>532</v>
      </c>
      <c r="E12" t="s">
        <v>245</v>
      </c>
      <c r="F12" t="s">
        <v>502</v>
      </c>
      <c r="G12" t="s">
        <v>260</v>
      </c>
      <c r="H12">
        <v>0</v>
      </c>
      <c r="I12" t="s">
        <v>539</v>
      </c>
      <c r="J12">
        <v>0</v>
      </c>
      <c r="K12" t="s">
        <v>262</v>
      </c>
      <c r="L12">
        <v>3</v>
      </c>
      <c r="M12">
        <v>0</v>
      </c>
      <c r="N12">
        <v>10000000</v>
      </c>
    </row>
    <row r="13" spans="1:14">
      <c r="A13" t="s">
        <v>319</v>
      </c>
      <c r="B13" t="s">
        <v>501</v>
      </c>
      <c r="C13" t="s">
        <v>14</v>
      </c>
      <c r="D13" t="s">
        <v>532</v>
      </c>
      <c r="E13" t="s">
        <v>245</v>
      </c>
      <c r="F13" t="s">
        <v>503</v>
      </c>
      <c r="G13" t="s">
        <v>260</v>
      </c>
      <c r="H13">
        <v>0</v>
      </c>
      <c r="I13" t="s">
        <v>539</v>
      </c>
      <c r="J13">
        <v>0</v>
      </c>
      <c r="K13" t="s">
        <v>262</v>
      </c>
      <c r="L13">
        <v>3</v>
      </c>
      <c r="M13">
        <v>0</v>
      </c>
      <c r="N13">
        <v>10000000</v>
      </c>
    </row>
    <row r="14" spans="1:14">
      <c r="A14" t="s">
        <v>319</v>
      </c>
      <c r="B14" t="s">
        <v>501</v>
      </c>
      <c r="C14" t="s">
        <v>14</v>
      </c>
      <c r="D14" t="s">
        <v>532</v>
      </c>
      <c r="E14" t="s">
        <v>245</v>
      </c>
      <c r="F14" t="s">
        <v>293</v>
      </c>
      <c r="G14" t="s">
        <v>261</v>
      </c>
      <c r="H14">
        <v>0</v>
      </c>
      <c r="I14" t="s">
        <v>539</v>
      </c>
      <c r="J14">
        <v>0</v>
      </c>
      <c r="K14" t="s">
        <v>262</v>
      </c>
      <c r="L14">
        <v>3</v>
      </c>
      <c r="M14">
        <v>0</v>
      </c>
      <c r="N14">
        <v>9000000</v>
      </c>
    </row>
    <row r="15" spans="1:14">
      <c r="A15" t="s">
        <v>319</v>
      </c>
      <c r="B15" t="s">
        <v>501</v>
      </c>
      <c r="C15" t="s">
        <v>14</v>
      </c>
      <c r="D15" t="s">
        <v>532</v>
      </c>
      <c r="E15" t="s">
        <v>245</v>
      </c>
      <c r="F15" t="s">
        <v>504</v>
      </c>
      <c r="G15" t="s">
        <v>260</v>
      </c>
      <c r="H15">
        <v>0</v>
      </c>
      <c r="I15" t="s">
        <v>539</v>
      </c>
      <c r="J15">
        <v>0</v>
      </c>
      <c r="K15" t="s">
        <v>262</v>
      </c>
      <c r="L15">
        <v>2</v>
      </c>
      <c r="M15">
        <v>0</v>
      </c>
      <c r="N15">
        <v>10000000</v>
      </c>
    </row>
    <row r="16" spans="1:14">
      <c r="A16" t="s">
        <v>319</v>
      </c>
      <c r="B16" t="s">
        <v>501</v>
      </c>
      <c r="C16" t="s">
        <v>14</v>
      </c>
      <c r="D16" t="s">
        <v>532</v>
      </c>
      <c r="E16" t="s">
        <v>245</v>
      </c>
      <c r="F16" t="s">
        <v>505</v>
      </c>
      <c r="G16" t="s">
        <v>260</v>
      </c>
      <c r="H16">
        <v>0</v>
      </c>
      <c r="I16" t="s">
        <v>539</v>
      </c>
      <c r="J16">
        <v>0</v>
      </c>
      <c r="K16" t="s">
        <v>262</v>
      </c>
      <c r="L16">
        <v>3</v>
      </c>
      <c r="M16">
        <v>0</v>
      </c>
      <c r="N16">
        <v>10000000</v>
      </c>
    </row>
    <row r="17" spans="1:14">
      <c r="A17" t="s">
        <v>319</v>
      </c>
      <c r="B17" t="s">
        <v>501</v>
      </c>
      <c r="C17" t="s">
        <v>14</v>
      </c>
      <c r="D17" t="s">
        <v>532</v>
      </c>
      <c r="E17" t="s">
        <v>245</v>
      </c>
      <c r="F17" t="s">
        <v>506</v>
      </c>
      <c r="G17" t="s">
        <v>260</v>
      </c>
      <c r="H17">
        <v>0</v>
      </c>
      <c r="I17" t="s">
        <v>539</v>
      </c>
      <c r="J17">
        <v>0</v>
      </c>
      <c r="K17" t="s">
        <v>262</v>
      </c>
      <c r="L17">
        <v>4</v>
      </c>
      <c r="M17">
        <v>0</v>
      </c>
      <c r="N17">
        <v>10000000</v>
      </c>
    </row>
    <row r="18" spans="1:14">
      <c r="A18" t="s">
        <v>319</v>
      </c>
      <c r="B18" t="s">
        <v>517</v>
      </c>
      <c r="C18" t="s">
        <v>14</v>
      </c>
      <c r="D18" t="s">
        <v>532</v>
      </c>
      <c r="E18" t="s">
        <v>245</v>
      </c>
      <c r="F18" t="s">
        <v>507</v>
      </c>
      <c r="G18" t="s">
        <v>260</v>
      </c>
      <c r="H18">
        <v>0</v>
      </c>
      <c r="I18" t="s">
        <v>539</v>
      </c>
      <c r="J18">
        <v>0</v>
      </c>
      <c r="K18" t="s">
        <v>262</v>
      </c>
      <c r="L18">
        <v>6</v>
      </c>
      <c r="M18">
        <v>0</v>
      </c>
      <c r="N18">
        <v>10000000</v>
      </c>
    </row>
    <row r="19" spans="1:14">
      <c r="A19" t="s">
        <v>319</v>
      </c>
      <c r="B19" t="s">
        <v>517</v>
      </c>
      <c r="C19" t="s">
        <v>14</v>
      </c>
      <c r="D19" t="s">
        <v>532</v>
      </c>
      <c r="E19" t="s">
        <v>245</v>
      </c>
      <c r="F19" t="s">
        <v>508</v>
      </c>
      <c r="G19" t="s">
        <v>260</v>
      </c>
      <c r="H19">
        <v>0</v>
      </c>
      <c r="I19" t="s">
        <v>539</v>
      </c>
      <c r="J19">
        <v>0</v>
      </c>
      <c r="K19" t="s">
        <v>262</v>
      </c>
      <c r="L19">
        <v>6</v>
      </c>
      <c r="M19">
        <v>0</v>
      </c>
      <c r="N19">
        <v>10000000</v>
      </c>
    </row>
    <row r="20" spans="1:14">
      <c r="A20" t="s">
        <v>319</v>
      </c>
      <c r="B20" t="s">
        <v>517</v>
      </c>
      <c r="C20" t="s">
        <v>14</v>
      </c>
      <c r="D20" t="s">
        <v>532</v>
      </c>
      <c r="E20" t="s">
        <v>245</v>
      </c>
      <c r="F20" t="s">
        <v>509</v>
      </c>
      <c r="G20" t="s">
        <v>500</v>
      </c>
      <c r="H20">
        <v>0</v>
      </c>
      <c r="I20" t="s">
        <v>539</v>
      </c>
      <c r="J20">
        <v>0</v>
      </c>
      <c r="K20" t="s">
        <v>262</v>
      </c>
      <c r="L20">
        <v>3</v>
      </c>
      <c r="M20">
        <v>0</v>
      </c>
      <c r="N20">
        <v>8000000</v>
      </c>
    </row>
    <row r="21" spans="1:14">
      <c r="A21" t="s">
        <v>319</v>
      </c>
      <c r="B21" t="s">
        <v>517</v>
      </c>
      <c r="C21" t="s">
        <v>14</v>
      </c>
      <c r="D21" t="s">
        <v>532</v>
      </c>
      <c r="E21" t="s">
        <v>245</v>
      </c>
      <c r="F21" t="s">
        <v>510</v>
      </c>
      <c r="G21" t="s">
        <v>261</v>
      </c>
      <c r="H21">
        <v>0</v>
      </c>
      <c r="I21" t="s">
        <v>539</v>
      </c>
      <c r="J21">
        <v>0</v>
      </c>
      <c r="K21" t="s">
        <v>262</v>
      </c>
      <c r="L21">
        <v>4</v>
      </c>
      <c r="M21">
        <v>0</v>
      </c>
      <c r="N21">
        <v>9000000</v>
      </c>
    </row>
    <row r="22" spans="1:14">
      <c r="A22" t="s">
        <v>319</v>
      </c>
      <c r="B22" t="s">
        <v>517</v>
      </c>
      <c r="C22" t="s">
        <v>14</v>
      </c>
      <c r="D22" t="s">
        <v>532</v>
      </c>
      <c r="E22" t="s">
        <v>245</v>
      </c>
      <c r="F22" t="s">
        <v>511</v>
      </c>
      <c r="G22" t="s">
        <v>260</v>
      </c>
      <c r="H22">
        <v>0</v>
      </c>
      <c r="I22" t="s">
        <v>539</v>
      </c>
      <c r="J22">
        <v>0</v>
      </c>
      <c r="K22" t="s">
        <v>262</v>
      </c>
      <c r="L22">
        <v>2</v>
      </c>
      <c r="M22">
        <v>0</v>
      </c>
      <c r="N22">
        <v>10000000</v>
      </c>
    </row>
    <row r="23" spans="1:14">
      <c r="A23" t="s">
        <v>319</v>
      </c>
      <c r="B23" t="s">
        <v>517</v>
      </c>
      <c r="C23" t="s">
        <v>14</v>
      </c>
      <c r="D23" t="s">
        <v>532</v>
      </c>
      <c r="E23" t="s">
        <v>245</v>
      </c>
      <c r="F23" t="s">
        <v>512</v>
      </c>
      <c r="G23" t="s">
        <v>261</v>
      </c>
      <c r="H23">
        <v>0</v>
      </c>
      <c r="I23" t="s">
        <v>539</v>
      </c>
      <c r="J23">
        <v>0</v>
      </c>
      <c r="K23" t="s">
        <v>262</v>
      </c>
      <c r="L23">
        <v>5</v>
      </c>
      <c r="M23">
        <v>0</v>
      </c>
      <c r="N23">
        <v>9000000</v>
      </c>
    </row>
    <row r="24" spans="1:14">
      <c r="A24" t="s">
        <v>319</v>
      </c>
      <c r="B24" t="s">
        <v>517</v>
      </c>
      <c r="C24" t="s">
        <v>14</v>
      </c>
      <c r="D24" t="s">
        <v>532</v>
      </c>
      <c r="E24" t="s">
        <v>245</v>
      </c>
      <c r="F24" t="s">
        <v>513</v>
      </c>
      <c r="G24" t="s">
        <v>261</v>
      </c>
      <c r="H24">
        <v>0</v>
      </c>
      <c r="I24" t="s">
        <v>539</v>
      </c>
      <c r="J24">
        <v>0</v>
      </c>
      <c r="K24" t="s">
        <v>262</v>
      </c>
      <c r="L24">
        <v>1</v>
      </c>
      <c r="M24">
        <v>0</v>
      </c>
      <c r="N24">
        <v>9000000</v>
      </c>
    </row>
    <row r="25" spans="1:14">
      <c r="A25" t="s">
        <v>319</v>
      </c>
      <c r="B25" t="s">
        <v>517</v>
      </c>
      <c r="C25" t="s">
        <v>14</v>
      </c>
      <c r="D25" t="s">
        <v>532</v>
      </c>
      <c r="E25" t="s">
        <v>245</v>
      </c>
      <c r="F25" t="s">
        <v>514</v>
      </c>
      <c r="G25" t="s">
        <v>261</v>
      </c>
      <c r="H25">
        <v>0</v>
      </c>
      <c r="I25" t="s">
        <v>539</v>
      </c>
      <c r="J25">
        <v>0</v>
      </c>
      <c r="K25" t="s">
        <v>262</v>
      </c>
      <c r="L25">
        <v>1</v>
      </c>
      <c r="M25">
        <v>0</v>
      </c>
      <c r="N25">
        <v>9000000</v>
      </c>
    </row>
    <row r="26" spans="1:14">
      <c r="A26" t="s">
        <v>319</v>
      </c>
      <c r="B26" t="s">
        <v>517</v>
      </c>
      <c r="C26" t="s">
        <v>14</v>
      </c>
      <c r="D26" t="s">
        <v>532</v>
      </c>
      <c r="E26" t="s">
        <v>245</v>
      </c>
      <c r="F26" t="s">
        <v>515</v>
      </c>
      <c r="G26" t="s">
        <v>261</v>
      </c>
      <c r="H26">
        <v>0</v>
      </c>
      <c r="I26" t="s">
        <v>539</v>
      </c>
      <c r="J26">
        <v>0</v>
      </c>
      <c r="K26" t="s">
        <v>262</v>
      </c>
      <c r="L26">
        <v>2</v>
      </c>
      <c r="M26">
        <v>0</v>
      </c>
      <c r="N26">
        <v>9000000</v>
      </c>
    </row>
    <row r="27" spans="1:14">
      <c r="A27" t="s">
        <v>319</v>
      </c>
      <c r="B27" t="s">
        <v>517</v>
      </c>
      <c r="C27" t="s">
        <v>14</v>
      </c>
      <c r="D27" t="s">
        <v>532</v>
      </c>
      <c r="E27" t="s">
        <v>245</v>
      </c>
      <c r="F27" t="s">
        <v>516</v>
      </c>
      <c r="G27" t="s">
        <v>260</v>
      </c>
      <c r="H27">
        <v>0</v>
      </c>
      <c r="I27" t="s">
        <v>539</v>
      </c>
      <c r="J27">
        <v>0</v>
      </c>
      <c r="K27" t="s">
        <v>262</v>
      </c>
      <c r="L27">
        <v>3</v>
      </c>
      <c r="M27">
        <v>0</v>
      </c>
      <c r="N27">
        <v>10000000</v>
      </c>
    </row>
    <row r="28" spans="1:14">
      <c r="A28" t="s">
        <v>319</v>
      </c>
      <c r="B28" t="s">
        <v>517</v>
      </c>
      <c r="C28" t="s">
        <v>14</v>
      </c>
      <c r="D28" t="s">
        <v>532</v>
      </c>
      <c r="E28" t="s">
        <v>518</v>
      </c>
      <c r="F28" t="s">
        <v>519</v>
      </c>
      <c r="G28" t="s">
        <v>520</v>
      </c>
      <c r="H28">
        <v>0</v>
      </c>
      <c r="I28" t="s">
        <v>539</v>
      </c>
      <c r="J28">
        <v>0</v>
      </c>
      <c r="K28" t="s">
        <v>262</v>
      </c>
      <c r="L28">
        <v>3</v>
      </c>
      <c r="M28">
        <v>0</v>
      </c>
      <c r="N28">
        <v>11000000</v>
      </c>
    </row>
    <row r="29" spans="1:14">
      <c r="A29" t="s">
        <v>319</v>
      </c>
      <c r="B29" t="s">
        <v>517</v>
      </c>
      <c r="C29" t="s">
        <v>14</v>
      </c>
      <c r="D29" t="s">
        <v>532</v>
      </c>
      <c r="E29" t="s">
        <v>521</v>
      </c>
      <c r="F29" t="s">
        <v>522</v>
      </c>
      <c r="G29" t="s">
        <v>261</v>
      </c>
      <c r="H29">
        <v>0</v>
      </c>
      <c r="I29" t="s">
        <v>539</v>
      </c>
      <c r="J29">
        <v>0</v>
      </c>
      <c r="K29" t="s">
        <v>262</v>
      </c>
      <c r="L29">
        <v>3</v>
      </c>
      <c r="M29">
        <v>0</v>
      </c>
      <c r="N29">
        <v>9000000</v>
      </c>
    </row>
    <row r="30" spans="1:14">
      <c r="A30" t="s">
        <v>319</v>
      </c>
      <c r="B30" t="s">
        <v>517</v>
      </c>
      <c r="C30" t="s">
        <v>14</v>
      </c>
      <c r="D30" t="s">
        <v>532</v>
      </c>
      <c r="E30" t="s">
        <v>521</v>
      </c>
      <c r="F30" t="s">
        <v>523</v>
      </c>
      <c r="G30" t="s">
        <v>500</v>
      </c>
      <c r="H30">
        <v>0</v>
      </c>
      <c r="I30" t="s">
        <v>539</v>
      </c>
      <c r="J30">
        <v>0</v>
      </c>
      <c r="K30" t="s">
        <v>262</v>
      </c>
      <c r="L30">
        <v>3</v>
      </c>
      <c r="M30">
        <v>0</v>
      </c>
      <c r="N30">
        <v>8000000</v>
      </c>
    </row>
    <row r="31" spans="1:14">
      <c r="A31" t="s">
        <v>319</v>
      </c>
      <c r="B31" t="s">
        <v>517</v>
      </c>
      <c r="C31" t="s">
        <v>14</v>
      </c>
      <c r="D31" t="s">
        <v>532</v>
      </c>
      <c r="E31" t="s">
        <v>524</v>
      </c>
      <c r="F31" t="s">
        <v>525</v>
      </c>
      <c r="G31" t="s">
        <v>520</v>
      </c>
      <c r="H31">
        <v>0</v>
      </c>
      <c r="I31" t="s">
        <v>539</v>
      </c>
      <c r="J31">
        <v>0</v>
      </c>
      <c r="K31" t="s">
        <v>262</v>
      </c>
      <c r="L31">
        <v>1</v>
      </c>
      <c r="M31">
        <v>0</v>
      </c>
      <c r="N31">
        <v>11000000</v>
      </c>
    </row>
    <row r="32" spans="1:14">
      <c r="A32" t="s">
        <v>319</v>
      </c>
      <c r="B32" t="s">
        <v>517</v>
      </c>
      <c r="C32" t="s">
        <v>14</v>
      </c>
      <c r="D32" t="s">
        <v>532</v>
      </c>
      <c r="E32" t="s">
        <v>526</v>
      </c>
      <c r="F32" t="s">
        <v>527</v>
      </c>
      <c r="G32" t="s">
        <v>261</v>
      </c>
      <c r="H32">
        <v>0</v>
      </c>
      <c r="I32" t="s">
        <v>539</v>
      </c>
      <c r="J32">
        <v>0</v>
      </c>
      <c r="K32" t="s">
        <v>262</v>
      </c>
      <c r="L32">
        <v>2</v>
      </c>
      <c r="M32">
        <v>0</v>
      </c>
      <c r="N32">
        <v>9000000</v>
      </c>
    </row>
    <row r="33" spans="1:14">
      <c r="A33" t="s">
        <v>319</v>
      </c>
      <c r="B33" t="s">
        <v>517</v>
      </c>
      <c r="C33" t="s">
        <v>14</v>
      </c>
      <c r="D33" t="s">
        <v>532</v>
      </c>
      <c r="E33" t="s">
        <v>528</v>
      </c>
      <c r="F33" t="s">
        <v>529</v>
      </c>
      <c r="G33" t="s">
        <v>261</v>
      </c>
      <c r="H33">
        <v>0</v>
      </c>
      <c r="I33" t="s">
        <v>539</v>
      </c>
      <c r="J33">
        <v>0</v>
      </c>
      <c r="K33" t="s">
        <v>262</v>
      </c>
      <c r="L33">
        <v>2</v>
      </c>
      <c r="M33">
        <v>0</v>
      </c>
      <c r="N33">
        <v>9000000</v>
      </c>
    </row>
    <row r="34" spans="1:14">
      <c r="A34" t="s">
        <v>319</v>
      </c>
      <c r="B34" t="s">
        <v>530</v>
      </c>
      <c r="C34" t="s">
        <v>14</v>
      </c>
      <c r="D34" t="s">
        <v>532</v>
      </c>
      <c r="E34" t="s">
        <v>533</v>
      </c>
      <c r="F34" t="s">
        <v>534</v>
      </c>
      <c r="G34" t="s">
        <v>260</v>
      </c>
      <c r="H34">
        <v>0</v>
      </c>
      <c r="I34" t="s">
        <v>539</v>
      </c>
      <c r="J34">
        <v>0</v>
      </c>
      <c r="K34" t="s">
        <v>262</v>
      </c>
      <c r="L34">
        <v>20</v>
      </c>
      <c r="M34">
        <v>0</v>
      </c>
      <c r="N34">
        <v>11250000</v>
      </c>
    </row>
    <row r="35" spans="1:14">
      <c r="A35" t="s">
        <v>319</v>
      </c>
      <c r="B35" t="s">
        <v>535</v>
      </c>
      <c r="C35" t="s">
        <v>14</v>
      </c>
      <c r="D35" t="s">
        <v>532</v>
      </c>
      <c r="E35" t="s">
        <v>538</v>
      </c>
      <c r="F35">
        <v>0</v>
      </c>
      <c r="G35" t="s">
        <v>260</v>
      </c>
      <c r="H35">
        <v>0</v>
      </c>
      <c r="I35" t="s">
        <v>539</v>
      </c>
      <c r="J35">
        <v>0</v>
      </c>
      <c r="K35" t="s">
        <v>262</v>
      </c>
      <c r="L35">
        <v>10</v>
      </c>
      <c r="M35">
        <v>0</v>
      </c>
      <c r="N35">
        <v>3333333.3333333335</v>
      </c>
    </row>
    <row r="36" spans="1:14">
      <c r="A36" t="s">
        <v>319</v>
      </c>
      <c r="B36" t="s">
        <v>501</v>
      </c>
      <c r="C36" t="s">
        <v>14</v>
      </c>
      <c r="D36" t="s">
        <v>532</v>
      </c>
      <c r="E36" t="s">
        <v>538</v>
      </c>
      <c r="F36">
        <v>0</v>
      </c>
      <c r="G36" t="s">
        <v>260</v>
      </c>
      <c r="H36">
        <v>0</v>
      </c>
      <c r="I36" t="s">
        <v>539</v>
      </c>
      <c r="J36">
        <v>0</v>
      </c>
      <c r="K36" t="s">
        <v>262</v>
      </c>
      <c r="L36">
        <v>10</v>
      </c>
      <c r="M36">
        <v>0</v>
      </c>
      <c r="N36">
        <v>3333333.3333333335</v>
      </c>
    </row>
    <row r="37" spans="1:14">
      <c r="A37" t="s">
        <v>319</v>
      </c>
      <c r="B37" t="s">
        <v>517</v>
      </c>
      <c r="C37" t="s">
        <v>14</v>
      </c>
      <c r="D37" t="s">
        <v>532</v>
      </c>
      <c r="E37" t="s">
        <v>538</v>
      </c>
      <c r="F37">
        <v>0</v>
      </c>
      <c r="G37" t="s">
        <v>260</v>
      </c>
      <c r="H37">
        <v>0</v>
      </c>
      <c r="I37" t="s">
        <v>539</v>
      </c>
      <c r="J37">
        <v>0</v>
      </c>
      <c r="K37" t="s">
        <v>262</v>
      </c>
      <c r="L37">
        <v>10</v>
      </c>
      <c r="M37">
        <v>0</v>
      </c>
      <c r="N37">
        <v>3333333.3333333335</v>
      </c>
    </row>
  </sheetData>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98AAAA-E8EA-4723-AFDC-DAE5B005C2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25</vt:i4>
      </vt:variant>
      <vt:variant>
        <vt:lpstr>이름이 지정된 범위</vt:lpstr>
      </vt:variant>
      <vt:variant>
        <vt:i4>1</vt:i4>
      </vt:variant>
    </vt:vector>
  </HeadingPairs>
  <TitlesOfParts>
    <vt:vector size="26" baseType="lpstr">
      <vt:lpstr>HOME</vt:lpstr>
      <vt:lpstr>A.시뮬레이션</vt:lpstr>
      <vt:lpstr>B.통합시트</vt:lpstr>
      <vt:lpstr>통합데이터</vt:lpstr>
      <vt:lpstr>1.인건비_요약</vt:lpstr>
      <vt:lpstr>2.구축비_요약</vt:lpstr>
      <vt:lpstr>3.수행비_요약</vt:lpstr>
      <vt:lpstr>BL_인건비</vt:lpstr>
      <vt:lpstr>CS_인건비</vt:lpstr>
      <vt:lpstr>CS_구축</vt:lpstr>
      <vt:lpstr>Sheet5</vt:lpstr>
      <vt:lpstr>CS_수행</vt:lpstr>
      <vt:lpstr>Sheet7</vt:lpstr>
      <vt:lpstr>(참조)BL_인건비</vt:lpstr>
      <vt:lpstr>(참조)CS_인건비</vt:lpstr>
      <vt:lpstr>(참조)솔루션효과</vt:lpstr>
      <vt:lpstr>D.사업성분석</vt:lpstr>
      <vt:lpstr>D.사업성매출</vt:lpstr>
      <vt:lpstr>D.사업성투자</vt:lpstr>
      <vt:lpstr>D.사업성비용</vt:lpstr>
      <vt:lpstr>D.VDC-C</vt:lpstr>
      <vt:lpstr>Sheet4</vt:lpstr>
      <vt:lpstr>Sheet1</vt:lpstr>
      <vt:lpstr>Sheet3</vt:lpstr>
      <vt:lpstr>Sheet2</vt:lpstr>
      <vt:lpstr>통합데이터</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강민수</dc:creator>
  <cp:lastModifiedBy>강민수(융합ICT1P-TF)</cp:lastModifiedBy>
  <dcterms:created xsi:type="dcterms:W3CDTF">2020-12-26T06:12:05Z</dcterms:created>
  <dcterms:modified xsi:type="dcterms:W3CDTF">2021-01-21T08:41:31Z</dcterms:modified>
</cp:coreProperties>
</file>